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moov\Downloads\"/>
    </mc:Choice>
  </mc:AlternateContent>
  <xr:revisionPtr revIDLastSave="0" documentId="13_ncr:1_{BAEE967E-06C1-4F9E-8A94-D9D581A67140}" xr6:coauthVersionLast="47" xr6:coauthVersionMax="47" xr10:uidLastSave="{00000000-0000-0000-0000-000000000000}"/>
  <bookViews>
    <workbookView xWindow="-110" yWindow="-110" windowWidth="19420" windowHeight="10300" xr2:uid="{1E2F3B28-8E0F-4CDD-80DB-CF0996875E9B}"/>
  </bookViews>
  <sheets>
    <sheet name="DETALLE RAMO MADRE " sheetId="2" r:id="rId1"/>
    <sheet name="DETALLE DE SUB-RAMOS MENSUALES" sheetId="1" r:id="rId2"/>
    <sheet name="INGREDIENTES DE SUB-RAMOS" sheetId="4" r:id="rId3"/>
    <sheet name="DETALLE PRECIO INGREDIENTES" sheetId="3" r:id="rId4"/>
  </sheets>
  <definedNames>
    <definedName name="_xlnm._FilterDatabase" localSheetId="3" hidden="1">'DETALLE PRECIO INGREDIENTES'!$A$1:$H$606</definedName>
    <definedName name="_xlnm._FilterDatabase" localSheetId="2" hidden="1">'INGREDIENTES DE SUB-RAMOS'!$B$1:$H$3769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2" i="4"/>
  <c r="H55" i="3" l="1"/>
  <c r="H47" i="3"/>
  <c r="H39" i="3"/>
  <c r="H31" i="3"/>
  <c r="H23" i="3"/>
  <c r="H15" i="3"/>
  <c r="H13" i="3"/>
  <c r="H5" i="3"/>
  <c r="H4" i="3"/>
  <c r="H3" i="3"/>
  <c r="H6" i="3"/>
  <c r="H8" i="3"/>
  <c r="H9" i="3"/>
  <c r="H10" i="3"/>
  <c r="H11" i="3"/>
  <c r="H12" i="3"/>
  <c r="H14" i="3"/>
  <c r="H16" i="3"/>
  <c r="H17" i="3"/>
  <c r="H18" i="3"/>
  <c r="H19" i="3"/>
  <c r="H20" i="3"/>
  <c r="H21" i="3"/>
  <c r="H22" i="3"/>
  <c r="H24" i="3"/>
  <c r="H25" i="3"/>
  <c r="H26" i="3"/>
  <c r="H27" i="3"/>
  <c r="H28" i="3"/>
  <c r="H29" i="3"/>
  <c r="H30" i="3"/>
  <c r="H32" i="3"/>
  <c r="H33" i="3"/>
  <c r="H34" i="3"/>
  <c r="H35" i="3"/>
  <c r="H36" i="3"/>
  <c r="H37" i="3"/>
  <c r="H38" i="3"/>
  <c r="H40" i="3"/>
  <c r="H41" i="3"/>
  <c r="H42" i="3"/>
  <c r="H43" i="3"/>
  <c r="H44" i="3"/>
  <c r="H45" i="3"/>
  <c r="H46" i="3"/>
  <c r="H48" i="3"/>
  <c r="H49" i="3"/>
  <c r="H50" i="3"/>
  <c r="H51" i="3"/>
  <c r="H52" i="3"/>
  <c r="H53" i="3"/>
  <c r="H54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2" i="3"/>
  <c r="H7" i="3" l="1"/>
</calcChain>
</file>

<file path=xl/sharedStrings.xml><?xml version="1.0" encoding="utf-8"?>
<sst xmlns="http://schemas.openxmlformats.org/spreadsheetml/2006/main" count="21800" uniqueCount="990">
  <si>
    <t>SEMANA 18</t>
  </si>
  <si>
    <t>SEMANA 17</t>
  </si>
  <si>
    <t>DICIEMBRE</t>
  </si>
  <si>
    <t>SEMANA 16</t>
  </si>
  <si>
    <t>SEMANA 15</t>
  </si>
  <si>
    <t>SEMANA 14</t>
  </si>
  <si>
    <t>SEMANA 13</t>
  </si>
  <si>
    <t>NOVIEMBRE</t>
  </si>
  <si>
    <t>SEMANA 12</t>
  </si>
  <si>
    <t>SEMANA 11</t>
  </si>
  <si>
    <t>SEMANA 10</t>
  </si>
  <si>
    <t>SEMANA 9</t>
  </si>
  <si>
    <t>OCTUBRE</t>
  </si>
  <si>
    <t>SEMANA 8</t>
  </si>
  <si>
    <t>SEMANA 7</t>
  </si>
  <si>
    <t>SEMANA 6</t>
  </si>
  <si>
    <t>SEMANA 5</t>
  </si>
  <si>
    <t>SEPTIEMBRE</t>
  </si>
  <si>
    <t>SEMANA 4</t>
  </si>
  <si>
    <t>SEMANA 3</t>
  </si>
  <si>
    <t>SEMANA 2</t>
  </si>
  <si>
    <t>SEMANA 1</t>
  </si>
  <si>
    <t>AGOSTO</t>
  </si>
  <si>
    <t>Taller de emprendimientos culinarios</t>
  </si>
  <si>
    <t>TEAC</t>
  </si>
  <si>
    <t>CUR014</t>
  </si>
  <si>
    <t>TTPIPSES11</t>
  </si>
  <si>
    <t>TTPIPSES9</t>
  </si>
  <si>
    <t>TTPIPSES7</t>
  </si>
  <si>
    <t>JUNIO</t>
  </si>
  <si>
    <t>TTPIPSES5</t>
  </si>
  <si>
    <t>TTPIPSES3</t>
  </si>
  <si>
    <t>MAYO</t>
  </si>
  <si>
    <t>ABRIL</t>
  </si>
  <si>
    <t xml:space="preserve">MARZO </t>
  </si>
  <si>
    <t>Taller de tecnicas y procesos innovadores en pasteleria</t>
  </si>
  <si>
    <t>TTPIP</t>
  </si>
  <si>
    <t>CUR013</t>
  </si>
  <si>
    <t>TTPICSES7</t>
  </si>
  <si>
    <t>TTPICSES5</t>
  </si>
  <si>
    <t>TTPICSES9</t>
  </si>
  <si>
    <t>TTPICSES3</t>
  </si>
  <si>
    <t>MARZO</t>
  </si>
  <si>
    <t>Taller de tecnicas y procesos innovadores en cocina</t>
  </si>
  <si>
    <t>TTPIC</t>
  </si>
  <si>
    <t>CUR012</t>
  </si>
  <si>
    <t>Taller de mixología</t>
  </si>
  <si>
    <t>TMI</t>
  </si>
  <si>
    <t>CUR011</t>
  </si>
  <si>
    <t>Taller integrado de restaurante</t>
  </si>
  <si>
    <t>TIR</t>
  </si>
  <si>
    <t>CUR010</t>
  </si>
  <si>
    <t>JULIO</t>
  </si>
  <si>
    <t>Taller de aprendizaje y servicio</t>
  </si>
  <si>
    <t>TAS</t>
  </si>
  <si>
    <t>CUR009</t>
  </si>
  <si>
    <t>TBSSES12</t>
  </si>
  <si>
    <t>TBSSES11</t>
  </si>
  <si>
    <t>TBSSES10</t>
  </si>
  <si>
    <t>TBSSES9</t>
  </si>
  <si>
    <t>TBSSES8</t>
  </si>
  <si>
    <t>TBSSES7</t>
  </si>
  <si>
    <t>TBSSES6</t>
  </si>
  <si>
    <t>TBSSES5</t>
  </si>
  <si>
    <t>TBSSES4</t>
  </si>
  <si>
    <t>TBSSES3</t>
  </si>
  <si>
    <t>TBSSES2</t>
  </si>
  <si>
    <t>TBSSES1</t>
  </si>
  <si>
    <t>Taller de banqueteria salada</t>
  </si>
  <si>
    <t>TBS</t>
  </si>
  <si>
    <t>CUR008</t>
  </si>
  <si>
    <t>TBDSES17</t>
  </si>
  <si>
    <t>TBDSES15</t>
  </si>
  <si>
    <t>TBDSES13</t>
  </si>
  <si>
    <t>TBDSES11</t>
  </si>
  <si>
    <t>TBDSES9</t>
  </si>
  <si>
    <t>TBDSES7</t>
  </si>
  <si>
    <t>TBDSES5</t>
  </si>
  <si>
    <t>TBDSES3</t>
  </si>
  <si>
    <t>Taller de banqueteria dulce</t>
  </si>
  <si>
    <t>TBD</t>
  </si>
  <si>
    <t>CUR007</t>
  </si>
  <si>
    <t>TPESES3</t>
  </si>
  <si>
    <t>TPESES18</t>
  </si>
  <si>
    <t>TPESES17</t>
  </si>
  <si>
    <t>TPESES15</t>
  </si>
  <si>
    <t>TPESES13</t>
  </si>
  <si>
    <t>TPESES11</t>
  </si>
  <si>
    <t>TPESES9</t>
  </si>
  <si>
    <t>TPESES7</t>
  </si>
  <si>
    <t>TPESES5</t>
  </si>
  <si>
    <t>Taller de panadería de especialidad</t>
  </si>
  <si>
    <t>TPE</t>
  </si>
  <si>
    <t>CUR006</t>
  </si>
  <si>
    <t>TCCHOSES17</t>
  </si>
  <si>
    <t>TCCHOSES15</t>
  </si>
  <si>
    <t>TCCHOSES13</t>
  </si>
  <si>
    <t>TCCHOSES11</t>
  </si>
  <si>
    <t>TCCHOSES9</t>
  </si>
  <si>
    <t>TCCHOSES7</t>
  </si>
  <si>
    <t>TCCHOSES5</t>
  </si>
  <si>
    <t>TCCHOSES3</t>
  </si>
  <si>
    <t>Taller de confiteria y chocolateria</t>
  </si>
  <si>
    <t>TCCHO</t>
  </si>
  <si>
    <t>CUR005</t>
  </si>
  <si>
    <t>Taller de maridaje</t>
  </si>
  <si>
    <t>TMA</t>
  </si>
  <si>
    <t>CUR004</t>
  </si>
  <si>
    <t>TCCMSES34</t>
  </si>
  <si>
    <t>TCCMSES29 - 30</t>
  </si>
  <si>
    <t>TCCMSES27 - 28</t>
  </si>
  <si>
    <t>TCCMSES26</t>
  </si>
  <si>
    <t>TCCMSES25</t>
  </si>
  <si>
    <t xml:space="preserve">JUNIO </t>
  </si>
  <si>
    <t>TCCMSES23 - 24</t>
  </si>
  <si>
    <t>TCCMSES22</t>
  </si>
  <si>
    <t>TCCMSES21</t>
  </si>
  <si>
    <t>TCCMSES20</t>
  </si>
  <si>
    <t>TCCMSES17</t>
  </si>
  <si>
    <t>TCCMSES16</t>
  </si>
  <si>
    <t>TCCMSES15</t>
  </si>
  <si>
    <t>TCCMSES14</t>
  </si>
  <si>
    <t>TCCMSES13</t>
  </si>
  <si>
    <t>TCCMSES12</t>
  </si>
  <si>
    <t>TCCMSES11</t>
  </si>
  <si>
    <t>TCCMSES10</t>
  </si>
  <si>
    <t>TCCMSES9</t>
  </si>
  <si>
    <t>TCCMSES7 - 8</t>
  </si>
  <si>
    <t>TCCMSES6</t>
  </si>
  <si>
    <t>TCCMSES5</t>
  </si>
  <si>
    <t>TCCMSES4</t>
  </si>
  <si>
    <t>TCCMSES3</t>
  </si>
  <si>
    <t>TCCMSES2</t>
  </si>
  <si>
    <t>TCCMSES1</t>
  </si>
  <si>
    <t>Taller de cocina chilena y del mundo</t>
  </si>
  <si>
    <t>TCCM</t>
  </si>
  <si>
    <t>CUR003</t>
  </si>
  <si>
    <t>TIPSES36</t>
  </si>
  <si>
    <t>TIPSES35</t>
  </si>
  <si>
    <t>TIPSES33</t>
  </si>
  <si>
    <t>TIPSES32</t>
  </si>
  <si>
    <t>TIPSES31</t>
  </si>
  <si>
    <t>TIPSES30</t>
  </si>
  <si>
    <t>TIPSES29</t>
  </si>
  <si>
    <t>TIPSES28</t>
  </si>
  <si>
    <t>TIPSES27</t>
  </si>
  <si>
    <t>TIPSES25</t>
  </si>
  <si>
    <t>TIPSES23</t>
  </si>
  <si>
    <t>TIPSES21</t>
  </si>
  <si>
    <t>TIPSES20</t>
  </si>
  <si>
    <t>TIPSES19</t>
  </si>
  <si>
    <t>TIPSES18</t>
  </si>
  <si>
    <t>TIPSES15</t>
  </si>
  <si>
    <t>TIPSES14</t>
  </si>
  <si>
    <t>TIPSES13</t>
  </si>
  <si>
    <t>TIPSES12</t>
  </si>
  <si>
    <t>TIPSES11</t>
  </si>
  <si>
    <t>TIPSES10</t>
  </si>
  <si>
    <t>TIPSES9</t>
  </si>
  <si>
    <t>TIPSES8</t>
  </si>
  <si>
    <t>TIPSES7</t>
  </si>
  <si>
    <t>TIPSES6</t>
  </si>
  <si>
    <t>TIPSES5</t>
  </si>
  <si>
    <t>TIPSES4</t>
  </si>
  <si>
    <t>TIPSES3</t>
  </si>
  <si>
    <t>Taller introductorio a la pasteleria</t>
  </si>
  <si>
    <t>TIP</t>
  </si>
  <si>
    <t>CUR002</t>
  </si>
  <si>
    <t>TICSES34</t>
  </si>
  <si>
    <t>TICSES32</t>
  </si>
  <si>
    <t>TICSES30</t>
  </si>
  <si>
    <t>TICSES29</t>
  </si>
  <si>
    <t>TICSES28</t>
  </si>
  <si>
    <t>TICSES27</t>
  </si>
  <si>
    <t>TICSES26</t>
  </si>
  <si>
    <t>TICSES24</t>
  </si>
  <si>
    <t>TICSES23</t>
  </si>
  <si>
    <t>TICSES22</t>
  </si>
  <si>
    <t>TICSES21</t>
  </si>
  <si>
    <t>TICSES20</t>
  </si>
  <si>
    <t>TICSES19</t>
  </si>
  <si>
    <t>TICSES18</t>
  </si>
  <si>
    <t>TICSES17</t>
  </si>
  <si>
    <t>TICSES16</t>
  </si>
  <si>
    <t>TICSES15</t>
  </si>
  <si>
    <t>TICSES14</t>
  </si>
  <si>
    <t>TICSES13</t>
  </si>
  <si>
    <t>TICSES12</t>
  </si>
  <si>
    <t>TICSES11</t>
  </si>
  <si>
    <t>TICSES10</t>
  </si>
  <si>
    <t>TICSES9</t>
  </si>
  <si>
    <t>TICSES8</t>
  </si>
  <si>
    <t>TICSES7</t>
  </si>
  <si>
    <t>TICSES6</t>
  </si>
  <si>
    <t>TICSES5</t>
  </si>
  <si>
    <t>TICSES4</t>
  </si>
  <si>
    <t>TICSES3</t>
  </si>
  <si>
    <t>TICSES2</t>
  </si>
  <si>
    <t>TICSES1</t>
  </si>
  <si>
    <t>TIC</t>
  </si>
  <si>
    <t>CUR001</t>
  </si>
  <si>
    <t>OP</t>
  </si>
  <si>
    <t>MES</t>
  </si>
  <si>
    <t xml:space="preserve">NOMBRE </t>
  </si>
  <si>
    <t>SIGLAS</t>
  </si>
  <si>
    <t>CODIGO_ID</t>
  </si>
  <si>
    <t>SEMESTRE</t>
  </si>
  <si>
    <t>Semestre</t>
  </si>
  <si>
    <t>Codigo_ID</t>
  </si>
  <si>
    <t>Siglas</t>
  </si>
  <si>
    <t>Nombre</t>
  </si>
  <si>
    <t>Taller introductorio a la cocina</t>
  </si>
  <si>
    <t>SECCION</t>
  </si>
  <si>
    <t>N° ALUMNOS</t>
  </si>
  <si>
    <t xml:space="preserve">CATEGORIA </t>
  </si>
  <si>
    <t>INGREDIENTE</t>
  </si>
  <si>
    <t>UM</t>
  </si>
  <si>
    <t xml:space="preserve">Proveedor </t>
  </si>
  <si>
    <t>Suma de CANT. TOTAL</t>
  </si>
  <si>
    <t>Formato</t>
  </si>
  <si>
    <t>ABARROTE</t>
  </si>
  <si>
    <t>ACEITE DE CANOLA</t>
  </si>
  <si>
    <t>L</t>
  </si>
  <si>
    <t>Jumbo</t>
  </si>
  <si>
    <t xml:space="preserve">L </t>
  </si>
  <si>
    <t>ACEITE DE COCO</t>
  </si>
  <si>
    <t>lider</t>
  </si>
  <si>
    <t>ACEITE DE MAIZ</t>
  </si>
  <si>
    <t>ACEITE DE MARAVILLA</t>
  </si>
  <si>
    <t>Bidfood</t>
  </si>
  <si>
    <t>ACEITE DE OLIVA</t>
  </si>
  <si>
    <t>ACEITE DE SESAMO</t>
  </si>
  <si>
    <t>Lider</t>
  </si>
  <si>
    <t>ACEITE PARA FREIR</t>
  </si>
  <si>
    <t>ACEITE SEMILLA DE GIRASOL</t>
  </si>
  <si>
    <t>ACEITE VEGETAL</t>
  </si>
  <si>
    <t>ACEITUNAS MORADAS</t>
  </si>
  <si>
    <t>kg</t>
  </si>
  <si>
    <t>ACEITUNAS NEGRAS C/HUESO</t>
  </si>
  <si>
    <t>ACEITUNAS NEGRAS S/HUESO</t>
  </si>
  <si>
    <t>ACETO BALSAMICO</t>
  </si>
  <si>
    <t>ACIDO ASCORBICO</t>
  </si>
  <si>
    <t>Gourmet</t>
  </si>
  <si>
    <t>ACIDO CITRICO</t>
  </si>
  <si>
    <t>AGAR-AGAR</t>
  </si>
  <si>
    <t>AJI AMARILLO EN PASTA</t>
  </si>
  <si>
    <t>Caserita</t>
  </si>
  <si>
    <t>AJI CHIPOTLE TARRO</t>
  </si>
  <si>
    <t>AJI DE COLOR</t>
  </si>
  <si>
    <t>AJI EN PASTA</t>
  </si>
  <si>
    <t>AJI EN PASTA GOCHUJANG</t>
  </si>
  <si>
    <t>AJI SRIRACHA</t>
  </si>
  <si>
    <t>AJI TABASCO ROJO</t>
  </si>
  <si>
    <t>AJINOMOTO</t>
  </si>
  <si>
    <t>AJO EN POLVO</t>
  </si>
  <si>
    <t>ALBUMINA</t>
  </si>
  <si>
    <t>ALCAPARRAS</t>
  </si>
  <si>
    <t>ALGA KOMBU</t>
  </si>
  <si>
    <t>alga nori</t>
  </si>
  <si>
    <t>UN</t>
  </si>
  <si>
    <t>ALGINATO DE SODIO</t>
  </si>
  <si>
    <t>ALMENDRAS ENTERAS</t>
  </si>
  <si>
    <t>ALULOSA</t>
  </si>
  <si>
    <t>Mercado libre</t>
  </si>
  <si>
    <t>ARROZ ARBORIO</t>
  </si>
  <si>
    <t>arroz basmati</t>
  </si>
  <si>
    <t>ARROZ GRANO CORTO GRADO 1</t>
  </si>
  <si>
    <t>ARROZ GRANO CORTO GRADO 2</t>
  </si>
  <si>
    <t>ARROZ GRANO LARGO GRADO 1</t>
  </si>
  <si>
    <t>ARROZ GRANO LARGO GRADO 2</t>
  </si>
  <si>
    <t>ARROZ INTEGRAL</t>
  </si>
  <si>
    <t>arroz jazmin</t>
  </si>
  <si>
    <t>mercado silvestre</t>
  </si>
  <si>
    <t>AVELLANAS EUROPEAS</t>
  </si>
  <si>
    <t>AVENA SIN GLUTEN</t>
  </si>
  <si>
    <t>AVENA TRADICIONAL</t>
  </si>
  <si>
    <t>azafran</t>
  </si>
  <si>
    <t>AZUCAR BLANCA GRANULADA</t>
  </si>
  <si>
    <t>AZUCAR FLOR</t>
  </si>
  <si>
    <t>AZUCAR GRANULADA ( SACHET)</t>
  </si>
  <si>
    <t>Central mayorista</t>
  </si>
  <si>
    <t>AZUCAR INVERTIDA</t>
  </si>
  <si>
    <t>AZUCAR MORENA</t>
  </si>
  <si>
    <t>AZUCAR RUBIA</t>
  </si>
  <si>
    <t>BICARBONATO DE SODIO</t>
  </si>
  <si>
    <t>BRILLOX GEL / MIROIR</t>
  </si>
  <si>
    <t>CAFE EN SACHET</t>
  </si>
  <si>
    <t>CAFE GRANO MOLIDO</t>
  </si>
  <si>
    <t>CAFE INSTANTANEO</t>
  </si>
  <si>
    <t>CALCIC/CITRATO DE CALCIO</t>
  </si>
  <si>
    <t>CALDO DE CARNE</t>
  </si>
  <si>
    <t>CALLAMPAS SECAS</t>
  </si>
  <si>
    <t>CANELA EN POLVO</t>
  </si>
  <si>
    <t>CANELA ENTERA</t>
  </si>
  <si>
    <t>CARBON DE ESPINO</t>
  </si>
  <si>
    <t>CEBOLLA EN POLVO</t>
  </si>
  <si>
    <t>CEBOLLAS EN ESCABECHE</t>
  </si>
  <si>
    <t>CEBOLLITA PERLA EN VINAGRE</t>
  </si>
  <si>
    <t>CEREAL CORN FLAKES</t>
  </si>
  <si>
    <t>CEREZAS CONFITADAS</t>
  </si>
  <si>
    <t>CHANCACA</t>
  </si>
  <si>
    <t>chuño</t>
  </si>
  <si>
    <t>CLAVO DE OLOR ENTERO</t>
  </si>
  <si>
    <t>CLAVO DE OLOR MOLIDO</t>
  </si>
  <si>
    <t>CLORURO DE CALCIO</t>
  </si>
  <si>
    <t xml:space="preserve">Gourmet </t>
  </si>
  <si>
    <t>COCO RALLADO</t>
  </si>
  <si>
    <t>COLAPEZ POR HOJA</t>
  </si>
  <si>
    <t>COLORANTE GEL AMARILLO</t>
  </si>
  <si>
    <t>COMINO MOLIDO</t>
  </si>
  <si>
    <t>CONCENTRADO DE TOMATE</t>
  </si>
  <si>
    <t>COUS COUS</t>
  </si>
  <si>
    <t>CREMA DE COCO S/AZUCAR</t>
  </si>
  <si>
    <t>CREMA MIX VEGETAL</t>
  </si>
  <si>
    <t>lt</t>
  </si>
  <si>
    <t>CREMA PASTELERA PURATOS</t>
  </si>
  <si>
    <t>CREMOR TARTARO</t>
  </si>
  <si>
    <t>club repostero</t>
  </si>
  <si>
    <t>CUCHARAS DE MADERA</t>
  </si>
  <si>
    <t>Santa Catalina</t>
  </si>
  <si>
    <t>CURCUMA EN POLVO</t>
  </si>
  <si>
    <t>curry</t>
  </si>
  <si>
    <t>DEXTROSA</t>
  </si>
  <si>
    <t>DURAZNO EN MITADES LATA</t>
  </si>
  <si>
    <t>ENDULZANTE IANSA CERO K STEVIA 250 ML</t>
  </si>
  <si>
    <t>ESENCIA DE COCO</t>
  </si>
  <si>
    <t>ESENCIA DE FRAMBUESA</t>
  </si>
  <si>
    <t>ESENCIA DE NARANJA</t>
  </si>
  <si>
    <t>ESENCIA DE PIÑA</t>
  </si>
  <si>
    <t>ESENCIA DE VAINILLA</t>
  </si>
  <si>
    <t>ESTRAGON SECO</t>
  </si>
  <si>
    <t>ESTRELLA DE ANIS</t>
  </si>
  <si>
    <t>EXTRACTO DE CAFE</t>
  </si>
  <si>
    <t>FIDEO CABELLO DE ANGEL</t>
  </si>
  <si>
    <t>FIDEO SPAGUETTI Nº5</t>
  </si>
  <si>
    <t>FONDANT EN PASTA</t>
  </si>
  <si>
    <t>FRAMBUESA LIOFILIZADA</t>
  </si>
  <si>
    <t>Agrogourmet</t>
  </si>
  <si>
    <t>GALLETA DIET GULLON</t>
  </si>
  <si>
    <t>GALLETA MARAVILLA MCKAY</t>
  </si>
  <si>
    <t>GALLETAS DE CHAMPAÑA</t>
  </si>
  <si>
    <t>GALLETAS LOTUS</t>
  </si>
  <si>
    <t>GARBANZOS</t>
  </si>
  <si>
    <t>GARBANZOS COCIDOS EN CONSERVA</t>
  </si>
  <si>
    <t>GEL BINDER TRANSGLUTAMINASA</t>
  </si>
  <si>
    <t>GELATINA SIN SABOR</t>
  </si>
  <si>
    <t>GLICERINA ALIMENTARIA</t>
  </si>
  <si>
    <t>GLUCONOLACTATO</t>
  </si>
  <si>
    <t>GLUCOSA</t>
  </si>
  <si>
    <t>GLUCOSA EN POLVO</t>
  </si>
  <si>
    <t>GOMA GELLAN</t>
  </si>
  <si>
    <t>GOMA KAPPA</t>
  </si>
  <si>
    <t>GOMA XANTANA</t>
  </si>
  <si>
    <t>GUINDA MARRASQUINO</t>
  </si>
  <si>
    <t>HARINA BIZCOCHERA</t>
  </si>
  <si>
    <t>HARINA DE ALMENDRA</t>
  </si>
  <si>
    <t>HARINA DE ARROZ GLUTINOSO</t>
  </si>
  <si>
    <t>HARINA DE ARROZ SUPER FINA</t>
  </si>
  <si>
    <t>HARINA DE CENTENO</t>
  </si>
  <si>
    <t>HARINA DE MAIZ BLANCO PAN</t>
  </si>
  <si>
    <t>HARINA DE TAPIOCA/MANDIOCA</t>
  </si>
  <si>
    <t>HARINA INTEGRAL</t>
  </si>
  <si>
    <t>HARINA PANADERA SOBRE 13 GR</t>
  </si>
  <si>
    <t>HUESILLOS SIN CAROZO SECOS</t>
  </si>
  <si>
    <t>HUMO LIQUIDO</t>
  </si>
  <si>
    <t>ISOMALT</t>
  </si>
  <si>
    <t>JARABE DE MAIZ</t>
  </si>
  <si>
    <t>jengibre encurtido</t>
  </si>
  <si>
    <t>JENGIBRE MOLIDO</t>
  </si>
  <si>
    <t>KETCHUP HELLMANS</t>
  </si>
  <si>
    <t>LAUREL</t>
  </si>
  <si>
    <t>LECITINA DE SOYA</t>
  </si>
  <si>
    <t>LEMON GRASS FRESCO</t>
  </si>
  <si>
    <t>LEVADURA FRESCA</t>
  </si>
  <si>
    <t>LEVADURA SECA</t>
  </si>
  <si>
    <t>MAICENA</t>
  </si>
  <si>
    <t>MAIZ CANCHA</t>
  </si>
  <si>
    <t>MALTODEXTRINA</t>
  </si>
  <si>
    <t xml:space="preserve">MALVAVISCOS </t>
  </si>
  <si>
    <t>MANI CON PIEL</t>
  </si>
  <si>
    <t>MANI TOSTADO</t>
  </si>
  <si>
    <t>MANTECA VEGETAL</t>
  </si>
  <si>
    <t>MANTEQUILLA DE MANÍ CROCANTE</t>
  </si>
  <si>
    <t>MANTEQUILLA EXTRA SECA</t>
  </si>
  <si>
    <t>MARACUYA CRISPY</t>
  </si>
  <si>
    <t>MAYONESA HELLMANS</t>
  </si>
  <si>
    <t>MAYONESA HELLMANS DELI</t>
  </si>
  <si>
    <t>MERKEN</t>
  </si>
  <si>
    <t>MERMELADA DE DAMASCO</t>
  </si>
  <si>
    <t>MERMELADA DE FRAMBUESA</t>
  </si>
  <si>
    <t>MERMELADA DE GUINDA</t>
  </si>
  <si>
    <t>MERMELADA DE PIÑA</t>
  </si>
  <si>
    <t>un</t>
  </si>
  <si>
    <t>miel</t>
  </si>
  <si>
    <t>MIEL DE PALMA</t>
  </si>
  <si>
    <t>MOSTACILLA DE COLORES REDONDAS</t>
  </si>
  <si>
    <t>MOSTACILLAS DE COLORES</t>
  </si>
  <si>
    <t>MOSTAZA</t>
  </si>
  <si>
    <t>MOSTAZA DIJON</t>
  </si>
  <si>
    <t>MOSTAZA DIJON ANTIGUA-GRANO</t>
  </si>
  <si>
    <t>MOTE DE MAIZ</t>
  </si>
  <si>
    <t>NARANJA CONFITADA</t>
  </si>
  <si>
    <t>KG</t>
  </si>
  <si>
    <t>NUEZ MARIPOSA</t>
  </si>
  <si>
    <t>NUEZ MOSCADA ENTERA</t>
  </si>
  <si>
    <t>NUEZ MOSCADA MOLIDA</t>
  </si>
  <si>
    <t>OREGANO FRESCO</t>
  </si>
  <si>
    <t>OREGANO SECO</t>
  </si>
  <si>
    <t>pan de hamburguesa</t>
  </si>
  <si>
    <t>PAN RALLADO</t>
  </si>
  <si>
    <t>PANKO</t>
  </si>
  <si>
    <t>PAPAS</t>
  </si>
  <si>
    <t>PAPEL DE ARROZ</t>
  </si>
  <si>
    <t>PAPRIKA</t>
  </si>
  <si>
    <t>PASAS CORINTO</t>
  </si>
  <si>
    <t>PASAS RUBIAS</t>
  </si>
  <si>
    <t>PASTA CURRY VERDE</t>
  </si>
  <si>
    <t>PASTA DE AVELLANAS</t>
  </si>
  <si>
    <t>PASTA DE PISTACHOS</t>
  </si>
  <si>
    <t>PASTA DE SESAMO/TAHINE</t>
  </si>
  <si>
    <t>PASTA DE VAINILLA</t>
  </si>
  <si>
    <t>PECTINA AMARILLA MEDIUM RAPIDA</t>
  </si>
  <si>
    <t>PECTINA NH</t>
  </si>
  <si>
    <t>PEPERONCCINO O CHILE EN HOJUELAS</t>
  </si>
  <si>
    <t>PERLAS DE TAPIOCA</t>
  </si>
  <si>
    <t>PIMIENTA BLANCA MOLIDA</t>
  </si>
  <si>
    <t>PIMIENTA CAYENA</t>
  </si>
  <si>
    <t>PIMIENTA NEGRA ENTERA</t>
  </si>
  <si>
    <t>PIMIENTA NEGRA MOLIDA</t>
  </si>
  <si>
    <t>PIÑA RODAJA CONSERVA</t>
  </si>
  <si>
    <t>PLUS PAN/MEJORADOR</t>
  </si>
  <si>
    <t>POLENTA</t>
  </si>
  <si>
    <t>POLVOS DE HORNEAR</t>
  </si>
  <si>
    <t>POTATOWHIP</t>
  </si>
  <si>
    <t>PROCREMA 5 ESTABILIZANTE</t>
  </si>
  <si>
    <t>PROSORBETE 100 FRIO SOSA</t>
  </si>
  <si>
    <t>PROSORBETE 5 NEUTRO CALIENTE</t>
  </si>
  <si>
    <t>QUINOA</t>
  </si>
  <si>
    <t>QUINOA INFLADA POPS</t>
  </si>
  <si>
    <t>QUINOA NEGRA</t>
  </si>
  <si>
    <t>QUINOA ROJA</t>
  </si>
  <si>
    <t>ROMERO SECO</t>
  </si>
  <si>
    <t xml:space="preserve">SAL DE CURA </t>
  </si>
  <si>
    <t>SAL DE MAR FINA</t>
  </si>
  <si>
    <t>SAL DE MAR GRUESA</t>
  </si>
  <si>
    <t>SAL DE MESA LOBOS</t>
  </si>
  <si>
    <t>SALSA AMERICANA</t>
  </si>
  <si>
    <t>SALSA DE OSTRA</t>
  </si>
  <si>
    <t>salsa de pescado</t>
  </si>
  <si>
    <t>SALSA DE SOYA</t>
  </si>
  <si>
    <t>SALSA DE TOMATES</t>
  </si>
  <si>
    <t>SALSA INGLESA</t>
  </si>
  <si>
    <t>SEMILLA DE AMAPOLA</t>
  </si>
  <si>
    <t>SEMILLA DE MARAVILLA</t>
  </si>
  <si>
    <t>SEMILLA ZAPALLO CAMOTE</t>
  </si>
  <si>
    <t>SEMILLAS DE CILANTRO</t>
  </si>
  <si>
    <t>SEMILLAS DE LINAZA</t>
  </si>
  <si>
    <t>SEMILLAS DE MOSTAZA</t>
  </si>
  <si>
    <t>SEMILLAS DE SESAMO BLANCO</t>
  </si>
  <si>
    <t>SEMILLAS DE SESAMO NEGRO</t>
  </si>
  <si>
    <t>SEMOLINA</t>
  </si>
  <si>
    <t>SORBITOL</t>
  </si>
  <si>
    <t>SUMAC ESPECIA EN POLVO</t>
  </si>
  <si>
    <t>TAJIN</t>
  </si>
  <si>
    <t>TINTA DE SEPIA O CALAMAR</t>
  </si>
  <si>
    <t>TOMILLO SECO</t>
  </si>
  <si>
    <t>TORTILLAS MEXICANA MAIZ</t>
  </si>
  <si>
    <t>TORTILLAS MEXICANA TRIGO 10 UN</t>
  </si>
  <si>
    <t>TRANSGLUTAMINASA</t>
  </si>
  <si>
    <t>TRIGO BURGOL</t>
  </si>
  <si>
    <t>TRIGO MOTE</t>
  </si>
  <si>
    <t>VAINA VAINILLA</t>
  </si>
  <si>
    <t>VINAGRE BLANCO</t>
  </si>
  <si>
    <t>VINAGRE DE ALCOHOL</t>
  </si>
  <si>
    <t>vinagre de arroz</t>
  </si>
  <si>
    <t>vinagre de jerez</t>
  </si>
  <si>
    <t>VINAGRE DE MANZANA</t>
  </si>
  <si>
    <t>VINAGRE TINTO</t>
  </si>
  <si>
    <t>wasabi</t>
  </si>
  <si>
    <t>YUZU EN PASTA</t>
  </si>
  <si>
    <t>AGUA</t>
  </si>
  <si>
    <t>AGUA DE ROSAS</t>
  </si>
  <si>
    <t>AGUA MINERAL C/GAS</t>
  </si>
  <si>
    <t>ALGAS</t>
  </si>
  <si>
    <t>LUCHE</t>
  </si>
  <si>
    <t>ARTICULO COCINA</t>
  </si>
  <si>
    <t>ASTILLAS PARA AHUMAR</t>
  </si>
  <si>
    <t>Santa catalina</t>
  </si>
  <si>
    <t>BASE CARTON TORTA 22 CM</t>
  </si>
  <si>
    <t>BLONDA 22 CM</t>
  </si>
  <si>
    <t>BOLSA PARA SELLADO AL VACIO 25X35 CM</t>
  </si>
  <si>
    <t>BOLSA PARA SELLADO AL VACIO 30X40 CM</t>
  </si>
  <si>
    <t>BOLSA PREPICADA 20 X 30</t>
  </si>
  <si>
    <t>BROCHETA DE BAMBU 12 CM 100 UN</t>
  </si>
  <si>
    <t>BROCHETAS DE COCKTAIL 50 UN</t>
  </si>
  <si>
    <t>CAJA PLUMAVIT DE 3L PARA HELADOS</t>
  </si>
  <si>
    <t>CAPSULAS CERECINADAS N°8</t>
  </si>
  <si>
    <t>CARGA DE SIFON</t>
  </si>
  <si>
    <t>COFIA (MALLA PELO)</t>
  </si>
  <si>
    <t>FRASCO CONSERVA 250 CC CON TAPA</t>
  </si>
  <si>
    <t>FRASCO DE 1 LITRO CON TAPA</t>
  </si>
  <si>
    <t>LATA GEL DE METHANOL</t>
  </si>
  <si>
    <t>MANGAS DESECHABLES MEDIANAS</t>
  </si>
  <si>
    <t>MANGAS DESECHABLES PEQUEÑAS</t>
  </si>
  <si>
    <t>MICA CARTA</t>
  </si>
  <si>
    <t>MOLDE PAN DE PASCUA 1/2 KG</t>
  </si>
  <si>
    <t>MOLDE PAPEL QUEQUE RECTANGULAR</t>
  </si>
  <si>
    <t>MONDADIENTE COCTEL 100 UNIDADES</t>
  </si>
  <si>
    <t>PALILLO AMARILLO PERUANO</t>
  </si>
  <si>
    <t>PALOS DE HELADOS</t>
  </si>
  <si>
    <t>PAPEL CERESINADO ALIMENTOS</t>
  </si>
  <si>
    <t>PAPEL CERESINADO PLIEGO</t>
  </si>
  <si>
    <t>PAPEL GUITARRA</t>
  </si>
  <si>
    <t>PAPEL MANTEQUILLA 75 X100</t>
  </si>
  <si>
    <t>ROLLO PITILLA/HILO DE COCINA</t>
  </si>
  <si>
    <t>SERVILLETAS GOFRADAS 50 UND</t>
  </si>
  <si>
    <t>SERVILLETAS MESA 200 UND</t>
  </si>
  <si>
    <t xml:space="preserve">VASOS ACRILICOS DE DEGUSTACION 2 OZ </t>
  </si>
  <si>
    <t xml:space="preserve">VASOS DE DEGUSTACION 3 OZ </t>
  </si>
  <si>
    <t>VASOS TERMICOS</t>
  </si>
  <si>
    <t>BROTES</t>
  </si>
  <si>
    <t>MIX MICROGREENS</t>
  </si>
  <si>
    <t>GR</t>
  </si>
  <si>
    <t>CABRITO</t>
  </si>
  <si>
    <t>Los Faisanes</t>
  </si>
  <si>
    <t>CERDO</t>
  </si>
  <si>
    <t>BUTIFARRA</t>
  </si>
  <si>
    <t>Ganadera Real</t>
  </si>
  <si>
    <t>CERDO CARNE MOLIDA</t>
  </si>
  <si>
    <t>CERDO CHULETA CENTRO TRES CM</t>
  </si>
  <si>
    <t>CERDO COSTILLAR</t>
  </si>
  <si>
    <t>CERDO CUERO</t>
  </si>
  <si>
    <t>CERDO GRASA/TOCINO BLANCO</t>
  </si>
  <si>
    <t>CERDO LOMO CENTRO</t>
  </si>
  <si>
    <t>CERDO LOMO TUNGO</t>
  </si>
  <si>
    <t>CERDO MALAYA</t>
  </si>
  <si>
    <t>CERDO PALETA DESHUESADA</t>
  </si>
  <si>
    <t>CERDO PATAS</t>
  </si>
  <si>
    <t>CERDO PERNIL DE MANO</t>
  </si>
  <si>
    <t>CERDO PULPA SIN HUESO</t>
  </si>
  <si>
    <t>CERDO SOLOMILLO</t>
  </si>
  <si>
    <t>chorizo español</t>
  </si>
  <si>
    <t>JAMON SERRANO LAMINADO</t>
  </si>
  <si>
    <t>MANTECA DE CERDO</t>
  </si>
  <si>
    <t>TOCINO AHUMADO ENTERO</t>
  </si>
  <si>
    <t>TOCINO AHUMADO LAMINADO</t>
  </si>
  <si>
    <t>TOCINO LAMINADO</t>
  </si>
  <si>
    <t>TRIPAS DE CERDO FRESCA</t>
  </si>
  <si>
    <t>CERVEZA</t>
  </si>
  <si>
    <t>CERVEZA CRISTAL</t>
  </si>
  <si>
    <t>La vinoteca</t>
  </si>
  <si>
    <t>CHOCOLATE</t>
  </si>
  <si>
    <t>BATON 500 PETIT PAIN 3,2GR</t>
  </si>
  <si>
    <t>CACAO EN POLVO ALCALINO</t>
  </si>
  <si>
    <t>CACAO EN POLVO AMARGO</t>
  </si>
  <si>
    <t>CHIPS DE CHOCOLATE</t>
  </si>
  <si>
    <t>CHOCOLATE AMARGO 56%</t>
  </si>
  <si>
    <t>CHOCOLATE AMARGO 56% FLUIDO</t>
  </si>
  <si>
    <t>CHOCOLATE AMARGO 65%</t>
  </si>
  <si>
    <t>CHOCOLATE AMARGO 70%</t>
  </si>
  <si>
    <t>CHOCOLATE CALLEBAUT BLANCO 28%</t>
  </si>
  <si>
    <t>CHOCOLATE DE LECHE 33%</t>
  </si>
  <si>
    <t>CHOCOLATE ECUADOR BLANCO 31%</t>
  </si>
  <si>
    <t>CHOCOLATE LECHE 35%</t>
  </si>
  <si>
    <t>CHOCOLATE MONEDAS BLANCAS 29% CACAO</t>
  </si>
  <si>
    <t>COBERTURA AMARGA</t>
  </si>
  <si>
    <t>COBERTURA BLANCA</t>
  </si>
  <si>
    <t>COBERTURA LECHE</t>
  </si>
  <si>
    <t>COBERTURA LECHE MONEDAS NEUCOBER</t>
  </si>
  <si>
    <t>GRUE DE CACAO</t>
  </si>
  <si>
    <t>MANTECA DE CACAO</t>
  </si>
  <si>
    <t>MANTECA DE CACAO COLOR BLANCO</t>
  </si>
  <si>
    <t>MOSTACILLAS DE CHOCOLATE</t>
  </si>
  <si>
    <t>COLORANTES</t>
  </si>
  <si>
    <t>COLORANTE GEL AZUL</t>
  </si>
  <si>
    <t>COLORANTE GEL ROJO</t>
  </si>
  <si>
    <t>COLORANTE HIDROSOLUBLE POLVO AMARILLO</t>
  </si>
  <si>
    <t>COLORANTE HIDROSOLUBLE POLVO ROJO</t>
  </si>
  <si>
    <t>COLORANTE HIDROSOLUBLE POLVO VERDE PISTACHO</t>
  </si>
  <si>
    <t>COLORANTE LIPO AMARILLO</t>
  </si>
  <si>
    <t>COLORANTE LIPO NARANJA POLVO 100GR</t>
  </si>
  <si>
    <t>COLORANTE LIPO ROJO POLVO 20GR</t>
  </si>
  <si>
    <t>COLORANTE LIPOSOLUBLE AMARILLO LIQUIDO</t>
  </si>
  <si>
    <t>COLORANTE LIPOSOLUBLE AZUL LIQUIDO</t>
  </si>
  <si>
    <t>COLORANTE LIPOSOLUBLE ROJO LIQUIDO</t>
  </si>
  <si>
    <t>COLORANTE LIPOSOLUBLE VERDE LIQUIDO</t>
  </si>
  <si>
    <t>COLORANTE METALICO ORO</t>
  </si>
  <si>
    <t>CONGELADO</t>
  </si>
  <si>
    <t>PASTA DE CHOCLO</t>
  </si>
  <si>
    <t>POROTOS VERDES CONGELADOS</t>
  </si>
  <si>
    <t>PULPA DE CHIRIMOYA</t>
  </si>
  <si>
    <t>PULPA DE DURAZNO</t>
  </si>
  <si>
    <t>PULPA DE FRAMBUESA</t>
  </si>
  <si>
    <t>PULPA DE FRAMBUESA S/AZUCAR</t>
  </si>
  <si>
    <t>PULPA DE FRUTILLA</t>
  </si>
  <si>
    <t>PULPA DE FRUTILLA S/AZUCAR</t>
  </si>
  <si>
    <t>PULPA DE MANGO</t>
  </si>
  <si>
    <t>PULPA DE MANGO S/AZUCAR</t>
  </si>
  <si>
    <t>PULPA DE MARACUYA S/AZUCAR</t>
  </si>
  <si>
    <t>PULPA DE MARACUYA SIN SEMILLA</t>
  </si>
  <si>
    <t>PULPA DE MELON TUNA</t>
  </si>
  <si>
    <t>CONSERVA</t>
  </si>
  <si>
    <t>GARBANZOS EN CONSERVA WASIL 380 GR</t>
  </si>
  <si>
    <t>PALMITOS ENTEROS</t>
  </si>
  <si>
    <t>PEPINILLO DILL</t>
  </si>
  <si>
    <t>PIÑA CONFITADA</t>
  </si>
  <si>
    <t>EMBUTIDO</t>
  </si>
  <si>
    <t>LONGANIZA ARTESANAL</t>
  </si>
  <si>
    <t>PRIETAS</t>
  </si>
  <si>
    <t>VIENESA</t>
  </si>
  <si>
    <t>ENCURTIDO</t>
  </si>
  <si>
    <t xml:space="preserve">CHUCRUT ENCURTIDO </t>
  </si>
  <si>
    <t>ENDULZANTE</t>
  </si>
  <si>
    <t>SUCRALOSA SOBRE</t>
  </si>
  <si>
    <t>Farmacia</t>
  </si>
  <si>
    <t>SUCRO EMUL</t>
  </si>
  <si>
    <t>TAGATOSA</t>
  </si>
  <si>
    <t>ESPORAS</t>
  </si>
  <si>
    <t>PENICILLIUM CANDIUM 10 DOSIS</t>
  </si>
  <si>
    <t>Fermentos del sur</t>
  </si>
  <si>
    <t>PENICILLIUM ROQUEFORTI 50 ML</t>
  </si>
  <si>
    <t>FRUTA VERDURA</t>
  </si>
  <si>
    <t>ACELGA</t>
  </si>
  <si>
    <t>aji amarillo</t>
  </si>
  <si>
    <t>AJI CACHO CABRA AHUMADO</t>
  </si>
  <si>
    <t>AJI CACHO DE CABRA FRESCO</t>
  </si>
  <si>
    <t>AJI ROCOTO</t>
  </si>
  <si>
    <t>AJI VERDE</t>
  </si>
  <si>
    <t>AJO CABEZA</t>
  </si>
  <si>
    <t>ALBAHACA FRESCA</t>
  </si>
  <si>
    <t>ALBAHACA SECA</t>
  </si>
  <si>
    <t>ALMENDRAS EFILADAS</t>
  </si>
  <si>
    <t>ALMENDRAS SIN PIEL</t>
  </si>
  <si>
    <t>APIO MATA</t>
  </si>
  <si>
    <t>ARANDANOS FRESCOS</t>
  </si>
  <si>
    <t>ARVEJAS CONGELADAS</t>
  </si>
  <si>
    <t>ARVEJAS PARTIDAS</t>
  </si>
  <si>
    <t>BAYAS DE ENEBRO</t>
  </si>
  <si>
    <t>BERENJENA</t>
  </si>
  <si>
    <t>BERROS</t>
  </si>
  <si>
    <t>BETARRAGA</t>
  </si>
  <si>
    <t>BROCOLI</t>
  </si>
  <si>
    <t>BROTES DE ARVEJA</t>
  </si>
  <si>
    <t>BROTES DE DECORACION</t>
  </si>
  <si>
    <t>CEBOLLA BLANCA</t>
  </si>
  <si>
    <t>CEBOLLA MORADA</t>
  </si>
  <si>
    <t>CEBOLLIN</t>
  </si>
  <si>
    <t>CEREZAS FRESCAS</t>
  </si>
  <si>
    <t>Santiago natural</t>
  </si>
  <si>
    <t>CHALOTA</t>
  </si>
  <si>
    <t>CHAMPIÑON OSTRA</t>
  </si>
  <si>
    <t>CHAMPIÑON PARIS</t>
  </si>
  <si>
    <t>CHAMPIÑON PORTOBELLO</t>
  </si>
  <si>
    <t>CHOCLO GRANO CONGELADO</t>
  </si>
  <si>
    <t>CHOCLO HUMERO ENTERO</t>
  </si>
  <si>
    <t>CHOCLO PERUANO</t>
  </si>
  <si>
    <t>CIBOULETTE ATADO</t>
  </si>
  <si>
    <t>CILANTRO</t>
  </si>
  <si>
    <t>COL CHINA</t>
  </si>
  <si>
    <t>COLIFLOR</t>
  </si>
  <si>
    <t>CRANBERRIES</t>
  </si>
  <si>
    <t>DAMASCOS TURCOS</t>
  </si>
  <si>
    <t>DATILES</t>
  </si>
  <si>
    <t>ENELDO FRESCO</t>
  </si>
  <si>
    <t>ESPARRAGOS</t>
  </si>
  <si>
    <t>ESPINACA</t>
  </si>
  <si>
    <t>ESTRAGON FRESCO</t>
  </si>
  <si>
    <t>FONDOS DE ALCACHOFA</t>
  </si>
  <si>
    <t>FRAMBUESA CONGELADA</t>
  </si>
  <si>
    <t>FRAMBUESA FRESCA</t>
  </si>
  <si>
    <t>FRUTILLA CONGELADA</t>
  </si>
  <si>
    <t>FRUTILLA FRESCA</t>
  </si>
  <si>
    <t>HABAS CONGELADAS</t>
  </si>
  <si>
    <t>HIERBABUENA</t>
  </si>
  <si>
    <t>HOJAS DE KAFFIR</t>
  </si>
  <si>
    <t>JENGIBRE</t>
  </si>
  <si>
    <t>KIWI</t>
  </si>
  <si>
    <t>LECHUGA COSTINA</t>
  </si>
  <si>
    <t>LECHUGA LOLLO GREEN</t>
  </si>
  <si>
    <t>LECHUGA LOLLO ROSSA</t>
  </si>
  <si>
    <t>LIMON DE JUGO</t>
  </si>
  <si>
    <t>LIMON SUTIL</t>
  </si>
  <si>
    <t>MANGO</t>
  </si>
  <si>
    <t>MANZANA ROJA</t>
  </si>
  <si>
    <t>MANZANA VERDE</t>
  </si>
  <si>
    <t>MENTA</t>
  </si>
  <si>
    <t>MIX DE BERRIES CONGELADO</t>
  </si>
  <si>
    <t>MIX HOJAS VERDES</t>
  </si>
  <si>
    <t>MORAS CONGELADAS</t>
  </si>
  <si>
    <t>NABOS DAIKON</t>
  </si>
  <si>
    <t>NARANJA DE JUGO</t>
  </si>
  <si>
    <t>PALTA HASS</t>
  </si>
  <si>
    <t>PAPA CAMOTE</t>
  </si>
  <si>
    <t>PAPA TOPINAMBOUR</t>
  </si>
  <si>
    <t>PAPAS AMARILLAS FRESCAS</t>
  </si>
  <si>
    <t>PAPAS ARCOIRIS/NATIVAS</t>
  </si>
  <si>
    <t>PEPINO ENSALADA</t>
  </si>
  <si>
    <t>PERAS</t>
  </si>
  <si>
    <t>PEREJIL</t>
  </si>
  <si>
    <t>PEREJIL CRESPO</t>
  </si>
  <si>
    <t>pimiento amarillo</t>
  </si>
  <si>
    <t>PIMIENTO MORRON</t>
  </si>
  <si>
    <t>PIMIENTO ROJO</t>
  </si>
  <si>
    <t>PIMIENTO VERDE</t>
  </si>
  <si>
    <t>PIÑA CARAMELO</t>
  </si>
  <si>
    <t>PLATANOS</t>
  </si>
  <si>
    <t>POROTOS VERDES FRESCOS</t>
  </si>
  <si>
    <t>PUERROS</t>
  </si>
  <si>
    <t>PURE DE CEREZAS</t>
  </si>
  <si>
    <t>REPOLLO</t>
  </si>
  <si>
    <t>REPOLLO MORADO</t>
  </si>
  <si>
    <t>ROMERO FRESCO EN RAMA</t>
  </si>
  <si>
    <t>RUCULA</t>
  </si>
  <si>
    <t>SALVIA FRESCA</t>
  </si>
  <si>
    <t>TOFU EXTRA FIRME</t>
  </si>
  <si>
    <t>TOMATE CHERRY</t>
  </si>
  <si>
    <t>TOMATE LARGA VIDA</t>
  </si>
  <si>
    <t>TOMATE PELADO EN LATA</t>
  </si>
  <si>
    <t>TOMILLO FRESCO</t>
  </si>
  <si>
    <t>UVA VERDE</t>
  </si>
  <si>
    <t>ZANAHORIA</t>
  </si>
  <si>
    <t>ZAPALLO BUTTERNUT</t>
  </si>
  <si>
    <t>ZAPALLO CAMOTE</t>
  </si>
  <si>
    <t>ZAPALLO ITALIANO</t>
  </si>
  <si>
    <t>FRUTOS SECOS</t>
  </si>
  <si>
    <t>NUEZ CUARTILLO</t>
  </si>
  <si>
    <t>NUEZ PECANA</t>
  </si>
  <si>
    <t>PISTACHOS S/CASCARA SIN SAL</t>
  </si>
  <si>
    <t>HUEVO</t>
  </si>
  <si>
    <t>HUEVO EXTRA BLANCO</t>
  </si>
  <si>
    <t>HUEVOS DE CODORNIZ</t>
  </si>
  <si>
    <t>JAMON</t>
  </si>
  <si>
    <t>JAMON ACARAMELADO LAMINADO</t>
  </si>
  <si>
    <t>JAMON PIERNA LAMINADO</t>
  </si>
  <si>
    <t>JUGO</t>
  </si>
  <si>
    <t>JUGO DE NARANJA</t>
  </si>
  <si>
    <t>LACTEO</t>
  </si>
  <si>
    <t>CREMA ACIDA</t>
  </si>
  <si>
    <t>CREMA DE COCO</t>
  </si>
  <si>
    <t>CREMA DE LECHE</t>
  </si>
  <si>
    <t>LECHE CONDENSADA</t>
  </si>
  <si>
    <t>LECHE CONDENSADA DE AVENA (SAMUI) 320gr</t>
  </si>
  <si>
    <t>LECHE DE ALMENDRAS</t>
  </si>
  <si>
    <t>LECHE DE COCO</t>
  </si>
  <si>
    <t>LECHE DESCREMADA</t>
  </si>
  <si>
    <t>LECHE DESCREMADA SIN LACTOSA</t>
  </si>
  <si>
    <t>LECHE EN POLVO DESCREMADA</t>
  </si>
  <si>
    <t>LECHE EN POLVO ENTERA</t>
  </si>
  <si>
    <t>LECHE ENTERA</t>
  </si>
  <si>
    <t>MANJAR</t>
  </si>
  <si>
    <t>MANTEQUILLA CON SAL</t>
  </si>
  <si>
    <t>MANTEQUILLA SIN SAL</t>
  </si>
  <si>
    <t>MARGARINA</t>
  </si>
  <si>
    <t>MARGARINA DE HOJA</t>
  </si>
  <si>
    <t>MARGARINA DE HORNEO</t>
  </si>
  <si>
    <t>QUESO AZUL</t>
  </si>
  <si>
    <t>QUESO CABRA</t>
  </si>
  <si>
    <t>QUESO CHANCO LAMINADO</t>
  </si>
  <si>
    <t>QUESO CHEDDAR LAMINADO</t>
  </si>
  <si>
    <t>QUESO CREMA</t>
  </si>
  <si>
    <t>QUESO CREMA LIGHT</t>
  </si>
  <si>
    <t>QUESO FETA</t>
  </si>
  <si>
    <t>queso fresco</t>
  </si>
  <si>
    <t>QUESO GAUDA LAMINADO</t>
  </si>
  <si>
    <t>QUESO GRUYERE</t>
  </si>
  <si>
    <t>QUESO MANTECOSO LAMINADO</t>
  </si>
  <si>
    <t>QUESO MANTECOSO PIEZA</t>
  </si>
  <si>
    <t>QUESO MASCARPONE</t>
  </si>
  <si>
    <t>QUESO MOZZARELLA</t>
  </si>
  <si>
    <t>QUESO PARMESANO</t>
  </si>
  <si>
    <t>QUESO PARMESANO RALLADO</t>
  </si>
  <si>
    <t>QUESO RICOTTA</t>
  </si>
  <si>
    <t>LEGUMBRE</t>
  </si>
  <si>
    <t>POROTOS NEGROS</t>
  </si>
  <si>
    <t>POROTOS ROJO/ADZUKI</t>
  </si>
  <si>
    <t>Mercadoasia.cl</t>
  </si>
  <si>
    <t>LICOR</t>
  </si>
  <si>
    <t>AMARETTO DISARONNO</t>
  </si>
  <si>
    <t>BRANDY TRES PALOS</t>
  </si>
  <si>
    <t>COÑAC TRES PALOS</t>
  </si>
  <si>
    <t>GRAND MANIER</t>
  </si>
  <si>
    <t>LICOR DE CAFE MITJANS</t>
  </si>
  <si>
    <t>LICOR DE GUINDA/KIRSCH</t>
  </si>
  <si>
    <t>MALIBU</t>
  </si>
  <si>
    <t>MIRIN/LICOR DE ARROZ DULCE</t>
  </si>
  <si>
    <t>PISCO</t>
  </si>
  <si>
    <t>PISCO CAPEL 35º</t>
  </si>
  <si>
    <t>RON MITJANS DORADO</t>
  </si>
  <si>
    <t>SAKE / LICOR DE ARROZ JAPONES</t>
  </si>
  <si>
    <t>VODKA STOLICHNAYA</t>
  </si>
  <si>
    <t>MASA</t>
  </si>
  <si>
    <t>MASA DE HOJA</t>
  </si>
  <si>
    <t>NITROGENO</t>
  </si>
  <si>
    <t>NITROGENO LIQUIDO</t>
  </si>
  <si>
    <t>Maxi 02</t>
  </si>
  <si>
    <t>PAN</t>
  </si>
  <si>
    <t>MINI PAN HAWAIANO POR UNIDAD</t>
  </si>
  <si>
    <t>PAN BAGUETTE NORMAL</t>
  </si>
  <si>
    <t>PAN DE COMPLETO LENGUA</t>
  </si>
  <si>
    <t>PAN FRICA 11CM S/SEMILLAS</t>
  </si>
  <si>
    <t>PAN FRICA MINI</t>
  </si>
  <si>
    <t>PAN MARRAQUETA</t>
  </si>
  <si>
    <t>PAN MARRAQUETA MINI</t>
  </si>
  <si>
    <t>PAN MOLDE BLANCO LAMINA</t>
  </si>
  <si>
    <t>PATO</t>
  </si>
  <si>
    <t>PATO MAGRET</t>
  </si>
  <si>
    <t>PESCADO MARISCO</t>
  </si>
  <si>
    <t>ALMEJAS FRESCAS</t>
  </si>
  <si>
    <t xml:space="preserve">Rosa Bustos </t>
  </si>
  <si>
    <t>ANCHOAS FILETES</t>
  </si>
  <si>
    <t>icefood</t>
  </si>
  <si>
    <t>ATUN FRESCO</t>
  </si>
  <si>
    <t>Rosa Bustos</t>
  </si>
  <si>
    <t>CALAMAR VAINA CHICO</t>
  </si>
  <si>
    <t>CALAMAR VAINA GRANDE</t>
  </si>
  <si>
    <t>CAMARON ECUATORIANO 21-25</t>
  </si>
  <si>
    <t>CAMARON ECUATORIANO 36-40</t>
  </si>
  <si>
    <t>CAMARON NACIONAL 100-200</t>
  </si>
  <si>
    <t>CHORITOS FRESCOS</t>
  </si>
  <si>
    <t>CONGRIO COLORADO ENTERO FRESCO</t>
  </si>
  <si>
    <t>CONGRIO FRESCO FILETE</t>
  </si>
  <si>
    <t>CONGRIO NEGRO ENTERO FRESCO</t>
  </si>
  <si>
    <t>CORVINA ENTERA FRESCA UN</t>
  </si>
  <si>
    <t>ERIZOS LENGUA</t>
  </si>
  <si>
    <t>ESPINAS DE PESCADO</t>
  </si>
  <si>
    <t>huevas de salmon</t>
  </si>
  <si>
    <t>JAIBA CARNE</t>
  </si>
  <si>
    <t>MACHAS FRESCAS</t>
  </si>
  <si>
    <t>MARISCOS CONGELADOS PREMIUM</t>
  </si>
  <si>
    <t>MERLUZA FRESCA ENTERA</t>
  </si>
  <si>
    <t>MERLUZA FRESCA FILETE</t>
  </si>
  <si>
    <t>OSTION FRESCO CON CORAL</t>
  </si>
  <si>
    <t>OSTIONES CONGELADOS</t>
  </si>
  <si>
    <t>PICOROCOS</t>
  </si>
  <si>
    <t>PIURE CARNE</t>
  </si>
  <si>
    <t>PULPO ENTERO</t>
  </si>
  <si>
    <t>REINETA ENTERA FRESCA</t>
  </si>
  <si>
    <t>REINETA FILETE FRESCA</t>
  </si>
  <si>
    <t>SALMON FRESCO FILETE C/PIEL</t>
  </si>
  <si>
    <t>POLLO</t>
  </si>
  <si>
    <t>HUESOS DE POLLO</t>
  </si>
  <si>
    <t>POLLO HUESOS</t>
  </si>
  <si>
    <t>POLLO PECHUGA ENTERA</t>
  </si>
  <si>
    <t>POLLO PECHUGA S/HUESO</t>
  </si>
  <si>
    <t>POLLO TRUTRO ALA</t>
  </si>
  <si>
    <t>POLLO TRUTRO CORTO</t>
  </si>
  <si>
    <t>POLLO TRUTRO ENTERO</t>
  </si>
  <si>
    <t>TE</t>
  </si>
  <si>
    <t>TE LIPTON 100 UNIDADES</t>
  </si>
  <si>
    <t>TE LIPTON BOLSA</t>
  </si>
  <si>
    <t>TE MATCHA</t>
  </si>
  <si>
    <t>TE NEGRO EN HOJA</t>
  </si>
  <si>
    <t>VACUNO</t>
  </si>
  <si>
    <t>CARNE MOLIDA TARTARO 3% GRASA</t>
  </si>
  <si>
    <t>CHARQUI</t>
  </si>
  <si>
    <t>CHUNCHULES</t>
  </si>
  <si>
    <t>UBRES DE VACA</t>
  </si>
  <si>
    <t>VACUNO ASADO DE TIRA</t>
  </si>
  <si>
    <t>VACUNO ASIENTO</t>
  </si>
  <si>
    <t>VACUNO CARNE MOLIDA AL 10%</t>
  </si>
  <si>
    <t>VACUNO CHOCLILLO</t>
  </si>
  <si>
    <t>VACUNO ENTRAÑA</t>
  </si>
  <si>
    <t>VACUNO FILETE ENTERO</t>
  </si>
  <si>
    <t>VACUNO GUATA CALLO (GUATITAS)</t>
  </si>
  <si>
    <t>VACUNO HUESOS</t>
  </si>
  <si>
    <t>VACUNO LENGUA</t>
  </si>
  <si>
    <t>VACUNO LOMO LISO</t>
  </si>
  <si>
    <t>VACUNO LOMO VETADO</t>
  </si>
  <si>
    <t>VACUNO MOLLEJAS PEQUEÑAS</t>
  </si>
  <si>
    <t>VACUNO OSOBUCO PIERNA</t>
  </si>
  <si>
    <t>VACUNO PALANCA</t>
  </si>
  <si>
    <t>VACUNO POLLO GANSO</t>
  </si>
  <si>
    <t>VACUNO POSTA NEGRA</t>
  </si>
  <si>
    <t>VACUNO POSTA ROSADA</t>
  </si>
  <si>
    <t>VACUNO PUNTA PALETA</t>
  </si>
  <si>
    <t>VACUNO SOBRECOSTILLA</t>
  </si>
  <si>
    <t>VINO</t>
  </si>
  <si>
    <t>OPORTO DIAMANTE MITJANS</t>
  </si>
  <si>
    <t>VINO BLANCO TETRA PACK</t>
  </si>
  <si>
    <t>VINO CASAS PATRONALES CARMENERE RESERVA</t>
  </si>
  <si>
    <t>VINO CONO SUR CARMENERE</t>
  </si>
  <si>
    <t>VINO CONO SUR CHARDONNAY BICICLETA</t>
  </si>
  <si>
    <t>VINO TINTO TETRA</t>
  </si>
  <si>
    <t>LT</t>
  </si>
  <si>
    <t>YOGURT</t>
  </si>
  <si>
    <t>YOGURT BATIDO SABOR FRAMBUESA</t>
  </si>
  <si>
    <t>yogurt natural</t>
  </si>
  <si>
    <t>YOGURT NATURAL LIGHT</t>
  </si>
  <si>
    <t>#N/D</t>
  </si>
  <si>
    <t xml:space="preserve">CUAJO </t>
  </si>
  <si>
    <t>LACTEOS</t>
  </si>
  <si>
    <t>LECHE EVAPORADA</t>
  </si>
  <si>
    <t xml:space="preserve">leche fresca </t>
  </si>
  <si>
    <t>Leche fresca Spa</t>
  </si>
  <si>
    <t>MASA FILO</t>
  </si>
  <si>
    <t>CC</t>
  </si>
  <si>
    <t>BANDEJA</t>
  </si>
  <si>
    <t>MEDIDA</t>
  </si>
  <si>
    <t>NETO</t>
  </si>
  <si>
    <t>BRUTO</t>
  </si>
  <si>
    <t>RAMO</t>
  </si>
  <si>
    <t>SUB-RAMO</t>
  </si>
  <si>
    <t>TTPICSES1</t>
  </si>
  <si>
    <t>APIO RAMA</t>
  </si>
  <si>
    <t>POLLO PECHUGA ENTERA UN</t>
  </si>
  <si>
    <t>harina bizcochera</t>
  </si>
  <si>
    <t>huevo extra blanco</t>
  </si>
  <si>
    <t>aceite de oliva</t>
  </si>
  <si>
    <t>ajo cabeza</t>
  </si>
  <si>
    <t>alcaparras</t>
  </si>
  <si>
    <t>perejil</t>
  </si>
  <si>
    <t>laurel</t>
  </si>
  <si>
    <t>semolina</t>
  </si>
  <si>
    <t>queso gruyere</t>
  </si>
  <si>
    <t>pimienta negra molida</t>
  </si>
  <si>
    <t>huesos de pollo</t>
  </si>
  <si>
    <t>tomillo fresco</t>
  </si>
  <si>
    <t>Champiñon Paris</t>
  </si>
  <si>
    <t>pimiento rojo</t>
  </si>
  <si>
    <t>cebollin</t>
  </si>
  <si>
    <t>pepino ensalada</t>
  </si>
  <si>
    <t>papas</t>
  </si>
  <si>
    <t>pollo trutro corto</t>
  </si>
  <si>
    <t>salsa de soya</t>
  </si>
  <si>
    <t>jengibre</t>
  </si>
  <si>
    <t>zanahoria</t>
  </si>
  <si>
    <t>cebolla blanca</t>
  </si>
  <si>
    <t>cilantro</t>
  </si>
  <si>
    <t>limon de jugo</t>
  </si>
  <si>
    <t>menta</t>
  </si>
  <si>
    <t>queso crema</t>
  </si>
  <si>
    <t>azucar rubia</t>
  </si>
  <si>
    <t>zapallo italiano</t>
  </si>
  <si>
    <t>albahaca fresca</t>
  </si>
  <si>
    <t>chalota</t>
  </si>
  <si>
    <t>espinaca</t>
  </si>
  <si>
    <t>aceite vegetal</t>
  </si>
  <si>
    <t>pasta curry verde</t>
  </si>
  <si>
    <t>cebolla morada</t>
  </si>
  <si>
    <t>aji de color</t>
  </si>
  <si>
    <t>ajo en polvo</t>
  </si>
  <si>
    <t>apio rama</t>
  </si>
  <si>
    <t>limon sutil</t>
  </si>
  <si>
    <t>palta hass</t>
  </si>
  <si>
    <t>queso parmesano</t>
  </si>
  <si>
    <t>ajinomoto</t>
  </si>
  <si>
    <t>aceite para freir</t>
  </si>
  <si>
    <t>vinagre blanco</t>
  </si>
  <si>
    <t>pan rallado</t>
  </si>
  <si>
    <t>queso mantecoso laminado</t>
  </si>
  <si>
    <t>oregano fresco</t>
  </si>
  <si>
    <t>aji rocoto</t>
  </si>
  <si>
    <t>vinagre tinto</t>
  </si>
  <si>
    <t>aji verde</t>
  </si>
  <si>
    <t>mostaza</t>
  </si>
  <si>
    <t>crema de leche</t>
  </si>
  <si>
    <t>comino molido</t>
  </si>
  <si>
    <t>merken</t>
  </si>
  <si>
    <t>pan marraqueta</t>
  </si>
  <si>
    <t>zapallo camote</t>
  </si>
  <si>
    <t>PAPA</t>
  </si>
  <si>
    <t>MIEL</t>
  </si>
  <si>
    <t>sal de mesa lobos</t>
  </si>
  <si>
    <t>choclo grano congelado</t>
  </si>
  <si>
    <t>manteca vegetal</t>
  </si>
  <si>
    <t>atun fresco</t>
  </si>
  <si>
    <t>MANJAR NESTLE</t>
  </si>
  <si>
    <t>YOGURT NATURAL</t>
  </si>
  <si>
    <t>VASOS DE DEGUSTACION 3 OZ C/TAPA</t>
  </si>
  <si>
    <t>VASOS ACRILICOS DE DEGUSTACION 2 OZ C/TAPA</t>
  </si>
  <si>
    <t>QUESO FRESCO</t>
  </si>
  <si>
    <t>VINAGRE DE JEREZ</t>
  </si>
  <si>
    <t>PIMIENTO AMARILLO</t>
  </si>
  <si>
    <t>VINAGRE DE ARROZ</t>
  </si>
  <si>
    <t xml:space="preserve">cuchara de madera </t>
  </si>
  <si>
    <t>CHUCRUT ENCURTIDO 680 Gr (FRASCO)</t>
  </si>
  <si>
    <t>BROCHETA DE BAMBU 10 CM 100 UNI</t>
  </si>
  <si>
    <t>leche fresca rebeca</t>
  </si>
  <si>
    <t>SALSA DE PESCADO</t>
  </si>
  <si>
    <t>SAL DE CURA #1</t>
  </si>
  <si>
    <t>CHUÑO</t>
  </si>
  <si>
    <t>ALGA NORI</t>
  </si>
  <si>
    <t>MASA FILO 320GR</t>
  </si>
  <si>
    <t>JUGO DE NARANJA SELECCION</t>
  </si>
  <si>
    <t>SACAROSA</t>
  </si>
  <si>
    <t>MALVAVISCOS 240 GR</t>
  </si>
  <si>
    <t>Kg</t>
  </si>
  <si>
    <t>CANTIDAD</t>
  </si>
  <si>
    <t>CATEGORIA</t>
  </si>
  <si>
    <t>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</si>
</sst>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0.000"/>
  </numFmts>
  <fonts count="1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Arial"/>
      <family val="2"/>
    </font>
    <font>
      <sz val="11"/>
      <name val="Aptos narrow"/>
      <family val="2"/>
    </font>
    <font>
      <b/>
      <sz val="11"/>
      <name val="Aptos narrow"/>
      <family val="2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22222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5608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24">
    <xf numFmtId="0" fontId="0" fillId="0" borderId="0" xfId="0"/>
    <xf numFmtId="42" fontId="0" fillId="0" borderId="0" xfId="1" applyFont="1"/>
    <xf numFmtId="0" fontId="0" fillId="0" borderId="1" xfId="0" applyBorder="1"/>
    <xf numFmtId="0" fontId="0" fillId="0" borderId="5" xfId="0" applyBorder="1"/>
    <xf numFmtId="0" fontId="0" fillId="0" borderId="9" xfId="0" applyBorder="1"/>
    <xf numFmtId="0" fontId="0" fillId="0" borderId="19" xfId="0" applyBorder="1"/>
    <xf numFmtId="0" fontId="1" fillId="0" borderId="7" xfId="0" applyFont="1" applyBorder="1" applyAlignment="1">
      <alignment horizontal="center" vertical="center" wrapText="1"/>
    </xf>
    <xf numFmtId="42" fontId="0" fillId="0" borderId="0" xfId="1" applyFont="1" applyFill="1" applyBorder="1"/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5" fillId="0" borderId="7" xfId="0" applyFont="1" applyBorder="1" applyAlignment="1">
      <alignment horizontal="center" wrapText="1"/>
    </xf>
    <xf numFmtId="0" fontId="5" fillId="5" borderId="7" xfId="0" applyFont="1" applyFill="1" applyBorder="1" applyAlignment="1">
      <alignment horizontal="center" wrapText="1"/>
    </xf>
    <xf numFmtId="0" fontId="5" fillId="5" borderId="7" xfId="0" applyFont="1" applyFill="1" applyBorder="1" applyAlignment="1">
      <alignment wrapText="1"/>
    </xf>
    <xf numFmtId="0" fontId="5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wrapText="1"/>
    </xf>
    <xf numFmtId="0" fontId="4" fillId="4" borderId="17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wrapText="1"/>
    </xf>
    <xf numFmtId="0" fontId="5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wrapText="1"/>
    </xf>
    <xf numFmtId="0" fontId="5" fillId="0" borderId="23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7" xfId="0" applyFont="1" applyBorder="1" applyAlignment="1">
      <alignment wrapText="1"/>
    </xf>
    <xf numFmtId="0" fontId="5" fillId="0" borderId="25" xfId="0" applyFont="1" applyBorder="1" applyAlignment="1">
      <alignment horizontal="center" vertical="center" wrapText="1"/>
    </xf>
    <xf numFmtId="0" fontId="6" fillId="0" borderId="11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5" fillId="0" borderId="17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5" borderId="8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5" borderId="3" xfId="0" applyFont="1" applyFill="1" applyBorder="1" applyAlignment="1">
      <alignment horizontal="center" wrapText="1"/>
    </xf>
    <xf numFmtId="0" fontId="5" fillId="5" borderId="3" xfId="0" applyFont="1" applyFill="1" applyBorder="1" applyAlignment="1">
      <alignment wrapText="1"/>
    </xf>
    <xf numFmtId="0" fontId="5" fillId="5" borderId="25" xfId="0" applyFont="1" applyFill="1" applyBorder="1" applyAlignment="1">
      <alignment horizontal="center" wrapText="1"/>
    </xf>
    <xf numFmtId="0" fontId="5" fillId="5" borderId="18" xfId="0" applyFont="1" applyFill="1" applyBorder="1" applyAlignment="1">
      <alignment horizontal="center" wrapText="1"/>
    </xf>
    <xf numFmtId="0" fontId="5" fillId="5" borderId="18" xfId="0" applyFont="1" applyFill="1" applyBorder="1" applyAlignment="1">
      <alignment wrapText="1"/>
    </xf>
    <xf numFmtId="0" fontId="4" fillId="4" borderId="26" xfId="0" applyFont="1" applyFill="1" applyBorder="1"/>
    <xf numFmtId="42" fontId="0" fillId="0" borderId="0" xfId="0" applyNumberFormat="1"/>
    <xf numFmtId="0" fontId="4" fillId="4" borderId="0" xfId="0" applyFont="1" applyFill="1"/>
    <xf numFmtId="0" fontId="7" fillId="0" borderId="7" xfId="0" applyFont="1" applyBorder="1"/>
    <xf numFmtId="0" fontId="4" fillId="4" borderId="21" xfId="0" applyFont="1" applyFill="1" applyBorder="1"/>
    <xf numFmtId="0" fontId="4" fillId="4" borderId="20" xfId="0" applyFont="1" applyFill="1" applyBorder="1"/>
    <xf numFmtId="0" fontId="4" fillId="4" borderId="27" xfId="0" applyFont="1" applyFill="1" applyBorder="1"/>
    <xf numFmtId="0" fontId="4" fillId="4" borderId="22" xfId="0" applyFont="1" applyFill="1" applyBorder="1"/>
    <xf numFmtId="164" fontId="7" fillId="0" borderId="7" xfId="0" applyNumberFormat="1" applyFont="1" applyBorder="1"/>
    <xf numFmtId="42" fontId="7" fillId="0" borderId="7" xfId="1" applyFont="1" applyFill="1" applyBorder="1"/>
    <xf numFmtId="42" fontId="9" fillId="0" borderId="7" xfId="0" applyNumberFormat="1" applyFont="1" applyBorder="1"/>
    <xf numFmtId="42" fontId="8" fillId="0" borderId="7" xfId="1" applyFont="1" applyFill="1" applyBorder="1"/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42" fontId="7" fillId="0" borderId="7" xfId="1" applyFont="1" applyFill="1" applyBorder="1" applyAlignment="1">
      <alignment horizontal="center" vertical="center"/>
    </xf>
    <xf numFmtId="164" fontId="10" fillId="6" borderId="28" xfId="0" applyNumberFormat="1" applyFont="1" applyFill="1" applyBorder="1" applyAlignment="1">
      <alignment horizontal="right" wrapText="1"/>
    </xf>
    <xf numFmtId="164" fontId="10" fillId="6" borderId="29" xfId="0" applyNumberFormat="1" applyFont="1" applyFill="1" applyBorder="1" applyAlignment="1">
      <alignment horizontal="right" wrapText="1"/>
    </xf>
    <xf numFmtId="0" fontId="11" fillId="0" borderId="7" xfId="0" applyFont="1" applyBorder="1"/>
    <xf numFmtId="164" fontId="11" fillId="6" borderId="7" xfId="0" applyNumberFormat="1" applyFont="1" applyFill="1" applyBorder="1" applyAlignment="1">
      <alignment horizontal="right" wrapText="1"/>
    </xf>
    <xf numFmtId="0" fontId="12" fillId="6" borderId="7" xfId="0" applyFont="1" applyFill="1" applyBorder="1"/>
    <xf numFmtId="164" fontId="13" fillId="7" borderId="7" xfId="0" applyNumberFormat="1" applyFont="1" applyFill="1" applyBorder="1"/>
    <xf numFmtId="0" fontId="14" fillId="7" borderId="7" xfId="0" applyFont="1" applyFill="1" applyBorder="1"/>
    <xf numFmtId="164" fontId="14" fillId="7" borderId="7" xfId="0" applyNumberFormat="1" applyFont="1" applyFill="1" applyBorder="1"/>
    <xf numFmtId="0" fontId="15" fillId="6" borderId="7" xfId="0" applyFont="1" applyFill="1" applyBorder="1"/>
    <xf numFmtId="0" fontId="11" fillId="6" borderId="7" xfId="0" applyFont="1" applyFill="1" applyBorder="1"/>
    <xf numFmtId="0" fontId="11" fillId="0" borderId="7" xfId="0" applyFont="1" applyBorder="1" applyAlignment="1">
      <alignment horizontal="center" vertical="center"/>
    </xf>
    <xf numFmtId="164" fontId="11" fillId="6" borderId="7" xfId="0" applyNumberFormat="1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1" fillId="0" borderId="15" xfId="0" applyFont="1" applyFill="1" applyBorder="1" applyAlignment="1">
      <alignment horizontal="center" vertic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E2B82-CC1B-4C2D-9238-AB9C7AAF77A3}">
  <sheetPr codeName="Hoja1"/>
  <dimension ref="B2:G60"/>
  <sheetViews>
    <sheetView tabSelected="1" workbookViewId="0">
      <selection activeCell="D3" sqref="D3:G3"/>
    </sheetView>
  </sheetViews>
  <sheetFormatPr baseColWidth="10" defaultRowHeight="14.5" x14ac:dyDescent="0.35"/>
  <cols>
    <col min="5" max="5" width="48.26953125" bestFit="1" customWidth="1"/>
    <col min="7" max="7" width="12.08984375" bestFit="1" customWidth="1"/>
  </cols>
  <sheetData>
    <row r="2" spans="2:7" ht="15" customHeight="1" thickBot="1" x14ac:dyDescent="0.4">
      <c r="B2" s="22" t="s">
        <v>207</v>
      </c>
      <c r="C2" s="22" t="s">
        <v>208</v>
      </c>
      <c r="D2" s="22" t="s">
        <v>209</v>
      </c>
      <c r="E2" s="22" t="s">
        <v>210</v>
      </c>
      <c r="F2" s="22" t="s">
        <v>212</v>
      </c>
      <c r="G2" s="22" t="s">
        <v>213</v>
      </c>
    </row>
    <row r="3" spans="2:7" ht="15" customHeight="1" x14ac:dyDescent="0.35">
      <c r="B3" s="23">
        <v>1</v>
      </c>
      <c r="C3" s="24" t="s">
        <v>200</v>
      </c>
      <c r="D3" s="25" t="s">
        <v>199</v>
      </c>
      <c r="E3" s="25" t="s">
        <v>211</v>
      </c>
      <c r="F3" s="11">
        <v>1</v>
      </c>
      <c r="G3" s="61">
        <v>18</v>
      </c>
    </row>
    <row r="4" spans="2:7" ht="15" customHeight="1" x14ac:dyDescent="0.35">
      <c r="B4" s="26">
        <v>1</v>
      </c>
      <c r="C4" s="14" t="s">
        <v>200</v>
      </c>
      <c r="D4" s="15" t="s">
        <v>199</v>
      </c>
      <c r="E4" s="15" t="s">
        <v>211</v>
      </c>
      <c r="F4" s="10">
        <v>2</v>
      </c>
      <c r="G4" s="62">
        <v>18</v>
      </c>
    </row>
    <row r="5" spans="2:7" ht="15" customHeight="1" x14ac:dyDescent="0.35">
      <c r="B5" s="26">
        <v>1</v>
      </c>
      <c r="C5" s="14" t="s">
        <v>200</v>
      </c>
      <c r="D5" s="15" t="s">
        <v>199</v>
      </c>
      <c r="E5" s="15" t="s">
        <v>211</v>
      </c>
      <c r="F5" s="10">
        <v>3</v>
      </c>
      <c r="G5" s="62">
        <v>16</v>
      </c>
    </row>
    <row r="6" spans="2:7" ht="15" customHeight="1" x14ac:dyDescent="0.35">
      <c r="B6" s="26">
        <v>1</v>
      </c>
      <c r="C6" s="14" t="s">
        <v>200</v>
      </c>
      <c r="D6" s="15" t="s">
        <v>199</v>
      </c>
      <c r="E6" s="15" t="s">
        <v>211</v>
      </c>
      <c r="F6" s="10">
        <v>4</v>
      </c>
      <c r="G6" s="62">
        <v>16</v>
      </c>
    </row>
    <row r="7" spans="2:7" ht="15" customHeight="1" thickBot="1" x14ac:dyDescent="0.4">
      <c r="B7" s="30">
        <v>1</v>
      </c>
      <c r="C7" s="31" t="s">
        <v>200</v>
      </c>
      <c r="D7" s="32" t="s">
        <v>199</v>
      </c>
      <c r="E7" s="32" t="s">
        <v>211</v>
      </c>
      <c r="F7" s="63">
        <v>5</v>
      </c>
      <c r="G7" s="64">
        <v>17</v>
      </c>
    </row>
    <row r="8" spans="2:7" ht="15" customHeight="1" x14ac:dyDescent="0.35">
      <c r="B8" s="23">
        <v>2</v>
      </c>
      <c r="C8" s="24" t="s">
        <v>167</v>
      </c>
      <c r="D8" s="25" t="s">
        <v>166</v>
      </c>
      <c r="E8" s="25" t="s">
        <v>165</v>
      </c>
      <c r="F8" s="11">
        <v>1</v>
      </c>
      <c r="G8" s="61">
        <v>18</v>
      </c>
    </row>
    <row r="9" spans="2:7" ht="15" customHeight="1" x14ac:dyDescent="0.35">
      <c r="B9" s="26">
        <v>2</v>
      </c>
      <c r="C9" s="14" t="s">
        <v>167</v>
      </c>
      <c r="D9" s="15" t="s">
        <v>166</v>
      </c>
      <c r="E9" s="15" t="s">
        <v>165</v>
      </c>
      <c r="F9" s="10">
        <v>2</v>
      </c>
      <c r="G9" s="62">
        <v>18</v>
      </c>
    </row>
    <row r="10" spans="2:7" ht="15" customHeight="1" x14ac:dyDescent="0.35">
      <c r="B10" s="26">
        <v>2</v>
      </c>
      <c r="C10" s="14" t="s">
        <v>167</v>
      </c>
      <c r="D10" s="15" t="s">
        <v>166</v>
      </c>
      <c r="E10" s="15" t="s">
        <v>165</v>
      </c>
      <c r="F10" s="10">
        <v>3</v>
      </c>
      <c r="G10" s="62">
        <v>16</v>
      </c>
    </row>
    <row r="11" spans="2:7" ht="15" customHeight="1" x14ac:dyDescent="0.35">
      <c r="B11" s="26">
        <v>2</v>
      </c>
      <c r="C11" s="14" t="s">
        <v>167</v>
      </c>
      <c r="D11" s="15" t="s">
        <v>166</v>
      </c>
      <c r="E11" s="15" t="s">
        <v>165</v>
      </c>
      <c r="F11" s="10">
        <v>4</v>
      </c>
      <c r="G11" s="62">
        <v>16</v>
      </c>
    </row>
    <row r="12" spans="2:7" ht="15" customHeight="1" thickBot="1" x14ac:dyDescent="0.4">
      <c r="B12" s="30">
        <v>2</v>
      </c>
      <c r="C12" s="31" t="s">
        <v>167</v>
      </c>
      <c r="D12" s="32" t="s">
        <v>166</v>
      </c>
      <c r="E12" s="32" t="s">
        <v>165</v>
      </c>
      <c r="F12" s="63">
        <v>5</v>
      </c>
      <c r="G12" s="64">
        <v>17</v>
      </c>
    </row>
    <row r="13" spans="2:7" ht="15" customHeight="1" x14ac:dyDescent="0.35">
      <c r="B13" s="23">
        <v>3</v>
      </c>
      <c r="C13" s="24" t="s">
        <v>136</v>
      </c>
      <c r="D13" s="25" t="s">
        <v>135</v>
      </c>
      <c r="E13" s="25" t="s">
        <v>134</v>
      </c>
      <c r="F13" s="11">
        <v>1</v>
      </c>
      <c r="G13" s="61">
        <v>20</v>
      </c>
    </row>
    <row r="14" spans="2:7" ht="15" customHeight="1" x14ac:dyDescent="0.35">
      <c r="B14" s="26">
        <v>3</v>
      </c>
      <c r="C14" s="14" t="s">
        <v>136</v>
      </c>
      <c r="D14" s="15" t="s">
        <v>135</v>
      </c>
      <c r="E14" s="15" t="s">
        <v>134</v>
      </c>
      <c r="F14" s="10">
        <v>2</v>
      </c>
      <c r="G14" s="62">
        <v>20</v>
      </c>
    </row>
    <row r="15" spans="2:7" ht="15" customHeight="1" x14ac:dyDescent="0.35">
      <c r="B15" s="26">
        <v>3</v>
      </c>
      <c r="C15" s="14" t="s">
        <v>136</v>
      </c>
      <c r="D15" s="15" t="s">
        <v>135</v>
      </c>
      <c r="E15" s="15" t="s">
        <v>134</v>
      </c>
      <c r="F15" s="10">
        <v>3</v>
      </c>
      <c r="G15" s="62">
        <v>21</v>
      </c>
    </row>
    <row r="16" spans="2:7" ht="15" customHeight="1" thickBot="1" x14ac:dyDescent="0.4">
      <c r="B16" s="27">
        <v>3</v>
      </c>
      <c r="C16" s="28" t="s">
        <v>136</v>
      </c>
      <c r="D16" s="29" t="s">
        <v>135</v>
      </c>
      <c r="E16" s="29" t="s">
        <v>134</v>
      </c>
      <c r="F16" s="9">
        <v>4</v>
      </c>
      <c r="G16" s="65">
        <v>21</v>
      </c>
    </row>
    <row r="17" spans="2:7" ht="15" customHeight="1" x14ac:dyDescent="0.35">
      <c r="B17" s="33">
        <v>3</v>
      </c>
      <c r="C17" s="20" t="s">
        <v>107</v>
      </c>
      <c r="D17" s="21" t="s">
        <v>106</v>
      </c>
      <c r="E17" s="21" t="s">
        <v>105</v>
      </c>
      <c r="F17" s="66">
        <v>1</v>
      </c>
      <c r="G17" s="67">
        <v>20</v>
      </c>
    </row>
    <row r="18" spans="2:7" ht="15" customHeight="1" x14ac:dyDescent="0.35">
      <c r="B18" s="26">
        <v>3</v>
      </c>
      <c r="C18" s="14" t="s">
        <v>107</v>
      </c>
      <c r="D18" s="15" t="s">
        <v>106</v>
      </c>
      <c r="E18" s="15" t="s">
        <v>105</v>
      </c>
      <c r="F18" s="10">
        <v>2</v>
      </c>
      <c r="G18" s="62">
        <v>20</v>
      </c>
    </row>
    <row r="19" spans="2:7" ht="15" customHeight="1" x14ac:dyDescent="0.35">
      <c r="B19" s="26">
        <v>3</v>
      </c>
      <c r="C19" s="14" t="s">
        <v>107</v>
      </c>
      <c r="D19" s="15" t="s">
        <v>106</v>
      </c>
      <c r="E19" s="15" t="s">
        <v>105</v>
      </c>
      <c r="F19" s="10">
        <v>3</v>
      </c>
      <c r="G19" s="62">
        <v>21</v>
      </c>
    </row>
    <row r="20" spans="2:7" ht="15" customHeight="1" thickBot="1" x14ac:dyDescent="0.4">
      <c r="B20" s="30">
        <v>3</v>
      </c>
      <c r="C20" s="31" t="s">
        <v>107</v>
      </c>
      <c r="D20" s="32" t="s">
        <v>106</v>
      </c>
      <c r="E20" s="32" t="s">
        <v>105</v>
      </c>
      <c r="F20" s="63">
        <v>4</v>
      </c>
      <c r="G20" s="64">
        <v>21</v>
      </c>
    </row>
    <row r="21" spans="2:7" ht="15" customHeight="1" x14ac:dyDescent="0.35">
      <c r="B21" s="23">
        <v>4</v>
      </c>
      <c r="C21" s="24" t="s">
        <v>104</v>
      </c>
      <c r="D21" s="34" t="s">
        <v>103</v>
      </c>
      <c r="E21" s="25" t="s">
        <v>102</v>
      </c>
      <c r="F21" s="11">
        <v>1</v>
      </c>
      <c r="G21" s="61">
        <v>20</v>
      </c>
    </row>
    <row r="22" spans="2:7" ht="15" customHeight="1" x14ac:dyDescent="0.35">
      <c r="B22" s="26">
        <v>4</v>
      </c>
      <c r="C22" s="14" t="s">
        <v>104</v>
      </c>
      <c r="D22" s="16" t="s">
        <v>103</v>
      </c>
      <c r="E22" s="15" t="s">
        <v>102</v>
      </c>
      <c r="F22" s="10">
        <v>2</v>
      </c>
      <c r="G22" s="62">
        <v>20</v>
      </c>
    </row>
    <row r="23" spans="2:7" ht="15" customHeight="1" x14ac:dyDescent="0.35">
      <c r="B23" s="26">
        <v>4</v>
      </c>
      <c r="C23" s="14" t="s">
        <v>104</v>
      </c>
      <c r="D23" s="16" t="s">
        <v>103</v>
      </c>
      <c r="E23" s="15" t="s">
        <v>102</v>
      </c>
      <c r="F23" s="10">
        <v>3</v>
      </c>
      <c r="G23" s="62">
        <v>21</v>
      </c>
    </row>
    <row r="24" spans="2:7" ht="15" customHeight="1" thickBot="1" x14ac:dyDescent="0.4">
      <c r="B24" s="27">
        <v>4</v>
      </c>
      <c r="C24" s="28" t="s">
        <v>104</v>
      </c>
      <c r="D24" s="35" t="s">
        <v>103</v>
      </c>
      <c r="E24" s="29" t="s">
        <v>102</v>
      </c>
      <c r="F24" s="9">
        <v>4</v>
      </c>
      <c r="G24" s="65">
        <v>21</v>
      </c>
    </row>
    <row r="25" spans="2:7" ht="15" customHeight="1" x14ac:dyDescent="0.35">
      <c r="B25" s="23">
        <v>4</v>
      </c>
      <c r="C25" s="24" t="s">
        <v>93</v>
      </c>
      <c r="D25" s="25" t="s">
        <v>92</v>
      </c>
      <c r="E25" s="25" t="s">
        <v>91</v>
      </c>
      <c r="F25" s="11">
        <v>1</v>
      </c>
      <c r="G25" s="61">
        <v>20</v>
      </c>
    </row>
    <row r="26" spans="2:7" ht="15" customHeight="1" x14ac:dyDescent="0.35">
      <c r="B26" s="26">
        <v>4</v>
      </c>
      <c r="C26" s="14" t="s">
        <v>93</v>
      </c>
      <c r="D26" s="15" t="s">
        <v>92</v>
      </c>
      <c r="E26" s="15" t="s">
        <v>91</v>
      </c>
      <c r="F26" s="10">
        <v>2</v>
      </c>
      <c r="G26" s="62">
        <v>20</v>
      </c>
    </row>
    <row r="27" spans="2:7" ht="15" customHeight="1" x14ac:dyDescent="0.35">
      <c r="B27" s="26">
        <v>4</v>
      </c>
      <c r="C27" s="14" t="s">
        <v>93</v>
      </c>
      <c r="D27" s="15" t="s">
        <v>92</v>
      </c>
      <c r="E27" s="15" t="s">
        <v>91</v>
      </c>
      <c r="F27" s="10">
        <v>3</v>
      </c>
      <c r="G27" s="62">
        <v>21</v>
      </c>
    </row>
    <row r="28" spans="2:7" ht="15" customHeight="1" thickBot="1" x14ac:dyDescent="0.4">
      <c r="B28" s="30">
        <v>4</v>
      </c>
      <c r="C28" s="31" t="s">
        <v>93</v>
      </c>
      <c r="D28" s="32" t="s">
        <v>92</v>
      </c>
      <c r="E28" s="32" t="s">
        <v>91</v>
      </c>
      <c r="F28" s="63">
        <v>4</v>
      </c>
      <c r="G28" s="64">
        <v>21</v>
      </c>
    </row>
    <row r="29" spans="2:7" ht="15" customHeight="1" x14ac:dyDescent="0.35">
      <c r="B29" s="23">
        <v>5</v>
      </c>
      <c r="C29" s="24" t="s">
        <v>81</v>
      </c>
      <c r="D29" s="25" t="s">
        <v>80</v>
      </c>
      <c r="E29" s="25" t="s">
        <v>79</v>
      </c>
      <c r="F29" s="11">
        <v>1</v>
      </c>
      <c r="G29" s="61">
        <v>18</v>
      </c>
    </row>
    <row r="30" spans="2:7" ht="15" customHeight="1" x14ac:dyDescent="0.35">
      <c r="B30" s="26">
        <v>5</v>
      </c>
      <c r="C30" s="14" t="s">
        <v>81</v>
      </c>
      <c r="D30" s="15" t="s">
        <v>80</v>
      </c>
      <c r="E30" s="15" t="s">
        <v>79</v>
      </c>
      <c r="F30" s="10">
        <v>2</v>
      </c>
      <c r="G30" s="62">
        <v>18</v>
      </c>
    </row>
    <row r="31" spans="2:7" ht="15" customHeight="1" x14ac:dyDescent="0.35">
      <c r="B31" s="26">
        <v>5</v>
      </c>
      <c r="C31" s="14" t="s">
        <v>81</v>
      </c>
      <c r="D31" s="15" t="s">
        <v>80</v>
      </c>
      <c r="E31" s="15" t="s">
        <v>79</v>
      </c>
      <c r="F31" s="10">
        <v>3</v>
      </c>
      <c r="G31" s="62">
        <v>19</v>
      </c>
    </row>
    <row r="32" spans="2:7" ht="15" customHeight="1" thickBot="1" x14ac:dyDescent="0.4">
      <c r="B32" s="27">
        <v>5</v>
      </c>
      <c r="C32" s="28" t="s">
        <v>81</v>
      </c>
      <c r="D32" s="29" t="s">
        <v>80</v>
      </c>
      <c r="E32" s="29" t="s">
        <v>79</v>
      </c>
      <c r="F32" s="9">
        <v>4</v>
      </c>
      <c r="G32" s="65">
        <v>18</v>
      </c>
    </row>
    <row r="33" spans="2:7" ht="15" customHeight="1" x14ac:dyDescent="0.35">
      <c r="B33" s="39">
        <v>5</v>
      </c>
      <c r="C33" s="37" t="s">
        <v>70</v>
      </c>
      <c r="D33" s="25" t="s">
        <v>69</v>
      </c>
      <c r="E33" s="25" t="s">
        <v>68</v>
      </c>
      <c r="F33" s="11">
        <v>1</v>
      </c>
      <c r="G33" s="61">
        <v>18</v>
      </c>
    </row>
    <row r="34" spans="2:7" ht="15" customHeight="1" x14ac:dyDescent="0.35">
      <c r="B34" s="40">
        <v>5</v>
      </c>
      <c r="C34" s="17" t="s">
        <v>70</v>
      </c>
      <c r="D34" s="15" t="s">
        <v>69</v>
      </c>
      <c r="E34" s="15" t="s">
        <v>68</v>
      </c>
      <c r="F34" s="10">
        <v>2</v>
      </c>
      <c r="G34" s="62">
        <v>18</v>
      </c>
    </row>
    <row r="35" spans="2:7" ht="15" customHeight="1" x14ac:dyDescent="0.35">
      <c r="B35" s="40">
        <v>5</v>
      </c>
      <c r="C35" s="17" t="s">
        <v>70</v>
      </c>
      <c r="D35" s="15" t="s">
        <v>69</v>
      </c>
      <c r="E35" s="15" t="s">
        <v>68</v>
      </c>
      <c r="F35" s="10">
        <v>3</v>
      </c>
      <c r="G35" s="62">
        <v>19</v>
      </c>
    </row>
    <row r="36" spans="2:7" ht="15" customHeight="1" thickBot="1" x14ac:dyDescent="0.4">
      <c r="B36" s="41">
        <v>5</v>
      </c>
      <c r="C36" s="38" t="s">
        <v>70</v>
      </c>
      <c r="D36" s="29" t="s">
        <v>69</v>
      </c>
      <c r="E36" s="29" t="s">
        <v>68</v>
      </c>
      <c r="F36" s="9">
        <v>4</v>
      </c>
      <c r="G36" s="65">
        <v>18</v>
      </c>
    </row>
    <row r="37" spans="2:7" ht="15" customHeight="1" x14ac:dyDescent="0.35">
      <c r="B37" s="23">
        <v>5</v>
      </c>
      <c r="C37" s="37" t="s">
        <v>55</v>
      </c>
      <c r="D37" s="25" t="s">
        <v>54</v>
      </c>
      <c r="E37" s="25" t="s">
        <v>53</v>
      </c>
      <c r="F37" s="11">
        <v>1</v>
      </c>
      <c r="G37" s="61">
        <v>18</v>
      </c>
    </row>
    <row r="38" spans="2:7" ht="15" customHeight="1" x14ac:dyDescent="0.35">
      <c r="B38" s="26">
        <v>5</v>
      </c>
      <c r="C38" s="17" t="s">
        <v>55</v>
      </c>
      <c r="D38" s="15" t="s">
        <v>54</v>
      </c>
      <c r="E38" s="15" t="s">
        <v>53</v>
      </c>
      <c r="F38" s="10">
        <v>2</v>
      </c>
      <c r="G38" s="62">
        <v>18</v>
      </c>
    </row>
    <row r="39" spans="2:7" ht="15" customHeight="1" x14ac:dyDescent="0.35">
      <c r="B39" s="26">
        <v>5</v>
      </c>
      <c r="C39" s="17" t="s">
        <v>55</v>
      </c>
      <c r="D39" s="15" t="s">
        <v>54</v>
      </c>
      <c r="E39" s="15" t="s">
        <v>53</v>
      </c>
      <c r="F39" s="10">
        <v>3</v>
      </c>
      <c r="G39" s="62">
        <v>19</v>
      </c>
    </row>
    <row r="40" spans="2:7" ht="15" customHeight="1" thickBot="1" x14ac:dyDescent="0.4">
      <c r="B40" s="30">
        <v>5</v>
      </c>
      <c r="C40" s="36" t="s">
        <v>55</v>
      </c>
      <c r="D40" s="32" t="s">
        <v>54</v>
      </c>
      <c r="E40" s="32" t="s">
        <v>53</v>
      </c>
      <c r="F40" s="63">
        <v>4</v>
      </c>
      <c r="G40" s="64">
        <v>18</v>
      </c>
    </row>
    <row r="41" spans="2:7" ht="15" customHeight="1" x14ac:dyDescent="0.35">
      <c r="B41" s="39">
        <v>6</v>
      </c>
      <c r="C41" s="37" t="s">
        <v>51</v>
      </c>
      <c r="D41" s="25" t="s">
        <v>50</v>
      </c>
      <c r="E41" s="25" t="s">
        <v>49</v>
      </c>
      <c r="F41" s="11">
        <v>1</v>
      </c>
      <c r="G41" s="61">
        <v>18</v>
      </c>
    </row>
    <row r="42" spans="2:7" ht="15" customHeight="1" x14ac:dyDescent="0.35">
      <c r="B42" s="40">
        <v>6</v>
      </c>
      <c r="C42" s="17" t="s">
        <v>51</v>
      </c>
      <c r="D42" s="15" t="s">
        <v>50</v>
      </c>
      <c r="E42" s="15" t="s">
        <v>49</v>
      </c>
      <c r="F42" s="10">
        <v>2</v>
      </c>
      <c r="G42" s="62">
        <v>18</v>
      </c>
    </row>
    <row r="43" spans="2:7" ht="15" customHeight="1" x14ac:dyDescent="0.35">
      <c r="B43" s="40">
        <v>6</v>
      </c>
      <c r="C43" s="17" t="s">
        <v>51</v>
      </c>
      <c r="D43" s="15" t="s">
        <v>50</v>
      </c>
      <c r="E43" s="15" t="s">
        <v>49</v>
      </c>
      <c r="F43" s="10">
        <v>3</v>
      </c>
      <c r="G43" s="62">
        <v>19</v>
      </c>
    </row>
    <row r="44" spans="2:7" ht="15" customHeight="1" thickBot="1" x14ac:dyDescent="0.4">
      <c r="B44" s="41">
        <v>6</v>
      </c>
      <c r="C44" s="38" t="s">
        <v>51</v>
      </c>
      <c r="D44" s="29" t="s">
        <v>50</v>
      </c>
      <c r="E44" s="29" t="s">
        <v>49</v>
      </c>
      <c r="F44" s="9">
        <v>4</v>
      </c>
      <c r="G44" s="65">
        <v>18</v>
      </c>
    </row>
    <row r="45" spans="2:7" ht="15" customHeight="1" x14ac:dyDescent="0.35">
      <c r="B45" s="33">
        <v>6</v>
      </c>
      <c r="C45" s="20" t="s">
        <v>48</v>
      </c>
      <c r="D45" s="21" t="s">
        <v>47</v>
      </c>
      <c r="E45" s="21" t="s">
        <v>46</v>
      </c>
      <c r="F45" s="66">
        <v>1</v>
      </c>
      <c r="G45" s="67">
        <v>18</v>
      </c>
    </row>
    <row r="46" spans="2:7" ht="15" customHeight="1" x14ac:dyDescent="0.35">
      <c r="B46" s="26">
        <v>6</v>
      </c>
      <c r="C46" s="14" t="s">
        <v>48</v>
      </c>
      <c r="D46" s="15" t="s">
        <v>47</v>
      </c>
      <c r="E46" s="15" t="s">
        <v>46</v>
      </c>
      <c r="F46" s="10">
        <v>2</v>
      </c>
      <c r="G46" s="62">
        <v>18</v>
      </c>
    </row>
    <row r="47" spans="2:7" ht="15" customHeight="1" x14ac:dyDescent="0.35">
      <c r="B47" s="26">
        <v>6</v>
      </c>
      <c r="C47" s="14" t="s">
        <v>48</v>
      </c>
      <c r="D47" s="15" t="s">
        <v>47</v>
      </c>
      <c r="E47" s="15" t="s">
        <v>46</v>
      </c>
      <c r="F47" s="10">
        <v>3</v>
      </c>
      <c r="G47" s="62">
        <v>19</v>
      </c>
    </row>
    <row r="48" spans="2:7" ht="15" customHeight="1" thickBot="1" x14ac:dyDescent="0.4">
      <c r="B48" s="30">
        <v>6</v>
      </c>
      <c r="C48" s="31" t="s">
        <v>48</v>
      </c>
      <c r="D48" s="32" t="s">
        <v>47</v>
      </c>
      <c r="E48" s="32" t="s">
        <v>46</v>
      </c>
      <c r="F48" s="63">
        <v>4</v>
      </c>
      <c r="G48" s="64">
        <v>18</v>
      </c>
    </row>
    <row r="49" spans="2:7" ht="15" customHeight="1" x14ac:dyDescent="0.35">
      <c r="B49" s="39">
        <v>7</v>
      </c>
      <c r="C49" s="37" t="s">
        <v>45</v>
      </c>
      <c r="D49" s="25" t="s">
        <v>44</v>
      </c>
      <c r="E49" s="25" t="s">
        <v>43</v>
      </c>
      <c r="F49" s="11">
        <v>1</v>
      </c>
      <c r="G49" s="61">
        <v>16</v>
      </c>
    </row>
    <row r="50" spans="2:7" ht="15" customHeight="1" x14ac:dyDescent="0.35">
      <c r="B50" s="40">
        <v>7</v>
      </c>
      <c r="C50" s="17" t="s">
        <v>45</v>
      </c>
      <c r="D50" s="15" t="s">
        <v>44</v>
      </c>
      <c r="E50" s="15" t="s">
        <v>43</v>
      </c>
      <c r="F50" s="10">
        <v>2</v>
      </c>
      <c r="G50" s="62">
        <v>17</v>
      </c>
    </row>
    <row r="51" spans="2:7" ht="15" customHeight="1" x14ac:dyDescent="0.35">
      <c r="B51" s="40">
        <v>7</v>
      </c>
      <c r="C51" s="17" t="s">
        <v>45</v>
      </c>
      <c r="D51" s="15" t="s">
        <v>44</v>
      </c>
      <c r="E51" s="15" t="s">
        <v>43</v>
      </c>
      <c r="F51" s="10">
        <v>3</v>
      </c>
      <c r="G51" s="62">
        <v>19</v>
      </c>
    </row>
    <row r="52" spans="2:7" ht="15" customHeight="1" thickBot="1" x14ac:dyDescent="0.4">
      <c r="B52" s="41">
        <v>7</v>
      </c>
      <c r="C52" s="38" t="s">
        <v>45</v>
      </c>
      <c r="D52" s="29" t="s">
        <v>44</v>
      </c>
      <c r="E52" s="29" t="s">
        <v>43</v>
      </c>
      <c r="F52" s="9">
        <v>4</v>
      </c>
      <c r="G52" s="65">
        <v>16</v>
      </c>
    </row>
    <row r="53" spans="2:7" ht="15" customHeight="1" x14ac:dyDescent="0.35">
      <c r="B53" s="39">
        <v>7</v>
      </c>
      <c r="C53" s="37" t="s">
        <v>37</v>
      </c>
      <c r="D53" s="25" t="s">
        <v>36</v>
      </c>
      <c r="E53" s="25" t="s">
        <v>35</v>
      </c>
      <c r="F53" s="11">
        <v>1</v>
      </c>
      <c r="G53" s="61">
        <v>16</v>
      </c>
    </row>
    <row r="54" spans="2:7" ht="15" customHeight="1" x14ac:dyDescent="0.35">
      <c r="B54" s="40">
        <v>7</v>
      </c>
      <c r="C54" s="17" t="s">
        <v>37</v>
      </c>
      <c r="D54" s="15" t="s">
        <v>36</v>
      </c>
      <c r="E54" s="15" t="s">
        <v>35</v>
      </c>
      <c r="F54" s="10">
        <v>2</v>
      </c>
      <c r="G54" s="62">
        <v>17</v>
      </c>
    </row>
    <row r="55" spans="2:7" ht="15" customHeight="1" x14ac:dyDescent="0.35">
      <c r="B55" s="40">
        <v>7</v>
      </c>
      <c r="C55" s="17" t="s">
        <v>37</v>
      </c>
      <c r="D55" s="15" t="s">
        <v>36</v>
      </c>
      <c r="E55" s="15" t="s">
        <v>35</v>
      </c>
      <c r="F55" s="10">
        <v>3</v>
      </c>
      <c r="G55" s="62">
        <v>19</v>
      </c>
    </row>
    <row r="56" spans="2:7" ht="15" customHeight="1" thickBot="1" x14ac:dyDescent="0.4">
      <c r="B56" s="41">
        <v>7</v>
      </c>
      <c r="C56" s="38" t="s">
        <v>37</v>
      </c>
      <c r="D56" s="29" t="s">
        <v>36</v>
      </c>
      <c r="E56" s="29" t="s">
        <v>35</v>
      </c>
      <c r="F56" s="9">
        <v>4</v>
      </c>
      <c r="G56" s="65">
        <v>16</v>
      </c>
    </row>
    <row r="57" spans="2:7" ht="15" customHeight="1" x14ac:dyDescent="0.35">
      <c r="B57" s="46">
        <v>8</v>
      </c>
      <c r="C57" s="47" t="s">
        <v>25</v>
      </c>
      <c r="D57" s="48" t="s">
        <v>24</v>
      </c>
      <c r="E57" s="48" t="s">
        <v>23</v>
      </c>
      <c r="F57" s="66">
        <v>1</v>
      </c>
      <c r="G57" s="67">
        <v>16</v>
      </c>
    </row>
    <row r="58" spans="2:7" x14ac:dyDescent="0.35">
      <c r="B58" s="42">
        <v>8</v>
      </c>
      <c r="C58" s="18" t="s">
        <v>25</v>
      </c>
      <c r="D58" s="19" t="s">
        <v>24</v>
      </c>
      <c r="E58" s="19" t="s">
        <v>23</v>
      </c>
      <c r="F58" s="10">
        <v>2</v>
      </c>
      <c r="G58" s="62">
        <v>17</v>
      </c>
    </row>
    <row r="59" spans="2:7" x14ac:dyDescent="0.35">
      <c r="B59" s="42">
        <v>8</v>
      </c>
      <c r="C59" s="18" t="s">
        <v>25</v>
      </c>
      <c r="D59" s="19" t="s">
        <v>24</v>
      </c>
      <c r="E59" s="19" t="s">
        <v>23</v>
      </c>
      <c r="F59" s="10">
        <v>3</v>
      </c>
      <c r="G59" s="62">
        <v>19</v>
      </c>
    </row>
    <row r="60" spans="2:7" ht="15" thickBot="1" x14ac:dyDescent="0.4">
      <c r="B60" s="43">
        <v>8</v>
      </c>
      <c r="C60" s="44" t="s">
        <v>25</v>
      </c>
      <c r="D60" s="45" t="s">
        <v>24</v>
      </c>
      <c r="E60" s="45" t="s">
        <v>23</v>
      </c>
      <c r="F60" s="9">
        <v>4</v>
      </c>
      <c r="G60" s="65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A629-CAE6-4F73-A15F-F5162B9025DA}">
  <sheetPr codeName="Hoja2">
    <tabColor rgb="FFFFFF00"/>
  </sheetPr>
  <dimension ref="B1:H270"/>
  <sheetViews>
    <sheetView workbookViewId="0">
      <pane ySplit="1" topLeftCell="A86" activePane="bottomLeft" state="frozen"/>
      <selection pane="bottomLeft" activeCell="C86" sqref="C86:C103"/>
    </sheetView>
  </sheetViews>
  <sheetFormatPr baseColWidth="10" defaultRowHeight="14.5" x14ac:dyDescent="0.35"/>
  <cols>
    <col min="5" max="5" width="45.54296875" bestFit="1" customWidth="1"/>
    <col min="6" max="6" width="26.453125" customWidth="1"/>
    <col min="7" max="7" width="30.7265625" bestFit="1" customWidth="1"/>
    <col min="8" max="8" width="11.6328125" bestFit="1" customWidth="1"/>
  </cols>
  <sheetData>
    <row r="1" spans="2:7" ht="15" thickBot="1" x14ac:dyDescent="0.4">
      <c r="B1" s="13" t="s">
        <v>206</v>
      </c>
      <c r="C1" s="13" t="s">
        <v>205</v>
      </c>
      <c r="D1" s="13" t="s">
        <v>204</v>
      </c>
      <c r="E1" s="13" t="s">
        <v>203</v>
      </c>
      <c r="F1" s="12" t="s">
        <v>202</v>
      </c>
      <c r="G1" s="12" t="s">
        <v>201</v>
      </c>
    </row>
    <row r="2" spans="2:7" x14ac:dyDescent="0.35">
      <c r="B2" s="111">
        <v>1</v>
      </c>
      <c r="C2" s="108" t="s">
        <v>200</v>
      </c>
      <c r="D2" s="108" t="s">
        <v>199</v>
      </c>
      <c r="E2" s="105" t="s">
        <v>49</v>
      </c>
      <c r="F2" s="102" t="s">
        <v>42</v>
      </c>
      <c r="G2" s="4" t="s">
        <v>198</v>
      </c>
    </row>
    <row r="3" spans="2:7" x14ac:dyDescent="0.35">
      <c r="B3" s="112"/>
      <c r="C3" s="109"/>
      <c r="D3" s="109"/>
      <c r="E3" s="106"/>
      <c r="F3" s="103"/>
      <c r="G3" s="3" t="s">
        <v>197</v>
      </c>
    </row>
    <row r="4" spans="2:7" x14ac:dyDescent="0.35">
      <c r="B4" s="112"/>
      <c r="C4" s="109"/>
      <c r="D4" s="109"/>
      <c r="E4" s="106"/>
      <c r="F4" s="103"/>
      <c r="G4" s="3" t="s">
        <v>196</v>
      </c>
    </row>
    <row r="5" spans="2:7" x14ac:dyDescent="0.35">
      <c r="B5" s="112"/>
      <c r="C5" s="109"/>
      <c r="D5" s="109"/>
      <c r="E5" s="106"/>
      <c r="F5" s="103"/>
      <c r="G5" s="3" t="s">
        <v>195</v>
      </c>
    </row>
    <row r="6" spans="2:7" x14ac:dyDescent="0.35">
      <c r="B6" s="112"/>
      <c r="C6" s="109"/>
      <c r="D6" s="109"/>
      <c r="E6" s="106"/>
      <c r="F6" s="103"/>
      <c r="G6" s="3" t="s">
        <v>194</v>
      </c>
    </row>
    <row r="7" spans="2:7" x14ac:dyDescent="0.35">
      <c r="B7" s="112"/>
      <c r="C7" s="109"/>
      <c r="D7" s="109"/>
      <c r="E7" s="106"/>
      <c r="F7" s="103"/>
      <c r="G7" s="3" t="s">
        <v>193</v>
      </c>
    </row>
    <row r="8" spans="2:7" x14ac:dyDescent="0.35">
      <c r="B8" s="112"/>
      <c r="C8" s="109"/>
      <c r="D8" s="109"/>
      <c r="E8" s="106"/>
      <c r="F8" s="97" t="s">
        <v>33</v>
      </c>
      <c r="G8" s="3" t="s">
        <v>192</v>
      </c>
    </row>
    <row r="9" spans="2:7" x14ac:dyDescent="0.35">
      <c r="B9" s="112"/>
      <c r="C9" s="109"/>
      <c r="D9" s="109"/>
      <c r="E9" s="106"/>
      <c r="F9" s="103"/>
      <c r="G9" s="3" t="s">
        <v>191</v>
      </c>
    </row>
    <row r="10" spans="2:7" x14ac:dyDescent="0.35">
      <c r="B10" s="112"/>
      <c r="C10" s="109"/>
      <c r="D10" s="109"/>
      <c r="E10" s="106"/>
      <c r="F10" s="103"/>
      <c r="G10" s="3" t="s">
        <v>190</v>
      </c>
    </row>
    <row r="11" spans="2:7" x14ac:dyDescent="0.35">
      <c r="B11" s="112"/>
      <c r="C11" s="109"/>
      <c r="D11" s="109"/>
      <c r="E11" s="106"/>
      <c r="F11" s="103"/>
      <c r="G11" s="3" t="s">
        <v>189</v>
      </c>
    </row>
    <row r="12" spans="2:7" x14ac:dyDescent="0.35">
      <c r="B12" s="112"/>
      <c r="C12" s="109"/>
      <c r="D12" s="109"/>
      <c r="E12" s="106"/>
      <c r="F12" s="103"/>
      <c r="G12" s="3" t="s">
        <v>188</v>
      </c>
    </row>
    <row r="13" spans="2:7" x14ac:dyDescent="0.35">
      <c r="B13" s="112"/>
      <c r="C13" s="109"/>
      <c r="D13" s="109"/>
      <c r="E13" s="106"/>
      <c r="F13" s="103"/>
      <c r="G13" s="3" t="s">
        <v>187</v>
      </c>
    </row>
    <row r="14" spans="2:7" x14ac:dyDescent="0.35">
      <c r="B14" s="112"/>
      <c r="C14" s="109"/>
      <c r="D14" s="109"/>
      <c r="E14" s="106"/>
      <c r="F14" s="103"/>
      <c r="G14" s="3" t="s">
        <v>186</v>
      </c>
    </row>
    <row r="15" spans="2:7" x14ac:dyDescent="0.35">
      <c r="B15" s="112"/>
      <c r="C15" s="109"/>
      <c r="D15" s="109"/>
      <c r="E15" s="106"/>
      <c r="F15" s="103"/>
      <c r="G15" s="3" t="s">
        <v>185</v>
      </c>
    </row>
    <row r="16" spans="2:7" x14ac:dyDescent="0.35">
      <c r="B16" s="112"/>
      <c r="C16" s="109"/>
      <c r="D16" s="109"/>
      <c r="E16" s="106"/>
      <c r="F16" s="103"/>
      <c r="G16" s="3" t="s">
        <v>184</v>
      </c>
    </row>
    <row r="17" spans="2:7" x14ac:dyDescent="0.35">
      <c r="B17" s="112"/>
      <c r="C17" s="109"/>
      <c r="D17" s="109"/>
      <c r="E17" s="106"/>
      <c r="F17" s="103" t="s">
        <v>32</v>
      </c>
      <c r="G17" s="3" t="s">
        <v>183</v>
      </c>
    </row>
    <row r="18" spans="2:7" x14ac:dyDescent="0.35">
      <c r="B18" s="112"/>
      <c r="C18" s="109"/>
      <c r="D18" s="109"/>
      <c r="E18" s="106"/>
      <c r="F18" s="103"/>
      <c r="G18" s="3" t="s">
        <v>182</v>
      </c>
    </row>
    <row r="19" spans="2:7" x14ac:dyDescent="0.35">
      <c r="B19" s="112"/>
      <c r="C19" s="109"/>
      <c r="D19" s="109"/>
      <c r="E19" s="106"/>
      <c r="F19" s="103"/>
      <c r="G19" s="3" t="s">
        <v>181</v>
      </c>
    </row>
    <row r="20" spans="2:7" x14ac:dyDescent="0.35">
      <c r="B20" s="112"/>
      <c r="C20" s="109"/>
      <c r="D20" s="109"/>
      <c r="E20" s="106"/>
      <c r="F20" s="103"/>
      <c r="G20" s="3" t="s">
        <v>180</v>
      </c>
    </row>
    <row r="21" spans="2:7" x14ac:dyDescent="0.35">
      <c r="B21" s="112"/>
      <c r="C21" s="109"/>
      <c r="D21" s="109"/>
      <c r="E21" s="106"/>
      <c r="F21" s="103"/>
      <c r="G21" s="3" t="s">
        <v>179</v>
      </c>
    </row>
    <row r="22" spans="2:7" x14ac:dyDescent="0.35">
      <c r="B22" s="112"/>
      <c r="C22" s="109"/>
      <c r="D22" s="109"/>
      <c r="E22" s="106"/>
      <c r="F22" s="103"/>
      <c r="G22" s="3" t="s">
        <v>178</v>
      </c>
    </row>
    <row r="23" spans="2:7" x14ac:dyDescent="0.35">
      <c r="B23" s="112"/>
      <c r="C23" s="109"/>
      <c r="D23" s="109"/>
      <c r="E23" s="106"/>
      <c r="F23" s="103"/>
      <c r="G23" s="3" t="s">
        <v>177</v>
      </c>
    </row>
    <row r="24" spans="2:7" x14ac:dyDescent="0.35">
      <c r="B24" s="112"/>
      <c r="C24" s="109"/>
      <c r="D24" s="109"/>
      <c r="E24" s="106"/>
      <c r="F24" s="104"/>
      <c r="G24" s="3" t="s">
        <v>176</v>
      </c>
    </row>
    <row r="25" spans="2:7" x14ac:dyDescent="0.35">
      <c r="B25" s="112"/>
      <c r="C25" s="109"/>
      <c r="D25" s="109"/>
      <c r="E25" s="106"/>
      <c r="F25" s="97" t="s">
        <v>29</v>
      </c>
      <c r="G25" s="3" t="s">
        <v>175</v>
      </c>
    </row>
    <row r="26" spans="2:7" x14ac:dyDescent="0.35">
      <c r="B26" s="112"/>
      <c r="C26" s="109"/>
      <c r="D26" s="109"/>
      <c r="E26" s="106"/>
      <c r="F26" s="103"/>
      <c r="G26" s="3" t="s">
        <v>174</v>
      </c>
    </row>
    <row r="27" spans="2:7" x14ac:dyDescent="0.35">
      <c r="B27" s="112"/>
      <c r="C27" s="109"/>
      <c r="D27" s="109"/>
      <c r="E27" s="106"/>
      <c r="F27" s="103"/>
      <c r="G27" s="3" t="s">
        <v>173</v>
      </c>
    </row>
    <row r="28" spans="2:7" x14ac:dyDescent="0.35">
      <c r="B28" s="112"/>
      <c r="C28" s="109"/>
      <c r="D28" s="109"/>
      <c r="E28" s="106"/>
      <c r="F28" s="103"/>
      <c r="G28" s="3" t="s">
        <v>172</v>
      </c>
    </row>
    <row r="29" spans="2:7" x14ac:dyDescent="0.35">
      <c r="B29" s="112"/>
      <c r="C29" s="109"/>
      <c r="D29" s="109"/>
      <c r="E29" s="106"/>
      <c r="F29" s="103"/>
      <c r="G29" s="3" t="s">
        <v>171</v>
      </c>
    </row>
    <row r="30" spans="2:7" x14ac:dyDescent="0.35">
      <c r="B30" s="112"/>
      <c r="C30" s="109"/>
      <c r="D30" s="109"/>
      <c r="E30" s="106"/>
      <c r="F30" s="104"/>
      <c r="G30" s="3" t="s">
        <v>170</v>
      </c>
    </row>
    <row r="31" spans="2:7" x14ac:dyDescent="0.35">
      <c r="B31" s="112"/>
      <c r="C31" s="109"/>
      <c r="D31" s="109"/>
      <c r="E31" s="106"/>
      <c r="F31" s="97" t="s">
        <v>52</v>
      </c>
      <c r="G31" s="3" t="s">
        <v>169</v>
      </c>
    </row>
    <row r="32" spans="2:7" ht="15" thickBot="1" x14ac:dyDescent="0.4">
      <c r="B32" s="113"/>
      <c r="C32" s="110"/>
      <c r="D32" s="110"/>
      <c r="E32" s="107"/>
      <c r="F32" s="98"/>
      <c r="G32" s="2" t="s">
        <v>168</v>
      </c>
    </row>
    <row r="33" spans="2:7" x14ac:dyDescent="0.35">
      <c r="B33" s="99">
        <v>2</v>
      </c>
      <c r="C33" s="96" t="s">
        <v>167</v>
      </c>
      <c r="D33" s="96" t="s">
        <v>166</v>
      </c>
      <c r="E33" s="96" t="s">
        <v>165</v>
      </c>
      <c r="F33" s="88" t="s">
        <v>22</v>
      </c>
      <c r="G33" s="4" t="s">
        <v>164</v>
      </c>
    </row>
    <row r="34" spans="2:7" x14ac:dyDescent="0.35">
      <c r="B34" s="100"/>
      <c r="C34" s="83"/>
      <c r="D34" s="83"/>
      <c r="E34" s="83"/>
      <c r="F34" s="89"/>
      <c r="G34" s="3" t="s">
        <v>163</v>
      </c>
    </row>
    <row r="35" spans="2:7" x14ac:dyDescent="0.35">
      <c r="B35" s="100"/>
      <c r="C35" s="83"/>
      <c r="D35" s="83"/>
      <c r="E35" s="83"/>
      <c r="F35" s="89"/>
      <c r="G35" s="3" t="s">
        <v>162</v>
      </c>
    </row>
    <row r="36" spans="2:7" x14ac:dyDescent="0.35">
      <c r="B36" s="100"/>
      <c r="C36" s="83"/>
      <c r="D36" s="83"/>
      <c r="E36" s="83"/>
      <c r="F36" s="89"/>
      <c r="G36" s="3" t="s">
        <v>161</v>
      </c>
    </row>
    <row r="37" spans="2:7" x14ac:dyDescent="0.35">
      <c r="B37" s="100"/>
      <c r="C37" s="83"/>
      <c r="D37" s="83"/>
      <c r="E37" s="83"/>
      <c r="F37" s="89"/>
      <c r="G37" s="3" t="s">
        <v>160</v>
      </c>
    </row>
    <row r="38" spans="2:7" x14ac:dyDescent="0.35">
      <c r="B38" s="100"/>
      <c r="C38" s="83"/>
      <c r="D38" s="83"/>
      <c r="E38" s="83"/>
      <c r="F38" s="95"/>
      <c r="G38" s="3" t="s">
        <v>159</v>
      </c>
    </row>
    <row r="39" spans="2:7" x14ac:dyDescent="0.35">
      <c r="B39" s="100"/>
      <c r="C39" s="83"/>
      <c r="D39" s="83"/>
      <c r="E39" s="83"/>
      <c r="F39" s="94" t="s">
        <v>17</v>
      </c>
      <c r="G39" s="3" t="s">
        <v>158</v>
      </c>
    </row>
    <row r="40" spans="2:7" x14ac:dyDescent="0.35">
      <c r="B40" s="100"/>
      <c r="C40" s="83"/>
      <c r="D40" s="83"/>
      <c r="E40" s="83"/>
      <c r="F40" s="89"/>
      <c r="G40" s="3" t="s">
        <v>157</v>
      </c>
    </row>
    <row r="41" spans="2:7" x14ac:dyDescent="0.35">
      <c r="B41" s="100"/>
      <c r="C41" s="83"/>
      <c r="D41" s="83"/>
      <c r="E41" s="83"/>
      <c r="F41" s="89"/>
      <c r="G41" s="3" t="s">
        <v>156</v>
      </c>
    </row>
    <row r="42" spans="2:7" x14ac:dyDescent="0.35">
      <c r="B42" s="100"/>
      <c r="C42" s="83"/>
      <c r="D42" s="83"/>
      <c r="E42" s="83"/>
      <c r="F42" s="89"/>
      <c r="G42" s="3" t="s">
        <v>155</v>
      </c>
    </row>
    <row r="43" spans="2:7" x14ac:dyDescent="0.35">
      <c r="B43" s="100"/>
      <c r="C43" s="83"/>
      <c r="D43" s="83"/>
      <c r="E43" s="83"/>
      <c r="F43" s="89"/>
      <c r="G43" s="3" t="s">
        <v>154</v>
      </c>
    </row>
    <row r="44" spans="2:7" x14ac:dyDescent="0.35">
      <c r="B44" s="100"/>
      <c r="C44" s="83"/>
      <c r="D44" s="83"/>
      <c r="E44" s="83"/>
      <c r="F44" s="89"/>
      <c r="G44" s="3" t="s">
        <v>153</v>
      </c>
    </row>
    <row r="45" spans="2:7" x14ac:dyDescent="0.35">
      <c r="B45" s="100"/>
      <c r="C45" s="83"/>
      <c r="D45" s="83"/>
      <c r="E45" s="83"/>
      <c r="F45" s="95"/>
      <c r="G45" s="3" t="s">
        <v>152</v>
      </c>
    </row>
    <row r="46" spans="2:7" x14ac:dyDescent="0.35">
      <c r="B46" s="100"/>
      <c r="C46" s="83"/>
      <c r="D46" s="83"/>
      <c r="E46" s="83"/>
      <c r="F46" s="94" t="s">
        <v>12</v>
      </c>
      <c r="G46" s="3" t="s">
        <v>151</v>
      </c>
    </row>
    <row r="47" spans="2:7" x14ac:dyDescent="0.35">
      <c r="B47" s="100"/>
      <c r="C47" s="83"/>
      <c r="D47" s="83"/>
      <c r="E47" s="83"/>
      <c r="F47" s="89"/>
      <c r="G47" s="3" t="s">
        <v>150</v>
      </c>
    </row>
    <row r="48" spans="2:7" x14ac:dyDescent="0.35">
      <c r="B48" s="100"/>
      <c r="C48" s="83"/>
      <c r="D48" s="83"/>
      <c r="E48" s="83"/>
      <c r="F48" s="89"/>
      <c r="G48" s="3" t="s">
        <v>149</v>
      </c>
    </row>
    <row r="49" spans="2:7" x14ac:dyDescent="0.35">
      <c r="B49" s="100"/>
      <c r="C49" s="83"/>
      <c r="D49" s="83"/>
      <c r="E49" s="83"/>
      <c r="F49" s="89"/>
      <c r="G49" s="3" t="s">
        <v>148</v>
      </c>
    </row>
    <row r="50" spans="2:7" x14ac:dyDescent="0.35">
      <c r="B50" s="100"/>
      <c r="C50" s="83"/>
      <c r="D50" s="83"/>
      <c r="E50" s="83"/>
      <c r="F50" s="95"/>
      <c r="G50" s="3" t="s">
        <v>147</v>
      </c>
    </row>
    <row r="51" spans="2:7" x14ac:dyDescent="0.35">
      <c r="B51" s="100"/>
      <c r="C51" s="83"/>
      <c r="D51" s="83"/>
      <c r="E51" s="83"/>
      <c r="F51" s="94" t="s">
        <v>7</v>
      </c>
      <c r="G51" s="3" t="s">
        <v>146</v>
      </c>
    </row>
    <row r="52" spans="2:7" x14ac:dyDescent="0.35">
      <c r="B52" s="100"/>
      <c r="C52" s="83"/>
      <c r="D52" s="83"/>
      <c r="E52" s="83"/>
      <c r="F52" s="89"/>
      <c r="G52" s="3" t="s">
        <v>145</v>
      </c>
    </row>
    <row r="53" spans="2:7" x14ac:dyDescent="0.35">
      <c r="B53" s="100"/>
      <c r="C53" s="83"/>
      <c r="D53" s="83"/>
      <c r="E53" s="83"/>
      <c r="F53" s="89"/>
      <c r="G53" s="3" t="s">
        <v>144</v>
      </c>
    </row>
    <row r="54" spans="2:7" x14ac:dyDescent="0.35">
      <c r="B54" s="100"/>
      <c r="C54" s="83"/>
      <c r="D54" s="83"/>
      <c r="E54" s="83"/>
      <c r="F54" s="89"/>
      <c r="G54" s="3" t="s">
        <v>143</v>
      </c>
    </row>
    <row r="55" spans="2:7" x14ac:dyDescent="0.35">
      <c r="B55" s="100"/>
      <c r="C55" s="83"/>
      <c r="D55" s="83"/>
      <c r="E55" s="83"/>
      <c r="F55" s="89"/>
      <c r="G55" s="3" t="s">
        <v>142</v>
      </c>
    </row>
    <row r="56" spans="2:7" x14ac:dyDescent="0.35">
      <c r="B56" s="100"/>
      <c r="C56" s="83"/>
      <c r="D56" s="83"/>
      <c r="E56" s="83"/>
      <c r="F56" s="89"/>
      <c r="G56" s="3" t="s">
        <v>141</v>
      </c>
    </row>
    <row r="57" spans="2:7" x14ac:dyDescent="0.35">
      <c r="B57" s="100"/>
      <c r="C57" s="83"/>
      <c r="D57" s="83"/>
      <c r="E57" s="83"/>
      <c r="F57" s="95"/>
      <c r="G57" s="3" t="s">
        <v>140</v>
      </c>
    </row>
    <row r="58" spans="2:7" x14ac:dyDescent="0.35">
      <c r="B58" s="100"/>
      <c r="C58" s="83"/>
      <c r="D58" s="83"/>
      <c r="E58" s="83"/>
      <c r="F58" s="94" t="s">
        <v>2</v>
      </c>
      <c r="G58" s="3" t="s">
        <v>139</v>
      </c>
    </row>
    <row r="59" spans="2:7" x14ac:dyDescent="0.35">
      <c r="B59" s="100"/>
      <c r="C59" s="83"/>
      <c r="D59" s="83"/>
      <c r="E59" s="83"/>
      <c r="F59" s="89"/>
      <c r="G59" s="3" t="s">
        <v>138</v>
      </c>
    </row>
    <row r="60" spans="2:7" ht="15" thickBot="1" x14ac:dyDescent="0.4">
      <c r="B60" s="101"/>
      <c r="C60" s="84"/>
      <c r="D60" s="84"/>
      <c r="E60" s="84"/>
      <c r="F60" s="90"/>
      <c r="G60" s="2" t="s">
        <v>137</v>
      </c>
    </row>
    <row r="61" spans="2:7" x14ac:dyDescent="0.35">
      <c r="B61" s="99">
        <v>3</v>
      </c>
      <c r="C61" s="96" t="s">
        <v>136</v>
      </c>
      <c r="D61" s="96" t="s">
        <v>135</v>
      </c>
      <c r="E61" s="96" t="s">
        <v>134</v>
      </c>
      <c r="F61" s="88" t="s">
        <v>42</v>
      </c>
      <c r="G61" s="4" t="s">
        <v>133</v>
      </c>
    </row>
    <row r="62" spans="2:7" x14ac:dyDescent="0.35">
      <c r="B62" s="100"/>
      <c r="C62" s="83"/>
      <c r="D62" s="83"/>
      <c r="E62" s="83"/>
      <c r="F62" s="89"/>
      <c r="G62" s="3" t="s">
        <v>132</v>
      </c>
    </row>
    <row r="63" spans="2:7" x14ac:dyDescent="0.35">
      <c r="B63" s="100"/>
      <c r="C63" s="83"/>
      <c r="D63" s="83"/>
      <c r="E63" s="83"/>
      <c r="F63" s="89"/>
      <c r="G63" s="3" t="s">
        <v>131</v>
      </c>
    </row>
    <row r="64" spans="2:7" x14ac:dyDescent="0.35">
      <c r="B64" s="100"/>
      <c r="C64" s="83"/>
      <c r="D64" s="83"/>
      <c r="E64" s="83"/>
      <c r="F64" s="89"/>
      <c r="G64" s="3" t="s">
        <v>130</v>
      </c>
    </row>
    <row r="65" spans="2:7" x14ac:dyDescent="0.35">
      <c r="B65" s="100"/>
      <c r="C65" s="83"/>
      <c r="D65" s="83"/>
      <c r="E65" s="83"/>
      <c r="F65" s="89"/>
      <c r="G65" s="3" t="s">
        <v>129</v>
      </c>
    </row>
    <row r="66" spans="2:7" x14ac:dyDescent="0.35">
      <c r="B66" s="100"/>
      <c r="C66" s="83"/>
      <c r="D66" s="83"/>
      <c r="E66" s="83"/>
      <c r="F66" s="89"/>
      <c r="G66" s="3" t="s">
        <v>128</v>
      </c>
    </row>
    <row r="67" spans="2:7" x14ac:dyDescent="0.35">
      <c r="B67" s="100"/>
      <c r="C67" s="83"/>
      <c r="D67" s="83"/>
      <c r="E67" s="83"/>
      <c r="F67" s="95"/>
      <c r="G67" s="3" t="s">
        <v>127</v>
      </c>
    </row>
    <row r="68" spans="2:7" x14ac:dyDescent="0.35">
      <c r="B68" s="100"/>
      <c r="C68" s="83"/>
      <c r="D68" s="83"/>
      <c r="E68" s="83"/>
      <c r="F68" s="94" t="s">
        <v>33</v>
      </c>
      <c r="G68" s="3" t="s">
        <v>126</v>
      </c>
    </row>
    <row r="69" spans="2:7" x14ac:dyDescent="0.35">
      <c r="B69" s="100"/>
      <c r="C69" s="83"/>
      <c r="D69" s="83"/>
      <c r="E69" s="83"/>
      <c r="F69" s="89"/>
      <c r="G69" s="3" t="s">
        <v>125</v>
      </c>
    </row>
    <row r="70" spans="2:7" x14ac:dyDescent="0.35">
      <c r="B70" s="100"/>
      <c r="C70" s="83"/>
      <c r="D70" s="83"/>
      <c r="E70" s="83"/>
      <c r="F70" s="89"/>
      <c r="G70" s="3" t="s">
        <v>124</v>
      </c>
    </row>
    <row r="71" spans="2:7" x14ac:dyDescent="0.35">
      <c r="B71" s="100"/>
      <c r="C71" s="83"/>
      <c r="D71" s="83"/>
      <c r="E71" s="83"/>
      <c r="F71" s="89"/>
      <c r="G71" s="3" t="s">
        <v>123</v>
      </c>
    </row>
    <row r="72" spans="2:7" x14ac:dyDescent="0.35">
      <c r="B72" s="100"/>
      <c r="C72" s="83"/>
      <c r="D72" s="83"/>
      <c r="E72" s="83"/>
      <c r="F72" s="89"/>
      <c r="G72" s="3" t="s">
        <v>122</v>
      </c>
    </row>
    <row r="73" spans="2:7" x14ac:dyDescent="0.35">
      <c r="B73" s="100"/>
      <c r="C73" s="83"/>
      <c r="D73" s="83"/>
      <c r="E73" s="83"/>
      <c r="F73" s="89"/>
      <c r="G73" s="3" t="s">
        <v>121</v>
      </c>
    </row>
    <row r="74" spans="2:7" x14ac:dyDescent="0.35">
      <c r="B74" s="100"/>
      <c r="C74" s="83"/>
      <c r="D74" s="83"/>
      <c r="E74" s="83"/>
      <c r="F74" s="89"/>
      <c r="G74" s="3" t="s">
        <v>120</v>
      </c>
    </row>
    <row r="75" spans="2:7" x14ac:dyDescent="0.35">
      <c r="B75" s="100"/>
      <c r="C75" s="83"/>
      <c r="D75" s="83"/>
      <c r="E75" s="83"/>
      <c r="F75" s="95"/>
      <c r="G75" s="3" t="s">
        <v>119</v>
      </c>
    </row>
    <row r="76" spans="2:7" x14ac:dyDescent="0.35">
      <c r="B76" s="100"/>
      <c r="C76" s="83"/>
      <c r="D76" s="83"/>
      <c r="E76" s="83"/>
      <c r="F76" s="94" t="s">
        <v>32</v>
      </c>
      <c r="G76" s="3" t="s">
        <v>118</v>
      </c>
    </row>
    <row r="77" spans="2:7" x14ac:dyDescent="0.35">
      <c r="B77" s="100"/>
      <c r="C77" s="83"/>
      <c r="D77" s="83"/>
      <c r="E77" s="83"/>
      <c r="F77" s="89"/>
      <c r="G77" s="3" t="s">
        <v>117</v>
      </c>
    </row>
    <row r="78" spans="2:7" x14ac:dyDescent="0.35">
      <c r="B78" s="100"/>
      <c r="C78" s="83"/>
      <c r="D78" s="83"/>
      <c r="E78" s="83"/>
      <c r="F78" s="89"/>
      <c r="G78" s="3" t="s">
        <v>116</v>
      </c>
    </row>
    <row r="79" spans="2:7" x14ac:dyDescent="0.35">
      <c r="B79" s="100"/>
      <c r="C79" s="83"/>
      <c r="D79" s="83"/>
      <c r="E79" s="83"/>
      <c r="F79" s="89"/>
      <c r="G79" s="3" t="s">
        <v>115</v>
      </c>
    </row>
    <row r="80" spans="2:7" x14ac:dyDescent="0.35">
      <c r="B80" s="100"/>
      <c r="C80" s="83"/>
      <c r="D80" s="83"/>
      <c r="E80" s="83"/>
      <c r="F80" s="95"/>
      <c r="G80" s="3" t="s">
        <v>114</v>
      </c>
    </row>
    <row r="81" spans="2:8" x14ac:dyDescent="0.35">
      <c r="B81" s="100"/>
      <c r="C81" s="83"/>
      <c r="D81" s="83"/>
      <c r="E81" s="83"/>
      <c r="F81" s="94" t="s">
        <v>113</v>
      </c>
      <c r="G81" s="3" t="s">
        <v>112</v>
      </c>
    </row>
    <row r="82" spans="2:8" x14ac:dyDescent="0.35">
      <c r="B82" s="100"/>
      <c r="C82" s="83"/>
      <c r="D82" s="83"/>
      <c r="E82" s="83"/>
      <c r="F82" s="89"/>
      <c r="G82" s="3" t="s">
        <v>111</v>
      </c>
    </row>
    <row r="83" spans="2:8" x14ac:dyDescent="0.35">
      <c r="B83" s="100"/>
      <c r="C83" s="83"/>
      <c r="D83" s="83"/>
      <c r="E83" s="83"/>
      <c r="F83" s="89"/>
      <c r="G83" s="3" t="s">
        <v>110</v>
      </c>
    </row>
    <row r="84" spans="2:8" x14ac:dyDescent="0.35">
      <c r="B84" s="100"/>
      <c r="C84" s="83"/>
      <c r="D84" s="83"/>
      <c r="E84" s="83"/>
      <c r="F84" s="95"/>
      <c r="G84" s="3" t="s">
        <v>109</v>
      </c>
    </row>
    <row r="85" spans="2:8" ht="15" thickBot="1" x14ac:dyDescent="0.4">
      <c r="B85" s="101"/>
      <c r="C85" s="84"/>
      <c r="D85" s="84"/>
      <c r="E85" s="84"/>
      <c r="F85" s="8" t="s">
        <v>52</v>
      </c>
      <c r="G85" s="2" t="s">
        <v>108</v>
      </c>
    </row>
    <row r="86" spans="2:8" x14ac:dyDescent="0.35">
      <c r="B86" s="99">
        <v>3</v>
      </c>
      <c r="C86" s="96" t="s">
        <v>107</v>
      </c>
      <c r="D86" s="96" t="s">
        <v>106</v>
      </c>
      <c r="E86" s="96" t="s">
        <v>105</v>
      </c>
      <c r="F86" s="96" t="s">
        <v>42</v>
      </c>
      <c r="G86" s="4" t="s">
        <v>21</v>
      </c>
      <c r="H86" s="1">
        <v>1260000</v>
      </c>
    </row>
    <row r="87" spans="2:8" x14ac:dyDescent="0.35">
      <c r="B87" s="100"/>
      <c r="C87" s="83"/>
      <c r="D87" s="83"/>
      <c r="E87" s="83"/>
      <c r="F87" s="83"/>
      <c r="G87" s="3" t="s">
        <v>20</v>
      </c>
      <c r="H87" s="1">
        <v>1215000</v>
      </c>
    </row>
    <row r="88" spans="2:8" x14ac:dyDescent="0.35">
      <c r="B88" s="100"/>
      <c r="C88" s="83"/>
      <c r="D88" s="83"/>
      <c r="E88" s="83"/>
      <c r="F88" s="83"/>
      <c r="G88" s="3" t="s">
        <v>19</v>
      </c>
      <c r="H88" s="1">
        <v>1260810</v>
      </c>
    </row>
    <row r="89" spans="2:8" x14ac:dyDescent="0.35">
      <c r="B89" s="100"/>
      <c r="C89" s="83"/>
      <c r="D89" s="83"/>
      <c r="E89" s="83"/>
      <c r="F89" s="83"/>
      <c r="G89" s="3" t="s">
        <v>18</v>
      </c>
      <c r="H89" s="1">
        <v>1410300</v>
      </c>
    </row>
    <row r="90" spans="2:8" x14ac:dyDescent="0.35">
      <c r="B90" s="100"/>
      <c r="C90" s="83"/>
      <c r="D90" s="83"/>
      <c r="E90" s="83"/>
      <c r="F90" s="83" t="s">
        <v>33</v>
      </c>
      <c r="G90" s="3" t="s">
        <v>16</v>
      </c>
      <c r="H90" s="1">
        <v>1206000</v>
      </c>
    </row>
    <row r="91" spans="2:8" x14ac:dyDescent="0.35">
      <c r="B91" s="100"/>
      <c r="C91" s="83"/>
      <c r="D91" s="83"/>
      <c r="E91" s="83"/>
      <c r="F91" s="83"/>
      <c r="G91" s="3" t="s">
        <v>15</v>
      </c>
      <c r="H91" s="1">
        <v>1386000</v>
      </c>
    </row>
    <row r="92" spans="2:8" x14ac:dyDescent="0.35">
      <c r="B92" s="100"/>
      <c r="C92" s="83"/>
      <c r="D92" s="83"/>
      <c r="E92" s="83"/>
      <c r="F92" s="83"/>
      <c r="G92" s="3" t="s">
        <v>14</v>
      </c>
      <c r="H92" s="1">
        <v>1160100</v>
      </c>
    </row>
    <row r="93" spans="2:8" x14ac:dyDescent="0.35">
      <c r="B93" s="100"/>
      <c r="C93" s="83"/>
      <c r="D93" s="83"/>
      <c r="E93" s="83"/>
      <c r="F93" s="83"/>
      <c r="G93" s="3" t="s">
        <v>13</v>
      </c>
      <c r="H93" s="1">
        <v>1386000</v>
      </c>
    </row>
    <row r="94" spans="2:8" x14ac:dyDescent="0.35">
      <c r="B94" s="100"/>
      <c r="C94" s="83"/>
      <c r="D94" s="83"/>
      <c r="E94" s="83"/>
      <c r="F94" s="83" t="s">
        <v>32</v>
      </c>
      <c r="G94" s="3" t="s">
        <v>11</v>
      </c>
      <c r="H94" s="1">
        <v>1349100</v>
      </c>
    </row>
    <row r="95" spans="2:8" x14ac:dyDescent="0.35">
      <c r="B95" s="100"/>
      <c r="C95" s="83"/>
      <c r="D95" s="83"/>
      <c r="E95" s="83"/>
      <c r="F95" s="83"/>
      <c r="G95" s="3" t="s">
        <v>10</v>
      </c>
      <c r="H95" s="1">
        <v>1250100</v>
      </c>
    </row>
    <row r="96" spans="2:8" x14ac:dyDescent="0.35">
      <c r="B96" s="100"/>
      <c r="C96" s="83"/>
      <c r="D96" s="83"/>
      <c r="E96" s="83"/>
      <c r="F96" s="83"/>
      <c r="G96" s="3" t="s">
        <v>9</v>
      </c>
      <c r="H96" s="1">
        <v>1520100</v>
      </c>
    </row>
    <row r="97" spans="2:8" x14ac:dyDescent="0.35">
      <c r="B97" s="100"/>
      <c r="C97" s="83"/>
      <c r="D97" s="83"/>
      <c r="E97" s="83"/>
      <c r="F97" s="83"/>
      <c r="G97" s="3" t="s">
        <v>8</v>
      </c>
      <c r="H97" s="1">
        <v>1341000</v>
      </c>
    </row>
    <row r="98" spans="2:8" x14ac:dyDescent="0.35">
      <c r="B98" s="100"/>
      <c r="C98" s="83"/>
      <c r="D98" s="83"/>
      <c r="E98" s="83"/>
      <c r="F98" s="83" t="s">
        <v>29</v>
      </c>
      <c r="G98" s="3" t="s">
        <v>6</v>
      </c>
      <c r="H98" s="1">
        <v>1181610</v>
      </c>
    </row>
    <row r="99" spans="2:8" x14ac:dyDescent="0.35">
      <c r="B99" s="100"/>
      <c r="C99" s="83"/>
      <c r="D99" s="83"/>
      <c r="E99" s="83"/>
      <c r="F99" s="83"/>
      <c r="G99" s="3" t="s">
        <v>5</v>
      </c>
      <c r="H99" s="1">
        <v>1449000</v>
      </c>
    </row>
    <row r="100" spans="2:8" x14ac:dyDescent="0.35">
      <c r="B100" s="100"/>
      <c r="C100" s="83"/>
      <c r="D100" s="83"/>
      <c r="E100" s="83"/>
      <c r="F100" s="83"/>
      <c r="G100" s="3" t="s">
        <v>4</v>
      </c>
      <c r="H100" s="1">
        <v>1169100</v>
      </c>
    </row>
    <row r="101" spans="2:8" x14ac:dyDescent="0.35">
      <c r="B101" s="100"/>
      <c r="C101" s="83"/>
      <c r="D101" s="83"/>
      <c r="E101" s="83"/>
      <c r="F101" s="83"/>
      <c r="G101" s="3" t="s">
        <v>3</v>
      </c>
      <c r="H101" s="1">
        <v>1078200</v>
      </c>
    </row>
    <row r="102" spans="2:8" x14ac:dyDescent="0.35">
      <c r="B102" s="100"/>
      <c r="C102" s="83"/>
      <c r="D102" s="83"/>
      <c r="E102" s="83"/>
      <c r="F102" s="83" t="s">
        <v>52</v>
      </c>
      <c r="G102" s="3" t="s">
        <v>1</v>
      </c>
      <c r="H102" s="1">
        <v>1168020</v>
      </c>
    </row>
    <row r="103" spans="2:8" ht="15" thickBot="1" x14ac:dyDescent="0.4">
      <c r="B103" s="101"/>
      <c r="C103" s="84"/>
      <c r="D103" s="84"/>
      <c r="E103" s="84"/>
      <c r="F103" s="84"/>
      <c r="G103" s="2" t="s">
        <v>0</v>
      </c>
      <c r="H103" s="1">
        <v>1205100</v>
      </c>
    </row>
    <row r="104" spans="2:8" x14ac:dyDescent="0.35">
      <c r="B104" s="85">
        <v>4</v>
      </c>
      <c r="C104" s="88" t="s">
        <v>104</v>
      </c>
      <c r="D104" s="91" t="s">
        <v>103</v>
      </c>
      <c r="E104" s="88" t="s">
        <v>102</v>
      </c>
      <c r="F104" s="88" t="s">
        <v>22</v>
      </c>
      <c r="G104" s="4" t="s">
        <v>101</v>
      </c>
    </row>
    <row r="105" spans="2:8" x14ac:dyDescent="0.35">
      <c r="B105" s="86"/>
      <c r="C105" s="89"/>
      <c r="D105" s="92"/>
      <c r="E105" s="89"/>
      <c r="F105" s="89"/>
      <c r="G105" s="3" t="s">
        <v>100</v>
      </c>
    </row>
    <row r="106" spans="2:8" x14ac:dyDescent="0.35">
      <c r="B106" s="86"/>
      <c r="C106" s="89"/>
      <c r="D106" s="92"/>
      <c r="E106" s="89"/>
      <c r="F106" s="95"/>
      <c r="G106" s="3" t="s">
        <v>99</v>
      </c>
    </row>
    <row r="107" spans="2:8" x14ac:dyDescent="0.35">
      <c r="B107" s="86"/>
      <c r="C107" s="89"/>
      <c r="D107" s="92"/>
      <c r="E107" s="89"/>
      <c r="F107" s="94" t="s">
        <v>17</v>
      </c>
      <c r="G107" s="3" t="s">
        <v>98</v>
      </c>
    </row>
    <row r="108" spans="2:8" x14ac:dyDescent="0.35">
      <c r="B108" s="86"/>
      <c r="C108" s="89"/>
      <c r="D108" s="92"/>
      <c r="E108" s="89"/>
      <c r="F108" s="89"/>
      <c r="G108" s="3" t="s">
        <v>97</v>
      </c>
    </row>
    <row r="109" spans="2:8" x14ac:dyDescent="0.35">
      <c r="B109" s="86"/>
      <c r="C109" s="89"/>
      <c r="D109" s="92"/>
      <c r="E109" s="89"/>
      <c r="F109" s="89"/>
      <c r="G109" s="3" t="s">
        <v>96</v>
      </c>
    </row>
    <row r="110" spans="2:8" x14ac:dyDescent="0.35">
      <c r="B110" s="86"/>
      <c r="C110" s="89"/>
      <c r="D110" s="92"/>
      <c r="E110" s="89"/>
      <c r="F110" s="95"/>
      <c r="G110" s="3" t="s">
        <v>95</v>
      </c>
    </row>
    <row r="111" spans="2:8" x14ac:dyDescent="0.35">
      <c r="B111" s="86"/>
      <c r="C111" s="89"/>
      <c r="D111" s="92"/>
      <c r="E111" s="89"/>
      <c r="F111" s="94" t="s">
        <v>12</v>
      </c>
      <c r="G111" s="3" t="s">
        <v>94</v>
      </c>
    </row>
    <row r="112" spans="2:8" x14ac:dyDescent="0.35">
      <c r="B112" s="86"/>
      <c r="C112" s="89"/>
      <c r="D112" s="92"/>
      <c r="E112" s="89"/>
      <c r="F112" s="89"/>
      <c r="G112" s="5" t="s">
        <v>101</v>
      </c>
    </row>
    <row r="113" spans="2:7" x14ac:dyDescent="0.35">
      <c r="B113" s="86"/>
      <c r="C113" s="89"/>
      <c r="D113" s="92"/>
      <c r="E113" s="89"/>
      <c r="F113" s="95"/>
      <c r="G113" s="3" t="s">
        <v>100</v>
      </c>
    </row>
    <row r="114" spans="2:7" x14ac:dyDescent="0.35">
      <c r="B114" s="86"/>
      <c r="C114" s="89"/>
      <c r="D114" s="92"/>
      <c r="E114" s="89"/>
      <c r="F114" s="94" t="s">
        <v>7</v>
      </c>
      <c r="G114" s="3" t="s">
        <v>99</v>
      </c>
    </row>
    <row r="115" spans="2:7" x14ac:dyDescent="0.35">
      <c r="B115" s="86"/>
      <c r="C115" s="89"/>
      <c r="D115" s="92"/>
      <c r="E115" s="89"/>
      <c r="F115" s="89"/>
      <c r="G115" s="3" t="s">
        <v>98</v>
      </c>
    </row>
    <row r="116" spans="2:7" x14ac:dyDescent="0.35">
      <c r="B116" s="86"/>
      <c r="C116" s="89"/>
      <c r="D116" s="92"/>
      <c r="E116" s="89"/>
      <c r="F116" s="89"/>
      <c r="G116" s="3" t="s">
        <v>97</v>
      </c>
    </row>
    <row r="117" spans="2:7" x14ac:dyDescent="0.35">
      <c r="B117" s="86"/>
      <c r="C117" s="89"/>
      <c r="D117" s="92"/>
      <c r="E117" s="89"/>
      <c r="F117" s="95"/>
      <c r="G117" s="3" t="s">
        <v>96</v>
      </c>
    </row>
    <row r="118" spans="2:7" x14ac:dyDescent="0.35">
      <c r="B118" s="86"/>
      <c r="C118" s="89"/>
      <c r="D118" s="92"/>
      <c r="E118" s="89"/>
      <c r="F118" s="94" t="s">
        <v>2</v>
      </c>
      <c r="G118" s="3" t="s">
        <v>95</v>
      </c>
    </row>
    <row r="119" spans="2:7" ht="15" thickBot="1" x14ac:dyDescent="0.4">
      <c r="B119" s="87"/>
      <c r="C119" s="90"/>
      <c r="D119" s="93"/>
      <c r="E119" s="90"/>
      <c r="F119" s="90"/>
      <c r="G119" s="2" t="s">
        <v>94</v>
      </c>
    </row>
    <row r="120" spans="2:7" x14ac:dyDescent="0.35">
      <c r="B120" s="99">
        <v>4</v>
      </c>
      <c r="C120" s="96" t="s">
        <v>93</v>
      </c>
      <c r="D120" s="96" t="s">
        <v>92</v>
      </c>
      <c r="E120" s="96" t="s">
        <v>91</v>
      </c>
      <c r="F120" s="96" t="s">
        <v>22</v>
      </c>
      <c r="G120" s="4" t="s">
        <v>82</v>
      </c>
    </row>
    <row r="121" spans="2:7" x14ac:dyDescent="0.35">
      <c r="B121" s="100"/>
      <c r="C121" s="83"/>
      <c r="D121" s="83"/>
      <c r="E121" s="83"/>
      <c r="F121" s="83"/>
      <c r="G121" s="3" t="s">
        <v>90</v>
      </c>
    </row>
    <row r="122" spans="2:7" x14ac:dyDescent="0.35">
      <c r="B122" s="100"/>
      <c r="C122" s="83"/>
      <c r="D122" s="83"/>
      <c r="E122" s="83"/>
      <c r="F122" s="83"/>
      <c r="G122" s="3" t="s">
        <v>89</v>
      </c>
    </row>
    <row r="123" spans="2:7" x14ac:dyDescent="0.35">
      <c r="B123" s="100"/>
      <c r="C123" s="83"/>
      <c r="D123" s="83"/>
      <c r="E123" s="83"/>
      <c r="F123" s="83" t="s">
        <v>17</v>
      </c>
      <c r="G123" s="3" t="s">
        <v>88</v>
      </c>
    </row>
    <row r="124" spans="2:7" x14ac:dyDescent="0.35">
      <c r="B124" s="100"/>
      <c r="C124" s="83"/>
      <c r="D124" s="83"/>
      <c r="E124" s="83"/>
      <c r="F124" s="83"/>
      <c r="G124" s="3" t="s">
        <v>87</v>
      </c>
    </row>
    <row r="125" spans="2:7" x14ac:dyDescent="0.35">
      <c r="B125" s="100"/>
      <c r="C125" s="83"/>
      <c r="D125" s="83"/>
      <c r="E125" s="83"/>
      <c r="F125" s="83"/>
      <c r="G125" s="3" t="s">
        <v>86</v>
      </c>
    </row>
    <row r="126" spans="2:7" x14ac:dyDescent="0.35">
      <c r="B126" s="100"/>
      <c r="C126" s="83"/>
      <c r="D126" s="83"/>
      <c r="E126" s="83"/>
      <c r="F126" s="83"/>
      <c r="G126" s="3" t="s">
        <v>85</v>
      </c>
    </row>
    <row r="127" spans="2:7" x14ac:dyDescent="0.35">
      <c r="B127" s="100"/>
      <c r="C127" s="83"/>
      <c r="D127" s="83"/>
      <c r="E127" s="83"/>
      <c r="F127" s="83" t="s">
        <v>12</v>
      </c>
      <c r="G127" s="3" t="s">
        <v>84</v>
      </c>
    </row>
    <row r="128" spans="2:7" x14ac:dyDescent="0.35">
      <c r="B128" s="100"/>
      <c r="C128" s="83"/>
      <c r="D128" s="83"/>
      <c r="E128" s="83"/>
      <c r="F128" s="83"/>
      <c r="G128" s="3" t="s">
        <v>83</v>
      </c>
    </row>
    <row r="129" spans="2:7" x14ac:dyDescent="0.35">
      <c r="B129" s="100"/>
      <c r="C129" s="83"/>
      <c r="D129" s="83"/>
      <c r="E129" s="83"/>
      <c r="F129" s="83"/>
      <c r="G129" s="3" t="s">
        <v>82</v>
      </c>
    </row>
    <row r="130" spans="2:7" x14ac:dyDescent="0.35">
      <c r="B130" s="100"/>
      <c r="C130" s="83"/>
      <c r="D130" s="83"/>
      <c r="E130" s="83"/>
      <c r="F130" s="83"/>
      <c r="G130" s="3" t="s">
        <v>90</v>
      </c>
    </row>
    <row r="131" spans="2:7" x14ac:dyDescent="0.35">
      <c r="B131" s="100"/>
      <c r="C131" s="83"/>
      <c r="D131" s="83"/>
      <c r="E131" s="83"/>
      <c r="F131" s="83"/>
      <c r="G131" s="3" t="s">
        <v>89</v>
      </c>
    </row>
    <row r="132" spans="2:7" x14ac:dyDescent="0.35">
      <c r="B132" s="100"/>
      <c r="C132" s="83"/>
      <c r="D132" s="83"/>
      <c r="E132" s="83"/>
      <c r="F132" s="83" t="s">
        <v>7</v>
      </c>
      <c r="G132" s="3" t="s">
        <v>88</v>
      </c>
    </row>
    <row r="133" spans="2:7" x14ac:dyDescent="0.35">
      <c r="B133" s="100"/>
      <c r="C133" s="83"/>
      <c r="D133" s="83"/>
      <c r="E133" s="83"/>
      <c r="F133" s="83"/>
      <c r="G133" s="3" t="s">
        <v>87</v>
      </c>
    </row>
    <row r="134" spans="2:7" x14ac:dyDescent="0.35">
      <c r="B134" s="100"/>
      <c r="C134" s="83"/>
      <c r="D134" s="83"/>
      <c r="E134" s="83"/>
      <c r="F134" s="83"/>
      <c r="G134" s="3" t="s">
        <v>86</v>
      </c>
    </row>
    <row r="135" spans="2:7" x14ac:dyDescent="0.35">
      <c r="B135" s="100"/>
      <c r="C135" s="83"/>
      <c r="D135" s="83"/>
      <c r="E135" s="83"/>
      <c r="F135" s="83"/>
      <c r="G135" s="3" t="s">
        <v>85</v>
      </c>
    </row>
    <row r="136" spans="2:7" x14ac:dyDescent="0.35">
      <c r="B136" s="100"/>
      <c r="C136" s="83"/>
      <c r="D136" s="83"/>
      <c r="E136" s="83"/>
      <c r="F136" s="83" t="s">
        <v>2</v>
      </c>
      <c r="G136" s="3" t="s">
        <v>84</v>
      </c>
    </row>
    <row r="137" spans="2:7" x14ac:dyDescent="0.35">
      <c r="B137" s="100"/>
      <c r="C137" s="83"/>
      <c r="D137" s="83"/>
      <c r="E137" s="83"/>
      <c r="F137" s="83"/>
      <c r="G137" s="3" t="s">
        <v>83</v>
      </c>
    </row>
    <row r="138" spans="2:7" ht="15" thickBot="1" x14ac:dyDescent="0.4">
      <c r="B138" s="101"/>
      <c r="C138" s="84"/>
      <c r="D138" s="84"/>
      <c r="E138" s="84"/>
      <c r="F138" s="84"/>
      <c r="G138" s="2" t="s">
        <v>82</v>
      </c>
    </row>
    <row r="139" spans="2:7" x14ac:dyDescent="0.35">
      <c r="B139" s="99">
        <v>5</v>
      </c>
      <c r="C139" s="96" t="s">
        <v>81</v>
      </c>
      <c r="D139" s="96" t="s">
        <v>80</v>
      </c>
      <c r="E139" s="96" t="s">
        <v>79</v>
      </c>
      <c r="F139" s="88" t="s">
        <v>42</v>
      </c>
      <c r="G139" s="4" t="s">
        <v>78</v>
      </c>
    </row>
    <row r="140" spans="2:7" x14ac:dyDescent="0.35">
      <c r="B140" s="100"/>
      <c r="C140" s="83"/>
      <c r="D140" s="83"/>
      <c r="E140" s="83"/>
      <c r="F140" s="89"/>
      <c r="G140" s="3" t="s">
        <v>77</v>
      </c>
    </row>
    <row r="141" spans="2:7" x14ac:dyDescent="0.35">
      <c r="B141" s="100"/>
      <c r="C141" s="83"/>
      <c r="D141" s="83"/>
      <c r="E141" s="83"/>
      <c r="F141" s="95"/>
      <c r="G141" s="3" t="s">
        <v>76</v>
      </c>
    </row>
    <row r="142" spans="2:7" x14ac:dyDescent="0.35">
      <c r="B142" s="100"/>
      <c r="C142" s="83"/>
      <c r="D142" s="83"/>
      <c r="E142" s="83"/>
      <c r="F142" s="94" t="s">
        <v>33</v>
      </c>
      <c r="G142" s="3" t="s">
        <v>75</v>
      </c>
    </row>
    <row r="143" spans="2:7" x14ac:dyDescent="0.35">
      <c r="B143" s="100"/>
      <c r="C143" s="83"/>
      <c r="D143" s="83"/>
      <c r="E143" s="83"/>
      <c r="F143" s="89"/>
      <c r="G143" s="3" t="s">
        <v>74</v>
      </c>
    </row>
    <row r="144" spans="2:7" x14ac:dyDescent="0.35">
      <c r="B144" s="100"/>
      <c r="C144" s="83"/>
      <c r="D144" s="83"/>
      <c r="E144" s="83"/>
      <c r="F144" s="89"/>
      <c r="G144" s="3" t="s">
        <v>73</v>
      </c>
    </row>
    <row r="145" spans="2:7" x14ac:dyDescent="0.35">
      <c r="B145" s="100"/>
      <c r="C145" s="83"/>
      <c r="D145" s="83"/>
      <c r="E145" s="83"/>
      <c r="F145" s="95"/>
      <c r="G145" s="3" t="s">
        <v>72</v>
      </c>
    </row>
    <row r="146" spans="2:7" x14ac:dyDescent="0.35">
      <c r="B146" s="100"/>
      <c r="C146" s="83"/>
      <c r="D146" s="83"/>
      <c r="E146" s="83"/>
      <c r="F146" s="94" t="s">
        <v>32</v>
      </c>
      <c r="G146" s="3" t="s">
        <v>71</v>
      </c>
    </row>
    <row r="147" spans="2:7" x14ac:dyDescent="0.35">
      <c r="B147" s="100"/>
      <c r="C147" s="83"/>
      <c r="D147" s="83"/>
      <c r="E147" s="83"/>
      <c r="F147" s="89"/>
      <c r="G147" s="3" t="s">
        <v>78</v>
      </c>
    </row>
    <row r="148" spans="2:7" x14ac:dyDescent="0.35">
      <c r="B148" s="100"/>
      <c r="C148" s="83"/>
      <c r="D148" s="83"/>
      <c r="E148" s="83"/>
      <c r="F148" s="95"/>
      <c r="G148" s="3" t="s">
        <v>77</v>
      </c>
    </row>
    <row r="149" spans="2:7" x14ac:dyDescent="0.35">
      <c r="B149" s="100"/>
      <c r="C149" s="83"/>
      <c r="D149" s="83"/>
      <c r="E149" s="83"/>
      <c r="F149" s="94" t="s">
        <v>29</v>
      </c>
      <c r="G149" s="3" t="s">
        <v>76</v>
      </c>
    </row>
    <row r="150" spans="2:7" x14ac:dyDescent="0.35">
      <c r="B150" s="100"/>
      <c r="C150" s="83"/>
      <c r="D150" s="83"/>
      <c r="E150" s="83"/>
      <c r="F150" s="89"/>
      <c r="G150" s="3" t="s">
        <v>75</v>
      </c>
    </row>
    <row r="151" spans="2:7" x14ac:dyDescent="0.35">
      <c r="B151" s="100"/>
      <c r="C151" s="83"/>
      <c r="D151" s="83"/>
      <c r="E151" s="83"/>
      <c r="F151" s="89"/>
      <c r="G151" s="3" t="s">
        <v>74</v>
      </c>
    </row>
    <row r="152" spans="2:7" x14ac:dyDescent="0.35">
      <c r="B152" s="100"/>
      <c r="C152" s="83"/>
      <c r="D152" s="83"/>
      <c r="E152" s="83"/>
      <c r="F152" s="95"/>
      <c r="G152" s="3" t="s">
        <v>73</v>
      </c>
    </row>
    <row r="153" spans="2:7" x14ac:dyDescent="0.35">
      <c r="B153" s="100"/>
      <c r="C153" s="83"/>
      <c r="D153" s="83"/>
      <c r="E153" s="83"/>
      <c r="F153" s="94" t="s">
        <v>52</v>
      </c>
      <c r="G153" s="3" t="s">
        <v>72</v>
      </c>
    </row>
    <row r="154" spans="2:7" ht="15" thickBot="1" x14ac:dyDescent="0.4">
      <c r="B154" s="101"/>
      <c r="C154" s="84"/>
      <c r="D154" s="84"/>
      <c r="E154" s="84"/>
      <c r="F154" s="90"/>
      <c r="G154" s="2" t="s">
        <v>71</v>
      </c>
    </row>
    <row r="155" spans="2:7" x14ac:dyDescent="0.35">
      <c r="B155" s="85">
        <v>5</v>
      </c>
      <c r="C155" s="88" t="s">
        <v>70</v>
      </c>
      <c r="D155" s="88" t="s">
        <v>69</v>
      </c>
      <c r="E155" s="88" t="s">
        <v>68</v>
      </c>
      <c r="F155" s="96" t="s">
        <v>42</v>
      </c>
      <c r="G155" s="4" t="s">
        <v>67</v>
      </c>
    </row>
    <row r="156" spans="2:7" x14ac:dyDescent="0.35">
      <c r="B156" s="86"/>
      <c r="C156" s="89"/>
      <c r="D156" s="89"/>
      <c r="E156" s="89"/>
      <c r="F156" s="83"/>
      <c r="G156" s="3" t="s">
        <v>66</v>
      </c>
    </row>
    <row r="157" spans="2:7" x14ac:dyDescent="0.35">
      <c r="B157" s="86"/>
      <c r="C157" s="89"/>
      <c r="D157" s="89"/>
      <c r="E157" s="89"/>
      <c r="F157" s="83"/>
      <c r="G157" s="3" t="s">
        <v>65</v>
      </c>
    </row>
    <row r="158" spans="2:7" x14ac:dyDescent="0.35">
      <c r="B158" s="86"/>
      <c r="C158" s="89"/>
      <c r="D158" s="89"/>
      <c r="E158" s="89"/>
      <c r="F158" s="83"/>
      <c r="G158" s="3" t="s">
        <v>64</v>
      </c>
    </row>
    <row r="159" spans="2:7" x14ac:dyDescent="0.35">
      <c r="B159" s="86"/>
      <c r="C159" s="89"/>
      <c r="D159" s="89"/>
      <c r="E159" s="89"/>
      <c r="F159" s="83"/>
      <c r="G159" s="3" t="s">
        <v>63</v>
      </c>
    </row>
    <row r="160" spans="2:7" x14ac:dyDescent="0.35">
      <c r="B160" s="86"/>
      <c r="C160" s="89"/>
      <c r="D160" s="89"/>
      <c r="E160" s="89"/>
      <c r="F160" s="83" t="s">
        <v>33</v>
      </c>
      <c r="G160" s="3" t="s">
        <v>62</v>
      </c>
    </row>
    <row r="161" spans="2:7" x14ac:dyDescent="0.35">
      <c r="B161" s="86"/>
      <c r="C161" s="89"/>
      <c r="D161" s="89"/>
      <c r="E161" s="89"/>
      <c r="F161" s="83"/>
      <c r="G161" s="3" t="s">
        <v>61</v>
      </c>
    </row>
    <row r="162" spans="2:7" x14ac:dyDescent="0.35">
      <c r="B162" s="86"/>
      <c r="C162" s="89"/>
      <c r="D162" s="89"/>
      <c r="E162" s="89"/>
      <c r="F162" s="83"/>
      <c r="G162" s="3" t="s">
        <v>60</v>
      </c>
    </row>
    <row r="163" spans="2:7" x14ac:dyDescent="0.35">
      <c r="B163" s="86"/>
      <c r="C163" s="89"/>
      <c r="D163" s="89"/>
      <c r="E163" s="89"/>
      <c r="F163" s="83"/>
      <c r="G163" s="3" t="s">
        <v>59</v>
      </c>
    </row>
    <row r="164" spans="2:7" x14ac:dyDescent="0.35">
      <c r="B164" s="86"/>
      <c r="C164" s="89"/>
      <c r="D164" s="89"/>
      <c r="E164" s="89"/>
      <c r="F164" s="83"/>
      <c r="G164" s="3" t="s">
        <v>58</v>
      </c>
    </row>
    <row r="165" spans="2:7" x14ac:dyDescent="0.35">
      <c r="B165" s="86"/>
      <c r="C165" s="89"/>
      <c r="D165" s="89"/>
      <c r="E165" s="89"/>
      <c r="F165" s="83"/>
      <c r="G165" s="3" t="s">
        <v>57</v>
      </c>
    </row>
    <row r="166" spans="2:7" x14ac:dyDescent="0.35">
      <c r="B166" s="86"/>
      <c r="C166" s="89"/>
      <c r="D166" s="89"/>
      <c r="E166" s="89"/>
      <c r="F166" s="83" t="s">
        <v>32</v>
      </c>
      <c r="G166" s="3" t="s">
        <v>56</v>
      </c>
    </row>
    <row r="167" spans="2:7" x14ac:dyDescent="0.35">
      <c r="B167" s="86"/>
      <c r="C167" s="89"/>
      <c r="D167" s="89"/>
      <c r="E167" s="89"/>
      <c r="F167" s="83"/>
      <c r="G167" s="3" t="s">
        <v>67</v>
      </c>
    </row>
    <row r="168" spans="2:7" x14ac:dyDescent="0.35">
      <c r="B168" s="86"/>
      <c r="C168" s="89"/>
      <c r="D168" s="89"/>
      <c r="E168" s="89"/>
      <c r="F168" s="83"/>
      <c r="G168" s="3" t="s">
        <v>66</v>
      </c>
    </row>
    <row r="169" spans="2:7" x14ac:dyDescent="0.35">
      <c r="B169" s="86"/>
      <c r="C169" s="89"/>
      <c r="D169" s="89"/>
      <c r="E169" s="89"/>
      <c r="F169" s="83"/>
      <c r="G169" s="3" t="s">
        <v>65</v>
      </c>
    </row>
    <row r="170" spans="2:7" x14ac:dyDescent="0.35">
      <c r="B170" s="86"/>
      <c r="C170" s="89"/>
      <c r="D170" s="89"/>
      <c r="E170" s="89"/>
      <c r="F170" s="83"/>
      <c r="G170" s="3" t="s">
        <v>64</v>
      </c>
    </row>
    <row r="171" spans="2:7" x14ac:dyDescent="0.35">
      <c r="B171" s="86"/>
      <c r="C171" s="89"/>
      <c r="D171" s="89"/>
      <c r="E171" s="89"/>
      <c r="F171" s="83" t="s">
        <v>29</v>
      </c>
      <c r="G171" s="3" t="s">
        <v>63</v>
      </c>
    </row>
    <row r="172" spans="2:7" x14ac:dyDescent="0.35">
      <c r="B172" s="86"/>
      <c r="C172" s="89"/>
      <c r="D172" s="89"/>
      <c r="E172" s="89"/>
      <c r="F172" s="83"/>
      <c r="G172" s="3" t="s">
        <v>62</v>
      </c>
    </row>
    <row r="173" spans="2:7" x14ac:dyDescent="0.35">
      <c r="B173" s="86"/>
      <c r="C173" s="89"/>
      <c r="D173" s="89"/>
      <c r="E173" s="89"/>
      <c r="F173" s="83"/>
      <c r="G173" s="3" t="s">
        <v>61</v>
      </c>
    </row>
    <row r="174" spans="2:7" x14ac:dyDescent="0.35">
      <c r="B174" s="86"/>
      <c r="C174" s="89"/>
      <c r="D174" s="89"/>
      <c r="E174" s="89"/>
      <c r="F174" s="83"/>
      <c r="G174" s="3" t="s">
        <v>60</v>
      </c>
    </row>
    <row r="175" spans="2:7" x14ac:dyDescent="0.35">
      <c r="B175" s="86"/>
      <c r="C175" s="89"/>
      <c r="D175" s="89"/>
      <c r="E175" s="89"/>
      <c r="F175" s="83"/>
      <c r="G175" s="3" t="s">
        <v>59</v>
      </c>
    </row>
    <row r="176" spans="2:7" x14ac:dyDescent="0.35">
      <c r="B176" s="86"/>
      <c r="C176" s="89"/>
      <c r="D176" s="89"/>
      <c r="E176" s="89"/>
      <c r="F176" s="83"/>
      <c r="G176" s="3" t="s">
        <v>58</v>
      </c>
    </row>
    <row r="177" spans="2:8" x14ac:dyDescent="0.35">
      <c r="B177" s="86"/>
      <c r="C177" s="89"/>
      <c r="D177" s="89"/>
      <c r="E177" s="89"/>
      <c r="F177" s="83"/>
      <c r="G177" s="3" t="s">
        <v>57</v>
      </c>
    </row>
    <row r="178" spans="2:8" ht="15" thickBot="1" x14ac:dyDescent="0.4">
      <c r="B178" s="87"/>
      <c r="C178" s="90"/>
      <c r="D178" s="90"/>
      <c r="E178" s="90"/>
      <c r="F178" s="8" t="s">
        <v>52</v>
      </c>
      <c r="G178" s="2" t="s">
        <v>56</v>
      </c>
    </row>
    <row r="179" spans="2:8" x14ac:dyDescent="0.35">
      <c r="B179" s="85">
        <v>5</v>
      </c>
      <c r="C179" s="88" t="s">
        <v>55</v>
      </c>
      <c r="D179" s="88" t="s">
        <v>54</v>
      </c>
      <c r="E179" s="88" t="s">
        <v>53</v>
      </c>
      <c r="F179" s="96" t="s">
        <v>42</v>
      </c>
      <c r="G179" s="4" t="s">
        <v>21</v>
      </c>
    </row>
    <row r="180" spans="2:8" x14ac:dyDescent="0.35">
      <c r="B180" s="86"/>
      <c r="C180" s="89"/>
      <c r="D180" s="89"/>
      <c r="E180" s="89"/>
      <c r="F180" s="83"/>
      <c r="G180" s="3" t="s">
        <v>20</v>
      </c>
    </row>
    <row r="181" spans="2:8" x14ac:dyDescent="0.35">
      <c r="B181" s="86"/>
      <c r="C181" s="89"/>
      <c r="D181" s="89"/>
      <c r="E181" s="89"/>
      <c r="F181" s="83"/>
      <c r="G181" s="3" t="s">
        <v>19</v>
      </c>
      <c r="H181">
        <v>0</v>
      </c>
    </row>
    <row r="182" spans="2:8" x14ac:dyDescent="0.35">
      <c r="B182" s="86"/>
      <c r="C182" s="89"/>
      <c r="D182" s="89"/>
      <c r="E182" s="89"/>
      <c r="F182" s="83"/>
      <c r="G182" s="3" t="s">
        <v>18</v>
      </c>
      <c r="H182">
        <v>0</v>
      </c>
    </row>
    <row r="183" spans="2:8" x14ac:dyDescent="0.35">
      <c r="B183" s="86"/>
      <c r="C183" s="89"/>
      <c r="D183" s="89"/>
      <c r="E183" s="89"/>
      <c r="F183" s="83" t="s">
        <v>33</v>
      </c>
      <c r="G183" s="3" t="s">
        <v>16</v>
      </c>
      <c r="H183" s="1">
        <v>340000</v>
      </c>
    </row>
    <row r="184" spans="2:8" x14ac:dyDescent="0.35">
      <c r="B184" s="86"/>
      <c r="C184" s="89"/>
      <c r="D184" s="89"/>
      <c r="E184" s="89"/>
      <c r="F184" s="83"/>
      <c r="G184" s="3" t="s">
        <v>15</v>
      </c>
      <c r="H184" s="1">
        <v>340000</v>
      </c>
    </row>
    <row r="185" spans="2:8" x14ac:dyDescent="0.35">
      <c r="B185" s="86"/>
      <c r="C185" s="89"/>
      <c r="D185" s="89"/>
      <c r="E185" s="89"/>
      <c r="F185" s="83"/>
      <c r="G185" s="3" t="s">
        <v>14</v>
      </c>
      <c r="H185" s="1">
        <v>340000</v>
      </c>
    </row>
    <row r="186" spans="2:8" x14ac:dyDescent="0.35">
      <c r="B186" s="86"/>
      <c r="C186" s="89"/>
      <c r="D186" s="89"/>
      <c r="E186" s="89"/>
      <c r="F186" s="83"/>
      <c r="G186" s="3" t="s">
        <v>13</v>
      </c>
      <c r="H186" s="1">
        <v>340000</v>
      </c>
    </row>
    <row r="187" spans="2:8" x14ac:dyDescent="0.35">
      <c r="B187" s="86"/>
      <c r="C187" s="89"/>
      <c r="D187" s="89"/>
      <c r="E187" s="89"/>
      <c r="F187" s="83" t="s">
        <v>32</v>
      </c>
      <c r="G187" s="3" t="s">
        <v>11</v>
      </c>
      <c r="H187" s="1">
        <v>340000</v>
      </c>
    </row>
    <row r="188" spans="2:8" x14ac:dyDescent="0.35">
      <c r="B188" s="86"/>
      <c r="C188" s="89"/>
      <c r="D188" s="89"/>
      <c r="E188" s="89"/>
      <c r="F188" s="83"/>
      <c r="G188" s="3" t="s">
        <v>10</v>
      </c>
      <c r="H188" s="1">
        <v>340000</v>
      </c>
    </row>
    <row r="189" spans="2:8" x14ac:dyDescent="0.35">
      <c r="B189" s="86"/>
      <c r="C189" s="89"/>
      <c r="D189" s="89"/>
      <c r="E189" s="89"/>
      <c r="F189" s="83"/>
      <c r="G189" s="3" t="s">
        <v>9</v>
      </c>
      <c r="H189" s="1">
        <v>340000</v>
      </c>
    </row>
    <row r="190" spans="2:8" x14ac:dyDescent="0.35">
      <c r="B190" s="86"/>
      <c r="C190" s="89"/>
      <c r="D190" s="89"/>
      <c r="E190" s="89"/>
      <c r="F190" s="83"/>
      <c r="G190" s="3" t="s">
        <v>8</v>
      </c>
      <c r="H190" s="1">
        <v>340000</v>
      </c>
    </row>
    <row r="191" spans="2:8" x14ac:dyDescent="0.35">
      <c r="B191" s="86"/>
      <c r="C191" s="89"/>
      <c r="D191" s="89"/>
      <c r="E191" s="89"/>
      <c r="F191" s="83" t="s">
        <v>29</v>
      </c>
      <c r="G191" s="3" t="s">
        <v>6</v>
      </c>
      <c r="H191" s="1">
        <v>340000</v>
      </c>
    </row>
    <row r="192" spans="2:8" x14ac:dyDescent="0.35">
      <c r="B192" s="86"/>
      <c r="C192" s="89"/>
      <c r="D192" s="89"/>
      <c r="E192" s="89"/>
      <c r="F192" s="83"/>
      <c r="G192" s="3" t="s">
        <v>5</v>
      </c>
      <c r="H192" s="1">
        <v>340000</v>
      </c>
    </row>
    <row r="193" spans="2:8" x14ac:dyDescent="0.35">
      <c r="B193" s="86"/>
      <c r="C193" s="89"/>
      <c r="D193" s="89"/>
      <c r="E193" s="89"/>
      <c r="F193" s="83"/>
      <c r="G193" s="3" t="s">
        <v>4</v>
      </c>
      <c r="H193" s="1">
        <v>340000</v>
      </c>
    </row>
    <row r="194" spans="2:8" x14ac:dyDescent="0.35">
      <c r="B194" s="86"/>
      <c r="C194" s="89"/>
      <c r="D194" s="89"/>
      <c r="E194" s="89"/>
      <c r="F194" s="83"/>
      <c r="G194" s="3" t="s">
        <v>3</v>
      </c>
      <c r="H194" s="1">
        <v>340000</v>
      </c>
    </row>
    <row r="195" spans="2:8" x14ac:dyDescent="0.35">
      <c r="B195" s="86"/>
      <c r="C195" s="89"/>
      <c r="D195" s="89"/>
      <c r="E195" s="89"/>
      <c r="F195" s="83" t="s">
        <v>52</v>
      </c>
      <c r="G195" s="3" t="s">
        <v>1</v>
      </c>
      <c r="H195" s="1">
        <v>0</v>
      </c>
    </row>
    <row r="196" spans="2:8" ht="15" thickBot="1" x14ac:dyDescent="0.4">
      <c r="B196" s="87"/>
      <c r="C196" s="90"/>
      <c r="D196" s="90"/>
      <c r="E196" s="90"/>
      <c r="F196" s="84"/>
      <c r="G196" s="2" t="s">
        <v>0</v>
      </c>
      <c r="H196" s="1">
        <v>0</v>
      </c>
    </row>
    <row r="197" spans="2:8" x14ac:dyDescent="0.35">
      <c r="B197" s="99">
        <v>6</v>
      </c>
      <c r="C197" s="96" t="s">
        <v>51</v>
      </c>
      <c r="D197" s="96" t="s">
        <v>50</v>
      </c>
      <c r="E197" s="96" t="s">
        <v>49</v>
      </c>
      <c r="F197" s="96" t="s">
        <v>22</v>
      </c>
      <c r="G197" s="4" t="s">
        <v>21</v>
      </c>
      <c r="H197" s="1">
        <v>0</v>
      </c>
    </row>
    <row r="198" spans="2:8" x14ac:dyDescent="0.35">
      <c r="B198" s="100"/>
      <c r="C198" s="83"/>
      <c r="D198" s="83"/>
      <c r="E198" s="83"/>
      <c r="F198" s="83"/>
      <c r="G198" s="3" t="s">
        <v>20</v>
      </c>
      <c r="H198" s="7">
        <v>0</v>
      </c>
    </row>
    <row r="199" spans="2:8" x14ac:dyDescent="0.35">
      <c r="B199" s="100"/>
      <c r="C199" s="83"/>
      <c r="D199" s="83"/>
      <c r="E199" s="83"/>
      <c r="F199" s="83"/>
      <c r="G199" s="3" t="s">
        <v>19</v>
      </c>
      <c r="H199" s="7">
        <v>0</v>
      </c>
    </row>
    <row r="200" spans="2:8" x14ac:dyDescent="0.35">
      <c r="B200" s="100"/>
      <c r="C200" s="83"/>
      <c r="D200" s="83"/>
      <c r="E200" s="83"/>
      <c r="F200" s="83"/>
      <c r="G200" s="3" t="s">
        <v>18</v>
      </c>
      <c r="H200" s="7">
        <v>1760000</v>
      </c>
    </row>
    <row r="201" spans="2:8" x14ac:dyDescent="0.35">
      <c r="B201" s="100"/>
      <c r="C201" s="83"/>
      <c r="D201" s="83"/>
      <c r="E201" s="83"/>
      <c r="F201" s="83" t="s">
        <v>17</v>
      </c>
      <c r="G201" s="3" t="s">
        <v>16</v>
      </c>
      <c r="H201" s="7">
        <v>1760000</v>
      </c>
    </row>
    <row r="202" spans="2:8" x14ac:dyDescent="0.35">
      <c r="B202" s="100"/>
      <c r="C202" s="83"/>
      <c r="D202" s="83"/>
      <c r="E202" s="83"/>
      <c r="F202" s="83"/>
      <c r="G202" s="3" t="s">
        <v>15</v>
      </c>
      <c r="H202" s="7">
        <v>1760000</v>
      </c>
    </row>
    <row r="203" spans="2:8" x14ac:dyDescent="0.35">
      <c r="B203" s="100"/>
      <c r="C203" s="83"/>
      <c r="D203" s="83"/>
      <c r="E203" s="83"/>
      <c r="F203" s="83"/>
      <c r="G203" s="3" t="s">
        <v>14</v>
      </c>
      <c r="H203" s="7">
        <v>1760000</v>
      </c>
    </row>
    <row r="204" spans="2:8" x14ac:dyDescent="0.35">
      <c r="B204" s="100"/>
      <c r="C204" s="83"/>
      <c r="D204" s="83"/>
      <c r="E204" s="83"/>
      <c r="F204" s="83"/>
      <c r="G204" s="3" t="s">
        <v>13</v>
      </c>
      <c r="H204" s="7">
        <v>1760000</v>
      </c>
    </row>
    <row r="205" spans="2:8" x14ac:dyDescent="0.35">
      <c r="B205" s="100"/>
      <c r="C205" s="83"/>
      <c r="D205" s="83"/>
      <c r="E205" s="83"/>
      <c r="F205" s="83" t="s">
        <v>12</v>
      </c>
      <c r="G205" s="3" t="s">
        <v>11</v>
      </c>
      <c r="H205" s="7">
        <v>1760000</v>
      </c>
    </row>
    <row r="206" spans="2:8" x14ac:dyDescent="0.35">
      <c r="B206" s="100"/>
      <c r="C206" s="83"/>
      <c r="D206" s="83"/>
      <c r="E206" s="83"/>
      <c r="F206" s="83"/>
      <c r="G206" s="3" t="s">
        <v>10</v>
      </c>
      <c r="H206" s="7">
        <v>1760000</v>
      </c>
    </row>
    <row r="207" spans="2:8" x14ac:dyDescent="0.35">
      <c r="B207" s="100"/>
      <c r="C207" s="83"/>
      <c r="D207" s="83"/>
      <c r="E207" s="83"/>
      <c r="F207" s="83"/>
      <c r="G207" s="3" t="s">
        <v>9</v>
      </c>
      <c r="H207" s="7">
        <v>1760000</v>
      </c>
    </row>
    <row r="208" spans="2:8" x14ac:dyDescent="0.35">
      <c r="B208" s="100"/>
      <c r="C208" s="83"/>
      <c r="D208" s="83"/>
      <c r="E208" s="83"/>
      <c r="F208" s="83"/>
      <c r="G208" s="3" t="s">
        <v>8</v>
      </c>
      <c r="H208" s="7">
        <v>1760000</v>
      </c>
    </row>
    <row r="209" spans="2:8" x14ac:dyDescent="0.35">
      <c r="B209" s="100"/>
      <c r="C209" s="83"/>
      <c r="D209" s="83"/>
      <c r="E209" s="83"/>
      <c r="F209" s="83" t="s">
        <v>7</v>
      </c>
      <c r="G209" s="3" t="s">
        <v>6</v>
      </c>
      <c r="H209" s="7">
        <v>1760000</v>
      </c>
    </row>
    <row r="210" spans="2:8" x14ac:dyDescent="0.35">
      <c r="B210" s="100"/>
      <c r="C210" s="83"/>
      <c r="D210" s="83"/>
      <c r="E210" s="83"/>
      <c r="F210" s="83"/>
      <c r="G210" s="3" t="s">
        <v>5</v>
      </c>
      <c r="H210" s="7">
        <v>1760000</v>
      </c>
    </row>
    <row r="211" spans="2:8" x14ac:dyDescent="0.35">
      <c r="B211" s="100"/>
      <c r="C211" s="83"/>
      <c r="D211" s="83"/>
      <c r="E211" s="83"/>
      <c r="F211" s="83"/>
      <c r="G211" s="3" t="s">
        <v>4</v>
      </c>
      <c r="H211" s="7">
        <v>1760000</v>
      </c>
    </row>
    <row r="212" spans="2:8" x14ac:dyDescent="0.35">
      <c r="B212" s="100"/>
      <c r="C212" s="83"/>
      <c r="D212" s="83"/>
      <c r="E212" s="83"/>
      <c r="F212" s="83"/>
      <c r="G212" s="3" t="s">
        <v>3</v>
      </c>
      <c r="H212" s="7">
        <v>1760000</v>
      </c>
    </row>
    <row r="213" spans="2:8" x14ac:dyDescent="0.35">
      <c r="B213" s="100"/>
      <c r="C213" s="83"/>
      <c r="D213" s="83"/>
      <c r="E213" s="83"/>
      <c r="F213" s="83" t="s">
        <v>2</v>
      </c>
      <c r="G213" s="3" t="s">
        <v>1</v>
      </c>
      <c r="H213" s="7">
        <v>1760000</v>
      </c>
    </row>
    <row r="214" spans="2:8" ht="15" thickBot="1" x14ac:dyDescent="0.4">
      <c r="B214" s="101"/>
      <c r="C214" s="84"/>
      <c r="D214" s="84"/>
      <c r="E214" s="84"/>
      <c r="F214" s="84"/>
      <c r="G214" s="2" t="s">
        <v>0</v>
      </c>
      <c r="H214" s="7">
        <v>1760000</v>
      </c>
    </row>
    <row r="215" spans="2:8" x14ac:dyDescent="0.35">
      <c r="B215" s="85">
        <v>6</v>
      </c>
      <c r="C215" s="88" t="s">
        <v>48</v>
      </c>
      <c r="D215" s="88" t="s">
        <v>47</v>
      </c>
      <c r="E215" s="88" t="s">
        <v>46</v>
      </c>
      <c r="F215" s="96" t="s">
        <v>22</v>
      </c>
      <c r="G215" s="4" t="s">
        <v>21</v>
      </c>
      <c r="H215" s="7">
        <v>880000</v>
      </c>
    </row>
    <row r="216" spans="2:8" x14ac:dyDescent="0.35">
      <c r="B216" s="86"/>
      <c r="C216" s="89"/>
      <c r="D216" s="89"/>
      <c r="E216" s="89"/>
      <c r="F216" s="83"/>
      <c r="G216" s="3" t="s">
        <v>20</v>
      </c>
      <c r="H216" s="7">
        <v>880000</v>
      </c>
    </row>
    <row r="217" spans="2:8" x14ac:dyDescent="0.35">
      <c r="B217" s="86"/>
      <c r="C217" s="89"/>
      <c r="D217" s="89"/>
      <c r="E217" s="89"/>
      <c r="F217" s="83"/>
      <c r="G217" s="3" t="s">
        <v>19</v>
      </c>
      <c r="H217" s="7">
        <v>880000</v>
      </c>
    </row>
    <row r="218" spans="2:8" x14ac:dyDescent="0.35">
      <c r="B218" s="86"/>
      <c r="C218" s="89"/>
      <c r="D218" s="89"/>
      <c r="E218" s="89"/>
      <c r="F218" s="83"/>
      <c r="G218" s="3" t="s">
        <v>18</v>
      </c>
      <c r="H218" s="7">
        <v>880000</v>
      </c>
    </row>
    <row r="219" spans="2:8" x14ac:dyDescent="0.35">
      <c r="B219" s="86"/>
      <c r="C219" s="89"/>
      <c r="D219" s="89"/>
      <c r="E219" s="89"/>
      <c r="F219" s="83" t="s">
        <v>17</v>
      </c>
      <c r="G219" s="3" t="s">
        <v>16</v>
      </c>
      <c r="H219" s="7">
        <v>880000</v>
      </c>
    </row>
    <row r="220" spans="2:8" x14ac:dyDescent="0.35">
      <c r="B220" s="86"/>
      <c r="C220" s="89"/>
      <c r="D220" s="89"/>
      <c r="E220" s="89"/>
      <c r="F220" s="83"/>
      <c r="G220" s="3" t="s">
        <v>15</v>
      </c>
      <c r="H220" s="7">
        <v>880000</v>
      </c>
    </row>
    <row r="221" spans="2:8" x14ac:dyDescent="0.35">
      <c r="B221" s="86"/>
      <c r="C221" s="89"/>
      <c r="D221" s="89"/>
      <c r="E221" s="89"/>
      <c r="F221" s="83"/>
      <c r="G221" s="3" t="s">
        <v>14</v>
      </c>
      <c r="H221" s="7">
        <v>880000</v>
      </c>
    </row>
    <row r="222" spans="2:8" x14ac:dyDescent="0.35">
      <c r="B222" s="86"/>
      <c r="C222" s="89"/>
      <c r="D222" s="89"/>
      <c r="E222" s="89"/>
      <c r="F222" s="83"/>
      <c r="G222" s="3" t="s">
        <v>13</v>
      </c>
      <c r="H222" s="7">
        <v>880000</v>
      </c>
    </row>
    <row r="223" spans="2:8" x14ac:dyDescent="0.35">
      <c r="B223" s="86"/>
      <c r="C223" s="89"/>
      <c r="D223" s="89"/>
      <c r="E223" s="89"/>
      <c r="F223" s="83" t="s">
        <v>12</v>
      </c>
      <c r="G223" s="3" t="s">
        <v>11</v>
      </c>
      <c r="H223" s="7">
        <v>880000</v>
      </c>
    </row>
    <row r="224" spans="2:8" x14ac:dyDescent="0.35">
      <c r="B224" s="86"/>
      <c r="C224" s="89"/>
      <c r="D224" s="89"/>
      <c r="E224" s="89"/>
      <c r="F224" s="83"/>
      <c r="G224" s="3" t="s">
        <v>10</v>
      </c>
      <c r="H224" s="7">
        <v>880000</v>
      </c>
    </row>
    <row r="225" spans="2:8" x14ac:dyDescent="0.35">
      <c r="B225" s="86"/>
      <c r="C225" s="89"/>
      <c r="D225" s="89"/>
      <c r="E225" s="89"/>
      <c r="F225" s="83"/>
      <c r="G225" s="3" t="s">
        <v>9</v>
      </c>
      <c r="H225" s="7">
        <v>880000</v>
      </c>
    </row>
    <row r="226" spans="2:8" x14ac:dyDescent="0.35">
      <c r="B226" s="86"/>
      <c r="C226" s="89"/>
      <c r="D226" s="89"/>
      <c r="E226" s="89"/>
      <c r="F226" s="83"/>
      <c r="G226" s="3" t="s">
        <v>8</v>
      </c>
      <c r="H226" s="7">
        <v>880000</v>
      </c>
    </row>
    <row r="227" spans="2:8" x14ac:dyDescent="0.35">
      <c r="B227" s="86"/>
      <c r="C227" s="89"/>
      <c r="D227" s="89"/>
      <c r="E227" s="89"/>
      <c r="F227" s="83" t="s">
        <v>7</v>
      </c>
      <c r="G227" s="3" t="s">
        <v>6</v>
      </c>
      <c r="H227" s="7">
        <v>880000</v>
      </c>
    </row>
    <row r="228" spans="2:8" x14ac:dyDescent="0.35">
      <c r="B228" s="86"/>
      <c r="C228" s="89"/>
      <c r="D228" s="89"/>
      <c r="E228" s="89"/>
      <c r="F228" s="83"/>
      <c r="G228" s="3" t="s">
        <v>5</v>
      </c>
      <c r="H228" s="7">
        <v>880000</v>
      </c>
    </row>
    <row r="229" spans="2:8" x14ac:dyDescent="0.35">
      <c r="B229" s="86"/>
      <c r="C229" s="89"/>
      <c r="D229" s="89"/>
      <c r="E229" s="89"/>
      <c r="F229" s="83"/>
      <c r="G229" s="3" t="s">
        <v>4</v>
      </c>
      <c r="H229" s="7">
        <v>880000</v>
      </c>
    </row>
    <row r="230" spans="2:8" x14ac:dyDescent="0.35">
      <c r="B230" s="86"/>
      <c r="C230" s="89"/>
      <c r="D230" s="89"/>
      <c r="E230" s="89"/>
      <c r="F230" s="83"/>
      <c r="G230" s="3" t="s">
        <v>3</v>
      </c>
      <c r="H230" s="7">
        <v>880000</v>
      </c>
    </row>
    <row r="231" spans="2:8" x14ac:dyDescent="0.35">
      <c r="B231" s="86"/>
      <c r="C231" s="89"/>
      <c r="D231" s="89"/>
      <c r="E231" s="89"/>
      <c r="F231" s="83" t="s">
        <v>2</v>
      </c>
      <c r="G231" s="3" t="s">
        <v>1</v>
      </c>
      <c r="H231" s="7">
        <v>880000</v>
      </c>
    </row>
    <row r="232" spans="2:8" ht="15" thickBot="1" x14ac:dyDescent="0.4">
      <c r="B232" s="87"/>
      <c r="C232" s="90"/>
      <c r="D232" s="90"/>
      <c r="E232" s="90"/>
      <c r="F232" s="84"/>
      <c r="G232" s="2" t="s">
        <v>0</v>
      </c>
      <c r="H232" s="7">
        <v>704000</v>
      </c>
    </row>
    <row r="233" spans="2:8" x14ac:dyDescent="0.35">
      <c r="B233" s="85">
        <v>7</v>
      </c>
      <c r="C233" s="88" t="s">
        <v>45</v>
      </c>
      <c r="D233" s="88" t="s">
        <v>44</v>
      </c>
      <c r="E233" s="88" t="s">
        <v>43</v>
      </c>
      <c r="F233" s="88" t="s">
        <v>42</v>
      </c>
      <c r="G233" s="4" t="s">
        <v>41</v>
      </c>
    </row>
    <row r="234" spans="2:8" x14ac:dyDescent="0.35">
      <c r="B234" s="86"/>
      <c r="C234" s="89"/>
      <c r="D234" s="89"/>
      <c r="E234" s="89"/>
      <c r="F234" s="89"/>
      <c r="G234" s="3" t="s">
        <v>39</v>
      </c>
    </row>
    <row r="235" spans="2:8" x14ac:dyDescent="0.35">
      <c r="B235" s="86"/>
      <c r="C235" s="89"/>
      <c r="D235" s="89"/>
      <c r="E235" s="89"/>
      <c r="F235" s="95"/>
      <c r="G235" s="3" t="s">
        <v>38</v>
      </c>
    </row>
    <row r="236" spans="2:8" x14ac:dyDescent="0.35">
      <c r="B236" s="86"/>
      <c r="C236" s="89"/>
      <c r="D236" s="89"/>
      <c r="E236" s="89"/>
      <c r="F236" s="6" t="s">
        <v>33</v>
      </c>
      <c r="G236" s="3" t="s">
        <v>40</v>
      </c>
    </row>
    <row r="237" spans="2:8" x14ac:dyDescent="0.35">
      <c r="B237" s="86"/>
      <c r="C237" s="89"/>
      <c r="D237" s="89"/>
      <c r="E237" s="89"/>
      <c r="F237" s="94" t="s">
        <v>32</v>
      </c>
      <c r="G237" s="5" t="s">
        <v>41</v>
      </c>
    </row>
    <row r="238" spans="2:8" x14ac:dyDescent="0.35">
      <c r="B238" s="86"/>
      <c r="C238" s="89"/>
      <c r="D238" s="89"/>
      <c r="E238" s="89"/>
      <c r="F238" s="89"/>
      <c r="G238" s="3" t="s">
        <v>39</v>
      </c>
    </row>
    <row r="239" spans="2:8" x14ac:dyDescent="0.35">
      <c r="B239" s="86"/>
      <c r="C239" s="89"/>
      <c r="D239" s="89"/>
      <c r="E239" s="89"/>
      <c r="F239" s="89"/>
      <c r="G239" s="3" t="s">
        <v>38</v>
      </c>
    </row>
    <row r="240" spans="2:8" x14ac:dyDescent="0.35">
      <c r="B240" s="86"/>
      <c r="C240" s="89"/>
      <c r="D240" s="89"/>
      <c r="E240" s="89"/>
      <c r="F240" s="95"/>
      <c r="G240" s="3" t="s">
        <v>40</v>
      </c>
    </row>
    <row r="241" spans="2:8" x14ac:dyDescent="0.35">
      <c r="B241" s="86"/>
      <c r="C241" s="89"/>
      <c r="D241" s="89"/>
      <c r="E241" s="89"/>
      <c r="F241" s="94" t="s">
        <v>29</v>
      </c>
      <c r="G241" s="3" t="s">
        <v>39</v>
      </c>
    </row>
    <row r="242" spans="2:8" ht="15" thickBot="1" x14ac:dyDescent="0.4">
      <c r="B242" s="87"/>
      <c r="C242" s="90"/>
      <c r="D242" s="90"/>
      <c r="E242" s="90"/>
      <c r="F242" s="90"/>
      <c r="G242" s="2" t="s">
        <v>38</v>
      </c>
    </row>
    <row r="243" spans="2:8" x14ac:dyDescent="0.35">
      <c r="B243" s="85">
        <v>7</v>
      </c>
      <c r="C243" s="88" t="s">
        <v>37</v>
      </c>
      <c r="D243" s="88" t="s">
        <v>36</v>
      </c>
      <c r="E243" s="88" t="s">
        <v>35</v>
      </c>
      <c r="F243" s="88" t="s">
        <v>34</v>
      </c>
      <c r="G243" s="4" t="s">
        <v>31</v>
      </c>
    </row>
    <row r="244" spans="2:8" x14ac:dyDescent="0.35">
      <c r="B244" s="86"/>
      <c r="C244" s="89"/>
      <c r="D244" s="89"/>
      <c r="E244" s="89"/>
      <c r="F244" s="89"/>
      <c r="G244" s="3" t="s">
        <v>30</v>
      </c>
    </row>
    <row r="245" spans="2:8" x14ac:dyDescent="0.35">
      <c r="B245" s="86"/>
      <c r="C245" s="89"/>
      <c r="D245" s="89"/>
      <c r="E245" s="89"/>
      <c r="F245" s="89"/>
      <c r="G245" s="3" t="s">
        <v>28</v>
      </c>
    </row>
    <row r="246" spans="2:8" x14ac:dyDescent="0.35">
      <c r="B246" s="86"/>
      <c r="C246" s="89"/>
      <c r="D246" s="89"/>
      <c r="E246" s="89"/>
      <c r="F246" s="89" t="s">
        <v>33</v>
      </c>
      <c r="G246" s="3" t="s">
        <v>27</v>
      </c>
    </row>
    <row r="247" spans="2:8" x14ac:dyDescent="0.35">
      <c r="B247" s="86"/>
      <c r="C247" s="89"/>
      <c r="D247" s="89"/>
      <c r="E247" s="89"/>
      <c r="F247" s="95"/>
      <c r="G247" s="3" t="s">
        <v>26</v>
      </c>
    </row>
    <row r="248" spans="2:8" x14ac:dyDescent="0.35">
      <c r="B248" s="86"/>
      <c r="C248" s="89"/>
      <c r="D248" s="89"/>
      <c r="E248" s="89"/>
      <c r="F248" s="94" t="s">
        <v>32</v>
      </c>
      <c r="G248" s="5" t="s">
        <v>31</v>
      </c>
    </row>
    <row r="249" spans="2:8" x14ac:dyDescent="0.35">
      <c r="B249" s="86"/>
      <c r="C249" s="89"/>
      <c r="D249" s="89"/>
      <c r="E249" s="89"/>
      <c r="F249" s="95"/>
      <c r="G249" s="3" t="s">
        <v>30</v>
      </c>
    </row>
    <row r="250" spans="2:8" x14ac:dyDescent="0.35">
      <c r="B250" s="86"/>
      <c r="C250" s="89"/>
      <c r="D250" s="89"/>
      <c r="E250" s="89"/>
      <c r="F250" s="94" t="s">
        <v>29</v>
      </c>
      <c r="G250" s="3" t="s">
        <v>28</v>
      </c>
    </row>
    <row r="251" spans="2:8" x14ac:dyDescent="0.35">
      <c r="B251" s="86"/>
      <c r="C251" s="89"/>
      <c r="D251" s="89"/>
      <c r="E251" s="89"/>
      <c r="F251" s="89"/>
      <c r="G251" s="3" t="s">
        <v>27</v>
      </c>
    </row>
    <row r="252" spans="2:8" ht="15" thickBot="1" x14ac:dyDescent="0.4">
      <c r="B252" s="87"/>
      <c r="C252" s="90"/>
      <c r="D252" s="90"/>
      <c r="E252" s="90"/>
      <c r="F252" s="90"/>
      <c r="G252" s="2" t="s">
        <v>26</v>
      </c>
    </row>
    <row r="253" spans="2:8" x14ac:dyDescent="0.35">
      <c r="B253" s="119">
        <v>8</v>
      </c>
      <c r="C253" s="116" t="s">
        <v>25</v>
      </c>
      <c r="D253" s="116" t="s">
        <v>24</v>
      </c>
      <c r="E253" s="116" t="s">
        <v>23</v>
      </c>
      <c r="F253" s="114" t="s">
        <v>22</v>
      </c>
      <c r="G253" s="4" t="s">
        <v>21</v>
      </c>
    </row>
    <row r="254" spans="2:8" x14ac:dyDescent="0.35">
      <c r="B254" s="120"/>
      <c r="C254" s="117"/>
      <c r="D254" s="117"/>
      <c r="E254" s="117"/>
      <c r="F254" s="115"/>
      <c r="G254" s="3" t="s">
        <v>20</v>
      </c>
      <c r="H254" s="1">
        <v>0</v>
      </c>
    </row>
    <row r="255" spans="2:8" x14ac:dyDescent="0.35">
      <c r="B255" s="120"/>
      <c r="C255" s="117"/>
      <c r="D255" s="117"/>
      <c r="E255" s="117"/>
      <c r="F255" s="115"/>
      <c r="G255" s="3" t="s">
        <v>19</v>
      </c>
      <c r="H255" s="1">
        <v>0</v>
      </c>
    </row>
    <row r="256" spans="2:8" x14ac:dyDescent="0.35">
      <c r="B256" s="120"/>
      <c r="C256" s="117"/>
      <c r="D256" s="117"/>
      <c r="E256" s="117"/>
      <c r="F256" s="115"/>
      <c r="G256" s="3" t="s">
        <v>18</v>
      </c>
      <c r="H256" s="1">
        <v>0</v>
      </c>
    </row>
    <row r="257" spans="2:8" x14ac:dyDescent="0.35">
      <c r="B257" s="120"/>
      <c r="C257" s="117"/>
      <c r="D257" s="117"/>
      <c r="E257" s="117"/>
      <c r="F257" s="115" t="s">
        <v>17</v>
      </c>
      <c r="G257" s="3" t="s">
        <v>16</v>
      </c>
      <c r="H257" s="1">
        <v>568000</v>
      </c>
    </row>
    <row r="258" spans="2:8" x14ac:dyDescent="0.35">
      <c r="B258" s="120"/>
      <c r="C258" s="117"/>
      <c r="D258" s="117"/>
      <c r="E258" s="117"/>
      <c r="F258" s="115"/>
      <c r="G258" s="3" t="s">
        <v>15</v>
      </c>
      <c r="H258" s="1">
        <v>568000</v>
      </c>
    </row>
    <row r="259" spans="2:8" x14ac:dyDescent="0.35">
      <c r="B259" s="120"/>
      <c r="C259" s="117"/>
      <c r="D259" s="117"/>
      <c r="E259" s="117"/>
      <c r="F259" s="115"/>
      <c r="G259" s="3" t="s">
        <v>14</v>
      </c>
      <c r="H259" s="1">
        <v>568000</v>
      </c>
    </row>
    <row r="260" spans="2:8" x14ac:dyDescent="0.35">
      <c r="B260" s="120"/>
      <c r="C260" s="117"/>
      <c r="D260" s="117"/>
      <c r="E260" s="117"/>
      <c r="F260" s="115"/>
      <c r="G260" s="3" t="s">
        <v>13</v>
      </c>
      <c r="H260" s="1">
        <v>568000</v>
      </c>
    </row>
    <row r="261" spans="2:8" x14ac:dyDescent="0.35">
      <c r="B261" s="120"/>
      <c r="C261" s="117"/>
      <c r="D261" s="117"/>
      <c r="E261" s="117"/>
      <c r="F261" s="115" t="s">
        <v>12</v>
      </c>
      <c r="G261" s="3" t="s">
        <v>11</v>
      </c>
      <c r="H261" s="1">
        <v>568000</v>
      </c>
    </row>
    <row r="262" spans="2:8" x14ac:dyDescent="0.35">
      <c r="B262" s="120"/>
      <c r="C262" s="117"/>
      <c r="D262" s="117"/>
      <c r="E262" s="117"/>
      <c r="F262" s="115"/>
      <c r="G262" s="3" t="s">
        <v>10</v>
      </c>
      <c r="H262" s="1">
        <v>568000</v>
      </c>
    </row>
    <row r="263" spans="2:8" x14ac:dyDescent="0.35">
      <c r="B263" s="120"/>
      <c r="C263" s="117"/>
      <c r="D263" s="117"/>
      <c r="E263" s="117"/>
      <c r="F263" s="115"/>
      <c r="G263" s="3" t="s">
        <v>9</v>
      </c>
      <c r="H263" s="1">
        <v>568000</v>
      </c>
    </row>
    <row r="264" spans="2:8" x14ac:dyDescent="0.35">
      <c r="B264" s="120"/>
      <c r="C264" s="117"/>
      <c r="D264" s="117"/>
      <c r="E264" s="117"/>
      <c r="F264" s="115"/>
      <c r="G264" s="3" t="s">
        <v>8</v>
      </c>
      <c r="H264" s="1">
        <v>568000</v>
      </c>
    </row>
    <row r="265" spans="2:8" x14ac:dyDescent="0.35">
      <c r="B265" s="120"/>
      <c r="C265" s="117"/>
      <c r="D265" s="117"/>
      <c r="E265" s="117"/>
      <c r="F265" s="115" t="s">
        <v>7</v>
      </c>
      <c r="G265" s="3" t="s">
        <v>6</v>
      </c>
      <c r="H265" s="1">
        <v>568000</v>
      </c>
    </row>
    <row r="266" spans="2:8" x14ac:dyDescent="0.35">
      <c r="B266" s="120"/>
      <c r="C266" s="117"/>
      <c r="D266" s="117"/>
      <c r="E266" s="117"/>
      <c r="F266" s="115"/>
      <c r="G266" s="3" t="s">
        <v>5</v>
      </c>
      <c r="H266" s="1">
        <v>568000</v>
      </c>
    </row>
    <row r="267" spans="2:8" x14ac:dyDescent="0.35">
      <c r="B267" s="120"/>
      <c r="C267" s="117"/>
      <c r="D267" s="117"/>
      <c r="E267" s="117"/>
      <c r="F267" s="115"/>
      <c r="G267" s="3" t="s">
        <v>4</v>
      </c>
      <c r="H267" s="1">
        <v>568000</v>
      </c>
    </row>
    <row r="268" spans="2:8" x14ac:dyDescent="0.35">
      <c r="B268" s="120"/>
      <c r="C268" s="117"/>
      <c r="D268" s="117"/>
      <c r="E268" s="117"/>
      <c r="F268" s="115"/>
      <c r="G268" s="3" t="s">
        <v>3</v>
      </c>
      <c r="H268" s="1">
        <v>568000</v>
      </c>
    </row>
    <row r="269" spans="2:8" x14ac:dyDescent="0.35">
      <c r="B269" s="120"/>
      <c r="C269" s="117"/>
      <c r="D269" s="117"/>
      <c r="E269" s="117"/>
      <c r="F269" s="115" t="s">
        <v>2</v>
      </c>
      <c r="G269" s="3" t="s">
        <v>1</v>
      </c>
      <c r="H269" s="1">
        <v>0</v>
      </c>
    </row>
    <row r="270" spans="2:8" ht="15" thickBot="1" x14ac:dyDescent="0.4">
      <c r="B270" s="121"/>
      <c r="C270" s="118"/>
      <c r="D270" s="118"/>
      <c r="E270" s="118"/>
      <c r="F270" s="122"/>
      <c r="G270" s="2" t="s">
        <v>0</v>
      </c>
      <c r="H270" s="1">
        <v>0</v>
      </c>
    </row>
  </sheetData>
  <mergeCells count="121">
    <mergeCell ref="F253:F256"/>
    <mergeCell ref="D253:D270"/>
    <mergeCell ref="C253:C270"/>
    <mergeCell ref="B253:B270"/>
    <mergeCell ref="F243:F245"/>
    <mergeCell ref="F246:F247"/>
    <mergeCell ref="F248:F249"/>
    <mergeCell ref="F257:F260"/>
    <mergeCell ref="F261:F264"/>
    <mergeCell ref="F265:F268"/>
    <mergeCell ref="F269:F270"/>
    <mergeCell ref="E253:E270"/>
    <mergeCell ref="E243:E252"/>
    <mergeCell ref="F250:F252"/>
    <mergeCell ref="F233:F235"/>
    <mergeCell ref="F237:F240"/>
    <mergeCell ref="F241:F242"/>
    <mergeCell ref="B233:B242"/>
    <mergeCell ref="C233:C242"/>
    <mergeCell ref="D233:D242"/>
    <mergeCell ref="E233:E242"/>
    <mergeCell ref="D243:D252"/>
    <mergeCell ref="C243:C252"/>
    <mergeCell ref="B243:B252"/>
    <mergeCell ref="F223:F226"/>
    <mergeCell ref="F227:F230"/>
    <mergeCell ref="F231:F232"/>
    <mergeCell ref="F197:F200"/>
    <mergeCell ref="F201:F204"/>
    <mergeCell ref="F205:F208"/>
    <mergeCell ref="F209:F212"/>
    <mergeCell ref="F213:F214"/>
    <mergeCell ref="B197:B214"/>
    <mergeCell ref="C197:C214"/>
    <mergeCell ref="D197:D214"/>
    <mergeCell ref="E197:E214"/>
    <mergeCell ref="B215:B232"/>
    <mergeCell ref="C215:C232"/>
    <mergeCell ref="D215:D232"/>
    <mergeCell ref="E215:E232"/>
    <mergeCell ref="F187:F190"/>
    <mergeCell ref="F191:F194"/>
    <mergeCell ref="F195:F196"/>
    <mergeCell ref="B179:B196"/>
    <mergeCell ref="C179:C196"/>
    <mergeCell ref="D179:D196"/>
    <mergeCell ref="E179:E196"/>
    <mergeCell ref="F215:F218"/>
    <mergeCell ref="F219:F222"/>
    <mergeCell ref="B155:B178"/>
    <mergeCell ref="C155:C178"/>
    <mergeCell ref="D155:D178"/>
    <mergeCell ref="F179:F182"/>
    <mergeCell ref="F183:F186"/>
    <mergeCell ref="F155:F159"/>
    <mergeCell ref="F160:F165"/>
    <mergeCell ref="F166:F170"/>
    <mergeCell ref="F171:F177"/>
    <mergeCell ref="E155:E178"/>
    <mergeCell ref="F2:F7"/>
    <mergeCell ref="F8:F16"/>
    <mergeCell ref="F17:F24"/>
    <mergeCell ref="F25:F30"/>
    <mergeCell ref="B120:B138"/>
    <mergeCell ref="C120:C138"/>
    <mergeCell ref="D120:D138"/>
    <mergeCell ref="E120:E138"/>
    <mergeCell ref="B86:B103"/>
    <mergeCell ref="F127:F131"/>
    <mergeCell ref="E2:E32"/>
    <mergeCell ref="D2:D32"/>
    <mergeCell ref="B2:B32"/>
    <mergeCell ref="C2:C32"/>
    <mergeCell ref="E33:E60"/>
    <mergeCell ref="B33:B60"/>
    <mergeCell ref="C33:C60"/>
    <mergeCell ref="D33:D60"/>
    <mergeCell ref="F31:F32"/>
    <mergeCell ref="F33:F38"/>
    <mergeCell ref="F39:F45"/>
    <mergeCell ref="F46:F50"/>
    <mergeCell ref="F51:F57"/>
    <mergeCell ref="D86:D103"/>
    <mergeCell ref="B139:B154"/>
    <mergeCell ref="C139:C154"/>
    <mergeCell ref="D139:D154"/>
    <mergeCell ref="E139:E154"/>
    <mergeCell ref="F58:F60"/>
    <mergeCell ref="B61:B85"/>
    <mergeCell ref="C61:C85"/>
    <mergeCell ref="D61:D85"/>
    <mergeCell ref="E61:E85"/>
    <mergeCell ref="E86:E103"/>
    <mergeCell ref="C86:C103"/>
    <mergeCell ref="F61:F67"/>
    <mergeCell ref="F68:F75"/>
    <mergeCell ref="F76:F80"/>
    <mergeCell ref="F81:F84"/>
    <mergeCell ref="F102:F103"/>
    <mergeCell ref="F98:F101"/>
    <mergeCell ref="F94:F97"/>
    <mergeCell ref="F90:F93"/>
    <mergeCell ref="F86:F89"/>
    <mergeCell ref="F149:F152"/>
    <mergeCell ref="F153:F154"/>
    <mergeCell ref="F111:F113"/>
    <mergeCell ref="F114:F117"/>
    <mergeCell ref="F118:F119"/>
    <mergeCell ref="F120:F122"/>
    <mergeCell ref="F123:F126"/>
    <mergeCell ref="F139:F141"/>
    <mergeCell ref="F132:F135"/>
    <mergeCell ref="F136:F138"/>
    <mergeCell ref="B104:B119"/>
    <mergeCell ref="C104:C119"/>
    <mergeCell ref="D104:D119"/>
    <mergeCell ref="E104:E119"/>
    <mergeCell ref="F142:F145"/>
    <mergeCell ref="F104:F106"/>
    <mergeCell ref="F107:F110"/>
    <mergeCell ref="F146:F14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72F87-AAA7-41C3-976C-CA39DF88D021}">
  <sheetPr codeName="Hoja3" filterMode="1"/>
  <dimension ref="B1:H3770"/>
  <sheetViews>
    <sheetView workbookViewId="0">
      <selection activeCell="C158" sqref="C158"/>
    </sheetView>
  </sheetViews>
  <sheetFormatPr baseColWidth="10" defaultRowHeight="14.5" x14ac:dyDescent="0.35"/>
  <cols>
    <col min="2" max="2" width="7.90625" bestFit="1" customWidth="1"/>
    <col min="3" max="3" width="17.1796875" bestFit="1" customWidth="1"/>
    <col min="4" max="4" width="56.26953125" bestFit="1" customWidth="1"/>
    <col min="5" max="5" width="11.7265625" style="71" bestFit="1" customWidth="1"/>
    <col min="6" max="6" width="7.36328125" bestFit="1" customWidth="1"/>
    <col min="7" max="7" width="20.453125" bestFit="1" customWidth="1"/>
  </cols>
  <sheetData>
    <row r="1" spans="2:8" x14ac:dyDescent="0.35">
      <c r="B1" s="81" t="s">
        <v>900</v>
      </c>
      <c r="C1" s="81" t="s">
        <v>901</v>
      </c>
      <c r="D1" s="81" t="s">
        <v>215</v>
      </c>
      <c r="E1" s="82" t="s">
        <v>987</v>
      </c>
      <c r="F1" s="81" t="s">
        <v>216</v>
      </c>
      <c r="G1" s="81" t="s">
        <v>988</v>
      </c>
      <c r="H1" s="123" t="s">
        <v>989</v>
      </c>
    </row>
    <row r="2" spans="2:8" ht="15.5" hidden="1" x14ac:dyDescent="0.35">
      <c r="B2" s="75" t="s">
        <v>199</v>
      </c>
      <c r="C2" s="75" t="s">
        <v>198</v>
      </c>
      <c r="D2" s="73" t="s">
        <v>720</v>
      </c>
      <c r="E2" s="74">
        <v>0.2</v>
      </c>
      <c r="F2" s="76" t="s">
        <v>237</v>
      </c>
      <c r="G2" s="77" t="s">
        <v>621</v>
      </c>
      <c r="H2" t="str">
        <f>VLOOKUP(D2,'DETALLE PRECIO INGREDIENTES'!B:B,1,0)</f>
        <v>ZANAHORIA</v>
      </c>
    </row>
    <row r="3" spans="2:8" ht="15.5" hidden="1" x14ac:dyDescent="0.35">
      <c r="B3" s="75" t="s">
        <v>199</v>
      </c>
      <c r="C3" s="75" t="s">
        <v>198</v>
      </c>
      <c r="D3" s="73" t="s">
        <v>702</v>
      </c>
      <c r="E3" s="74">
        <v>0.5</v>
      </c>
      <c r="F3" s="76" t="s">
        <v>259</v>
      </c>
      <c r="G3" s="77" t="s">
        <v>621</v>
      </c>
      <c r="H3" t="str">
        <f>VLOOKUP(D3,'DETALLE PRECIO INGREDIENTES'!B:B,1,0)</f>
        <v>PIMIENTO ROJO</v>
      </c>
    </row>
    <row r="4" spans="2:8" ht="15.5" hidden="1" x14ac:dyDescent="0.35">
      <c r="B4" s="75" t="s">
        <v>199</v>
      </c>
      <c r="C4" s="75" t="s">
        <v>198</v>
      </c>
      <c r="D4" s="73" t="s">
        <v>411</v>
      </c>
      <c r="E4" s="74">
        <v>0.2</v>
      </c>
      <c r="F4" s="76" t="s">
        <v>237</v>
      </c>
      <c r="G4" s="77" t="s">
        <v>621</v>
      </c>
      <c r="H4" t="str">
        <f>VLOOKUP(D4,'DETALLE PRECIO INGREDIENTES'!B:B,1,0)</f>
        <v>PAPAS</v>
      </c>
    </row>
    <row r="5" spans="2:8" ht="15.5" hidden="1" x14ac:dyDescent="0.35">
      <c r="B5" s="75" t="s">
        <v>199</v>
      </c>
      <c r="C5" s="75" t="s">
        <v>198</v>
      </c>
      <c r="D5" s="73" t="s">
        <v>628</v>
      </c>
      <c r="E5" s="74">
        <v>0.2</v>
      </c>
      <c r="F5" s="76" t="s">
        <v>259</v>
      </c>
      <c r="G5" s="77" t="s">
        <v>621</v>
      </c>
      <c r="H5" t="str">
        <f>VLOOKUP(D5,'DETALLE PRECIO INGREDIENTES'!B:B,1,0)</f>
        <v>AJO CABEZA</v>
      </c>
    </row>
    <row r="6" spans="2:8" ht="15.5" hidden="1" x14ac:dyDescent="0.35">
      <c r="B6" s="75" t="s">
        <v>199</v>
      </c>
      <c r="C6" s="75" t="s">
        <v>198</v>
      </c>
      <c r="D6" s="73" t="s">
        <v>644</v>
      </c>
      <c r="E6" s="74">
        <v>0.2</v>
      </c>
      <c r="F6" s="76" t="s">
        <v>237</v>
      </c>
      <c r="G6" s="77" t="s">
        <v>621</v>
      </c>
      <c r="H6" t="str">
        <f>VLOOKUP(D6,'DETALLE PRECIO INGREDIENTES'!B:B,1,0)</f>
        <v>CEBOLLA BLANCA</v>
      </c>
    </row>
    <row r="7" spans="2:8" ht="15.5" hidden="1" x14ac:dyDescent="0.35">
      <c r="B7" s="75" t="s">
        <v>199</v>
      </c>
      <c r="C7" s="75" t="s">
        <v>198</v>
      </c>
      <c r="D7" s="73" t="s">
        <v>633</v>
      </c>
      <c r="E7" s="74">
        <v>0.1</v>
      </c>
      <c r="F7" s="76" t="s">
        <v>259</v>
      </c>
      <c r="G7" s="77" t="s">
        <v>621</v>
      </c>
      <c r="H7" t="str">
        <f>VLOOKUP(D7,'DETALLE PRECIO INGREDIENTES'!B:B,1,0)</f>
        <v>APIO MATA</v>
      </c>
    </row>
    <row r="8" spans="2:8" ht="15.5" hidden="1" x14ac:dyDescent="0.35">
      <c r="B8" s="75" t="s">
        <v>199</v>
      </c>
      <c r="C8" s="75" t="s">
        <v>198</v>
      </c>
      <c r="D8" s="73" t="s">
        <v>707</v>
      </c>
      <c r="E8" s="74">
        <v>0.2</v>
      </c>
      <c r="F8" s="76" t="s">
        <v>259</v>
      </c>
      <c r="G8" s="77" t="s">
        <v>621</v>
      </c>
      <c r="H8" t="str">
        <f>VLOOKUP(D8,'DETALLE PRECIO INGREDIENTES'!B:B,1,0)</f>
        <v>PUERROS</v>
      </c>
    </row>
    <row r="9" spans="2:8" ht="15.5" hidden="1" x14ac:dyDescent="0.35">
      <c r="B9" s="75" t="s">
        <v>199</v>
      </c>
      <c r="C9" s="75" t="s">
        <v>198</v>
      </c>
      <c r="D9" s="73" t="s">
        <v>646</v>
      </c>
      <c r="E9" s="74">
        <v>0.5</v>
      </c>
      <c r="F9" s="76" t="s">
        <v>259</v>
      </c>
      <c r="G9" s="77" t="s">
        <v>621</v>
      </c>
      <c r="H9" t="str">
        <f>VLOOKUP(D9,'DETALLE PRECIO INGREDIENTES'!B:B,1,0)</f>
        <v>CEBOLLIN</v>
      </c>
    </row>
    <row r="10" spans="2:8" ht="15.5" hidden="1" x14ac:dyDescent="0.35">
      <c r="B10" s="75" t="s">
        <v>199</v>
      </c>
      <c r="C10" s="75" t="s">
        <v>197</v>
      </c>
      <c r="D10" s="73" t="s">
        <v>628</v>
      </c>
      <c r="E10" s="74">
        <v>0.2</v>
      </c>
      <c r="F10" s="76" t="s">
        <v>259</v>
      </c>
      <c r="G10" s="77" t="s">
        <v>621</v>
      </c>
      <c r="H10" t="str">
        <f>VLOOKUP(D10,'DETALLE PRECIO INGREDIENTES'!B:B,1,0)</f>
        <v>AJO CABEZA</v>
      </c>
    </row>
    <row r="11" spans="2:8" ht="15.5" hidden="1" x14ac:dyDescent="0.35">
      <c r="B11" s="75" t="s">
        <v>199</v>
      </c>
      <c r="C11" s="75" t="s">
        <v>197</v>
      </c>
      <c r="D11" s="73" t="s">
        <v>644</v>
      </c>
      <c r="E11" s="74">
        <v>0.2</v>
      </c>
      <c r="F11" s="76" t="s">
        <v>237</v>
      </c>
      <c r="G11" s="77" t="s">
        <v>621</v>
      </c>
      <c r="H11" t="str">
        <f>VLOOKUP(D11,'DETALLE PRECIO INGREDIENTES'!B:B,1,0)</f>
        <v>CEBOLLA BLANCA</v>
      </c>
    </row>
    <row r="12" spans="2:8" ht="15.5" hidden="1" x14ac:dyDescent="0.35">
      <c r="B12" s="75" t="s">
        <v>199</v>
      </c>
      <c r="C12" s="75" t="s">
        <v>197</v>
      </c>
      <c r="D12" s="73" t="s">
        <v>702</v>
      </c>
      <c r="E12" s="74">
        <v>0.5</v>
      </c>
      <c r="F12" s="76" t="s">
        <v>259</v>
      </c>
      <c r="G12" s="77" t="s">
        <v>621</v>
      </c>
      <c r="H12" t="str">
        <f>VLOOKUP(D12,'DETALLE PRECIO INGREDIENTES'!B:B,1,0)</f>
        <v>PIMIENTO ROJO</v>
      </c>
    </row>
    <row r="13" spans="2:8" ht="15.5" hidden="1" x14ac:dyDescent="0.35">
      <c r="B13" s="75" t="s">
        <v>199</v>
      </c>
      <c r="C13" s="75" t="s">
        <v>197</v>
      </c>
      <c r="D13" s="73" t="s">
        <v>709</v>
      </c>
      <c r="E13" s="74">
        <v>0.125</v>
      </c>
      <c r="F13" s="76" t="s">
        <v>259</v>
      </c>
      <c r="G13" s="77" t="s">
        <v>621</v>
      </c>
      <c r="H13" t="str">
        <f>VLOOKUP(D13,'DETALLE PRECIO INGREDIENTES'!B:B,1,0)</f>
        <v>REPOLLO</v>
      </c>
    </row>
    <row r="14" spans="2:8" ht="15.5" hidden="1" x14ac:dyDescent="0.35">
      <c r="B14" s="75" t="s">
        <v>199</v>
      </c>
      <c r="C14" s="75" t="s">
        <v>197</v>
      </c>
      <c r="D14" s="73" t="s">
        <v>698</v>
      </c>
      <c r="E14" s="74">
        <v>0.05</v>
      </c>
      <c r="F14" s="76" t="s">
        <v>237</v>
      </c>
      <c r="G14" s="77" t="s">
        <v>621</v>
      </c>
      <c r="H14" t="str">
        <f>VLOOKUP(D14,'DETALLE PRECIO INGREDIENTES'!B:B,1,0)</f>
        <v>PEREJIL</v>
      </c>
    </row>
    <row r="15" spans="2:8" ht="15.5" hidden="1" x14ac:dyDescent="0.35">
      <c r="B15" s="75" t="s">
        <v>199</v>
      </c>
      <c r="C15" s="75" t="s">
        <v>197</v>
      </c>
      <c r="D15" s="73" t="s">
        <v>228</v>
      </c>
      <c r="E15" s="74">
        <v>0.01</v>
      </c>
      <c r="F15" s="76" t="s">
        <v>222</v>
      </c>
      <c r="G15" s="77" t="s">
        <v>220</v>
      </c>
      <c r="H15" t="str">
        <f>VLOOKUP(D15,'DETALLE PRECIO INGREDIENTES'!B:B,1,0)</f>
        <v>ACEITE DE MARAVILLA</v>
      </c>
    </row>
    <row r="16" spans="2:8" ht="15.5" hidden="1" x14ac:dyDescent="0.35">
      <c r="B16" s="75" t="s">
        <v>199</v>
      </c>
      <c r="C16" s="75" t="s">
        <v>197</v>
      </c>
      <c r="D16" s="73" t="s">
        <v>445</v>
      </c>
      <c r="E16" s="74">
        <v>1E-3</v>
      </c>
      <c r="F16" s="76" t="s">
        <v>237</v>
      </c>
      <c r="G16" s="77" t="s">
        <v>220</v>
      </c>
      <c r="H16" t="str">
        <f>VLOOKUP(D16,'DETALLE PRECIO INGREDIENTES'!B:B,1,0)</f>
        <v>SAL DE MESA LOBOS</v>
      </c>
    </row>
    <row r="17" spans="2:8" ht="15.5" hidden="1" x14ac:dyDescent="0.35">
      <c r="B17" s="75" t="s">
        <v>199</v>
      </c>
      <c r="C17" s="75" t="s">
        <v>196</v>
      </c>
      <c r="D17" s="73" t="s">
        <v>472</v>
      </c>
      <c r="E17" s="74">
        <v>0.02</v>
      </c>
      <c r="F17" s="76" t="s">
        <v>222</v>
      </c>
      <c r="G17" s="77" t="s">
        <v>220</v>
      </c>
      <c r="H17" t="str">
        <f>VLOOKUP(D17,'DETALLE PRECIO INGREDIENTES'!B:B,1,0)</f>
        <v>VINAGRE BLANCO</v>
      </c>
    </row>
    <row r="18" spans="2:8" ht="15.5" hidden="1" x14ac:dyDescent="0.35">
      <c r="B18" s="75" t="s">
        <v>199</v>
      </c>
      <c r="C18" s="75" t="s">
        <v>196</v>
      </c>
      <c r="D18" s="73" t="s">
        <v>230</v>
      </c>
      <c r="E18" s="74">
        <v>0.01</v>
      </c>
      <c r="F18" s="76" t="s">
        <v>222</v>
      </c>
      <c r="G18" s="77" t="s">
        <v>220</v>
      </c>
      <c r="H18" t="str">
        <f>VLOOKUP(D18,'DETALLE PRECIO INGREDIENTES'!B:B,1,0)</f>
        <v>ACEITE DE OLIVA</v>
      </c>
    </row>
    <row r="19" spans="2:8" ht="15.5" hidden="1" x14ac:dyDescent="0.35">
      <c r="B19" s="75" t="s">
        <v>199</v>
      </c>
      <c r="C19" s="75" t="s">
        <v>196</v>
      </c>
      <c r="D19" s="73" t="s">
        <v>397</v>
      </c>
      <c r="E19" s="74">
        <v>0.01</v>
      </c>
      <c r="F19" s="76" t="s">
        <v>237</v>
      </c>
      <c r="G19" s="77" t="s">
        <v>220</v>
      </c>
      <c r="H19" t="str">
        <f>VLOOKUP(D19,'DETALLE PRECIO INGREDIENTES'!B:B,1,0)</f>
        <v>MOSTAZA</v>
      </c>
    </row>
    <row r="20" spans="2:8" ht="15.5" hidden="1" x14ac:dyDescent="0.35">
      <c r="B20" s="75" t="s">
        <v>199</v>
      </c>
      <c r="C20" s="75" t="s">
        <v>196</v>
      </c>
      <c r="D20" s="73" t="s">
        <v>228</v>
      </c>
      <c r="E20" s="74">
        <v>0.11</v>
      </c>
      <c r="F20" s="76" t="s">
        <v>222</v>
      </c>
      <c r="G20" s="77" t="s">
        <v>220</v>
      </c>
      <c r="H20" t="str">
        <f>VLOOKUP(D20,'DETALLE PRECIO INGREDIENTES'!B:B,1,0)</f>
        <v>ACEITE DE MARAVILLA</v>
      </c>
    </row>
    <row r="21" spans="2:8" ht="15.5" hidden="1" x14ac:dyDescent="0.35">
      <c r="B21" s="75" t="s">
        <v>199</v>
      </c>
      <c r="C21" s="75" t="s">
        <v>196</v>
      </c>
      <c r="D21" s="73" t="s">
        <v>680</v>
      </c>
      <c r="E21" s="74">
        <v>0.1</v>
      </c>
      <c r="F21" s="76" t="s">
        <v>237</v>
      </c>
      <c r="G21" s="77" t="s">
        <v>621</v>
      </c>
      <c r="H21" t="str">
        <f>VLOOKUP(D21,'DETALLE PRECIO INGREDIENTES'!B:B,1,0)</f>
        <v>LIMON DE JUGO</v>
      </c>
    </row>
    <row r="22" spans="2:8" ht="15.5" hidden="1" x14ac:dyDescent="0.35">
      <c r="B22" s="75" t="s">
        <v>199</v>
      </c>
      <c r="C22" s="75" t="s">
        <v>196</v>
      </c>
      <c r="D22" s="73" t="s">
        <v>729</v>
      </c>
      <c r="E22" s="74">
        <v>0.5</v>
      </c>
      <c r="F22" s="76" t="s">
        <v>259</v>
      </c>
      <c r="G22" s="77" t="s">
        <v>728</v>
      </c>
      <c r="H22" t="str">
        <f>VLOOKUP(D22,'DETALLE PRECIO INGREDIENTES'!B:B,1,0)</f>
        <v>HUEVO EXTRA BLANCO</v>
      </c>
    </row>
    <row r="23" spans="2:8" ht="15.5" hidden="1" x14ac:dyDescent="0.35">
      <c r="B23" s="75" t="s">
        <v>199</v>
      </c>
      <c r="C23" s="75" t="s">
        <v>196</v>
      </c>
      <c r="D23" s="73" t="s">
        <v>672</v>
      </c>
      <c r="E23" s="74">
        <v>1.2999999999999999E-2</v>
      </c>
      <c r="F23" s="76" t="s">
        <v>237</v>
      </c>
      <c r="G23" s="77" t="s">
        <v>621</v>
      </c>
      <c r="H23" t="str">
        <f>VLOOKUP(D23,'DETALLE PRECIO INGREDIENTES'!B:B,1,0)</f>
        <v>HABAS CONGELADAS</v>
      </c>
    </row>
    <row r="24" spans="2:8" ht="15.5" hidden="1" x14ac:dyDescent="0.35">
      <c r="B24" s="75" t="s">
        <v>199</v>
      </c>
      <c r="C24" s="75" t="s">
        <v>196</v>
      </c>
      <c r="D24" s="73" t="s">
        <v>809</v>
      </c>
      <c r="E24" s="74">
        <v>3.0000000000000001E-3</v>
      </c>
      <c r="F24" s="76" t="s">
        <v>237</v>
      </c>
      <c r="G24" s="77" t="s">
        <v>806</v>
      </c>
      <c r="H24" t="str">
        <f>VLOOKUP(D24,'DETALLE PRECIO INGREDIENTES'!B:B,1,0)</f>
        <v>ANCHOAS FILETES</v>
      </c>
    </row>
    <row r="25" spans="2:8" ht="15.5" hidden="1" x14ac:dyDescent="0.35">
      <c r="B25" s="75" t="s">
        <v>199</v>
      </c>
      <c r="C25" s="75" t="s">
        <v>196</v>
      </c>
      <c r="D25" s="73" t="s">
        <v>703</v>
      </c>
      <c r="E25" s="74">
        <v>0.17</v>
      </c>
      <c r="F25" s="76" t="s">
        <v>259</v>
      </c>
      <c r="G25" s="77" t="s">
        <v>621</v>
      </c>
      <c r="H25" t="str">
        <f>VLOOKUP(D25,'DETALLE PRECIO INGREDIENTES'!B:B,1,0)</f>
        <v>PIMIENTO VERDE</v>
      </c>
    </row>
    <row r="26" spans="2:8" ht="15.5" hidden="1" x14ac:dyDescent="0.35">
      <c r="B26" s="75" t="s">
        <v>199</v>
      </c>
      <c r="C26" s="75" t="s">
        <v>196</v>
      </c>
      <c r="D26" s="73" t="s">
        <v>644</v>
      </c>
      <c r="E26" s="74">
        <v>0.08</v>
      </c>
      <c r="F26" s="76" t="s">
        <v>237</v>
      </c>
      <c r="G26" s="77" t="s">
        <v>621</v>
      </c>
      <c r="H26" t="str">
        <f>VLOOKUP(D26,'DETALLE PRECIO INGREDIENTES'!B:B,1,0)</f>
        <v>CEBOLLA BLANCA</v>
      </c>
    </row>
    <row r="27" spans="2:8" ht="15.5" hidden="1" x14ac:dyDescent="0.35">
      <c r="B27" s="75" t="s">
        <v>199</v>
      </c>
      <c r="C27" s="75" t="s">
        <v>196</v>
      </c>
      <c r="D27" s="73" t="s">
        <v>696</v>
      </c>
      <c r="E27" s="74">
        <v>0.25</v>
      </c>
      <c r="F27" s="76" t="s">
        <v>259</v>
      </c>
      <c r="G27" s="77" t="s">
        <v>621</v>
      </c>
      <c r="H27" t="str">
        <f>VLOOKUP(D27,'DETALLE PRECIO INGREDIENTES'!B:B,1,0)</f>
        <v>PEPINO ENSALADA</v>
      </c>
    </row>
    <row r="28" spans="2:8" ht="15.5" hidden="1" x14ac:dyDescent="0.35">
      <c r="B28" s="75" t="s">
        <v>199</v>
      </c>
      <c r="C28" s="75" t="s">
        <v>196</v>
      </c>
      <c r="D28" s="73" t="s">
        <v>239</v>
      </c>
      <c r="E28" s="74">
        <v>2.5000000000000001E-2</v>
      </c>
      <c r="F28" s="76" t="s">
        <v>237</v>
      </c>
      <c r="G28" s="77" t="s">
        <v>220</v>
      </c>
      <c r="H28" t="str">
        <f>VLOOKUP(D28,'DETALLE PRECIO INGREDIENTES'!B:B,1,0)</f>
        <v>ACEITUNAS NEGRAS S/HUESO</v>
      </c>
    </row>
    <row r="29" spans="2:8" ht="15.5" hidden="1" x14ac:dyDescent="0.35">
      <c r="B29" s="75" t="s">
        <v>199</v>
      </c>
      <c r="C29" s="75" t="s">
        <v>196</v>
      </c>
      <c r="D29" s="73" t="s">
        <v>629</v>
      </c>
      <c r="E29" s="74">
        <v>0.01</v>
      </c>
      <c r="F29" s="76" t="s">
        <v>237</v>
      </c>
      <c r="G29" s="77" t="s">
        <v>621</v>
      </c>
      <c r="H29" t="str">
        <f>VLOOKUP(D29,'DETALLE PRECIO INGREDIENTES'!B:B,1,0)</f>
        <v>ALBAHACA FRESCA</v>
      </c>
    </row>
    <row r="30" spans="2:8" ht="15.5" hidden="1" x14ac:dyDescent="0.35">
      <c r="B30" s="75" t="s">
        <v>199</v>
      </c>
      <c r="C30" s="75" t="s">
        <v>196</v>
      </c>
      <c r="D30" s="73" t="s">
        <v>716</v>
      </c>
      <c r="E30" s="74">
        <v>0.09</v>
      </c>
      <c r="F30" s="76" t="s">
        <v>237</v>
      </c>
      <c r="G30" s="77" t="s">
        <v>621</v>
      </c>
      <c r="H30" t="str">
        <f>VLOOKUP(D30,'DETALLE PRECIO INGREDIENTES'!B:B,1,0)</f>
        <v>TOMATE LARGA VIDA</v>
      </c>
    </row>
    <row r="31" spans="2:8" ht="15.5" hidden="1" x14ac:dyDescent="0.35">
      <c r="B31" s="75" t="s">
        <v>199</v>
      </c>
      <c r="C31" s="75" t="s">
        <v>196</v>
      </c>
      <c r="D31" s="73" t="s">
        <v>628</v>
      </c>
      <c r="E31" s="74">
        <v>0.15</v>
      </c>
      <c r="F31" s="76" t="s">
        <v>259</v>
      </c>
      <c r="G31" s="77" t="s">
        <v>621</v>
      </c>
      <c r="H31" t="str">
        <f>VLOOKUP(D31,'DETALLE PRECIO INGREDIENTES'!B:B,1,0)</f>
        <v>AJO CABEZA</v>
      </c>
    </row>
    <row r="32" spans="2:8" ht="15.5" hidden="1" x14ac:dyDescent="0.35">
      <c r="B32" s="75" t="s">
        <v>199</v>
      </c>
      <c r="C32" s="75" t="s">
        <v>196</v>
      </c>
      <c r="D32" s="73" t="s">
        <v>627</v>
      </c>
      <c r="E32" s="74">
        <v>5.0000000000000001E-3</v>
      </c>
      <c r="F32" s="76" t="s">
        <v>237</v>
      </c>
      <c r="G32" s="77" t="s">
        <v>621</v>
      </c>
      <c r="H32" t="str">
        <f>VLOOKUP(D32,'DETALLE PRECIO INGREDIENTES'!B:B,1,0)</f>
        <v>AJI VERDE</v>
      </c>
    </row>
    <row r="33" spans="2:8" ht="15.5" hidden="1" x14ac:dyDescent="0.35">
      <c r="B33" s="75" t="s">
        <v>199</v>
      </c>
      <c r="C33" s="75" t="s">
        <v>196</v>
      </c>
      <c r="D33" s="73" t="s">
        <v>657</v>
      </c>
      <c r="E33" s="74">
        <v>2E-3</v>
      </c>
      <c r="F33" s="76" t="s">
        <v>237</v>
      </c>
      <c r="G33" s="77" t="s">
        <v>621</v>
      </c>
      <c r="H33" t="str">
        <f>VLOOKUP(D33,'DETALLE PRECIO INGREDIENTES'!B:B,1,0)</f>
        <v>CILANTRO</v>
      </c>
    </row>
    <row r="34" spans="2:8" ht="15.5" hidden="1" x14ac:dyDescent="0.35">
      <c r="B34" s="75" t="s">
        <v>199</v>
      </c>
      <c r="C34" s="75" t="s">
        <v>196</v>
      </c>
      <c r="D34" s="73" t="s">
        <v>645</v>
      </c>
      <c r="E34" s="74">
        <v>0.03</v>
      </c>
      <c r="F34" s="76" t="s">
        <v>237</v>
      </c>
      <c r="G34" s="77" t="s">
        <v>621</v>
      </c>
      <c r="H34" t="str">
        <f>VLOOKUP(D34,'DETALLE PRECIO INGREDIENTES'!B:B,1,0)</f>
        <v>CEBOLLA MORADA</v>
      </c>
    </row>
    <row r="35" spans="2:8" ht="15.5" hidden="1" x14ac:dyDescent="0.35">
      <c r="B35" s="75" t="s">
        <v>199</v>
      </c>
      <c r="C35" s="75" t="s">
        <v>196</v>
      </c>
      <c r="D35" s="73" t="s">
        <v>761</v>
      </c>
      <c r="E35" s="74">
        <v>0.02</v>
      </c>
      <c r="F35" s="76" t="s">
        <v>237</v>
      </c>
      <c r="G35" s="77" t="s">
        <v>736</v>
      </c>
      <c r="H35" t="str">
        <f>VLOOKUP(D35,'DETALLE PRECIO INGREDIENTES'!B:B,1,0)</f>
        <v>QUESO FETA</v>
      </c>
    </row>
    <row r="36" spans="2:8" ht="15.5" hidden="1" x14ac:dyDescent="0.35">
      <c r="B36" s="75" t="s">
        <v>199</v>
      </c>
      <c r="C36" s="75" t="s">
        <v>196</v>
      </c>
      <c r="D36" s="73" t="s">
        <v>406</v>
      </c>
      <c r="E36" s="74">
        <v>1E-3</v>
      </c>
      <c r="F36" s="76" t="s">
        <v>237</v>
      </c>
      <c r="G36" s="77" t="s">
        <v>220</v>
      </c>
      <c r="H36" t="str">
        <f>VLOOKUP(D36,'DETALLE PRECIO INGREDIENTES'!B:B,1,0)</f>
        <v>OREGANO FRESCO</v>
      </c>
    </row>
    <row r="37" spans="2:8" ht="15.5" hidden="1" x14ac:dyDescent="0.35">
      <c r="B37" s="75" t="s">
        <v>199</v>
      </c>
      <c r="C37" s="75" t="s">
        <v>196</v>
      </c>
      <c r="D37" s="73" t="s">
        <v>718</v>
      </c>
      <c r="E37" s="74">
        <v>1E-3</v>
      </c>
      <c r="F37" s="76" t="s">
        <v>237</v>
      </c>
      <c r="G37" s="77" t="s">
        <v>621</v>
      </c>
      <c r="H37" t="str">
        <f>VLOOKUP(D37,'DETALLE PRECIO INGREDIENTES'!B:B,1,0)</f>
        <v>TOMILLO FRESCO</v>
      </c>
    </row>
    <row r="38" spans="2:8" ht="15.5" hidden="1" x14ac:dyDescent="0.35">
      <c r="B38" s="75" t="s">
        <v>199</v>
      </c>
      <c r="C38" s="75" t="s">
        <v>196</v>
      </c>
      <c r="D38" s="73" t="s">
        <v>477</v>
      </c>
      <c r="E38" s="74">
        <v>5.0000000000000001E-3</v>
      </c>
      <c r="F38" s="76" t="s">
        <v>222</v>
      </c>
      <c r="G38" s="77" t="s">
        <v>220</v>
      </c>
      <c r="H38" t="str">
        <f>VLOOKUP(D38,'DETALLE PRECIO INGREDIENTES'!B:B,1,0)</f>
        <v>VINAGRE TINTO</v>
      </c>
    </row>
    <row r="39" spans="2:8" ht="15.5" hidden="1" x14ac:dyDescent="0.35">
      <c r="B39" s="75" t="s">
        <v>199</v>
      </c>
      <c r="C39" s="75" t="s">
        <v>196</v>
      </c>
      <c r="D39" s="73" t="s">
        <v>441</v>
      </c>
      <c r="E39" s="74">
        <v>5.0000000000000001E-3</v>
      </c>
      <c r="F39" s="76" t="s">
        <v>237</v>
      </c>
      <c r="G39" s="77" t="s">
        <v>220</v>
      </c>
      <c r="H39" t="str">
        <f>VLOOKUP(D39,'DETALLE PRECIO INGREDIENTES'!B:B,1,0)</f>
        <v>ROMERO SECO</v>
      </c>
    </row>
    <row r="40" spans="2:8" ht="15.5" hidden="1" x14ac:dyDescent="0.35">
      <c r="B40" s="75" t="s">
        <v>199</v>
      </c>
      <c r="C40" s="75" t="s">
        <v>196</v>
      </c>
      <c r="D40" s="73" t="s">
        <v>387</v>
      </c>
      <c r="E40" s="74">
        <v>5.0000000000000001E-3</v>
      </c>
      <c r="F40" s="76" t="s">
        <v>237</v>
      </c>
      <c r="G40" s="77" t="s">
        <v>220</v>
      </c>
      <c r="H40" t="str">
        <f>VLOOKUP(D40,'DETALLE PRECIO INGREDIENTES'!B:B,1,0)</f>
        <v>MERKEN</v>
      </c>
    </row>
    <row r="41" spans="2:8" ht="15.5" hidden="1" x14ac:dyDescent="0.35">
      <c r="B41" s="75" t="s">
        <v>199</v>
      </c>
      <c r="C41" s="75" t="s">
        <v>196</v>
      </c>
      <c r="D41" s="73" t="s">
        <v>445</v>
      </c>
      <c r="E41" s="74">
        <v>0.01</v>
      </c>
      <c r="F41" s="76" t="s">
        <v>237</v>
      </c>
      <c r="G41" s="77" t="s">
        <v>220</v>
      </c>
      <c r="H41" t="str">
        <f>VLOOKUP(D41,'DETALLE PRECIO INGREDIENTES'!B:B,1,0)</f>
        <v>SAL DE MESA LOBOS</v>
      </c>
    </row>
    <row r="42" spans="2:8" ht="15.5" hidden="1" x14ac:dyDescent="0.35">
      <c r="B42" s="75" t="s">
        <v>199</v>
      </c>
      <c r="C42" s="75" t="s">
        <v>196</v>
      </c>
      <c r="D42" s="73" t="s">
        <v>428</v>
      </c>
      <c r="E42" s="74">
        <v>0.01</v>
      </c>
      <c r="F42" s="76" t="s">
        <v>237</v>
      </c>
      <c r="G42" s="77" t="s">
        <v>220</v>
      </c>
      <c r="H42" t="str">
        <f>VLOOKUP(D42,'DETALLE PRECIO INGREDIENTES'!B:B,1,0)</f>
        <v>PIMIENTA NEGRA MOLIDA</v>
      </c>
    </row>
    <row r="43" spans="2:8" ht="15.5" hidden="1" x14ac:dyDescent="0.35">
      <c r="B43" s="75" t="s">
        <v>199</v>
      </c>
      <c r="C43" s="75" t="s">
        <v>195</v>
      </c>
      <c r="D43" s="73" t="s">
        <v>729</v>
      </c>
      <c r="E43" s="74">
        <v>4.5</v>
      </c>
      <c r="F43" s="76" t="s">
        <v>259</v>
      </c>
      <c r="G43" s="77" t="s">
        <v>728</v>
      </c>
      <c r="H43" t="str">
        <f>VLOOKUP(D43,'DETALLE PRECIO INGREDIENTES'!B:B,1,0)</f>
        <v>HUEVO EXTRA BLANCO</v>
      </c>
    </row>
    <row r="44" spans="2:8" ht="15.5" hidden="1" x14ac:dyDescent="0.35">
      <c r="B44" s="75" t="s">
        <v>199</v>
      </c>
      <c r="C44" s="75" t="s">
        <v>195</v>
      </c>
      <c r="D44" s="73" t="s">
        <v>472</v>
      </c>
      <c r="E44" s="74">
        <v>2.7E-2</v>
      </c>
      <c r="F44" s="76" t="s">
        <v>222</v>
      </c>
      <c r="G44" s="77" t="s">
        <v>220</v>
      </c>
      <c r="H44" t="str">
        <f>VLOOKUP(D44,'DETALLE PRECIO INGREDIENTES'!B:B,1,0)</f>
        <v>VINAGRE BLANCO</v>
      </c>
    </row>
    <row r="45" spans="2:8" ht="15.5" hidden="1" x14ac:dyDescent="0.35">
      <c r="B45" s="75" t="s">
        <v>199</v>
      </c>
      <c r="C45" s="75" t="s">
        <v>195</v>
      </c>
      <c r="D45" s="73" t="s">
        <v>228</v>
      </c>
      <c r="E45" s="74">
        <v>7.0000000000000007E-2</v>
      </c>
      <c r="F45" s="76" t="s">
        <v>222</v>
      </c>
      <c r="G45" s="77" t="s">
        <v>220</v>
      </c>
      <c r="H45" t="str">
        <f>VLOOKUP(D45,'DETALLE PRECIO INGREDIENTES'!B:B,1,0)</f>
        <v>ACEITE DE MARAVILLA</v>
      </c>
    </row>
    <row r="46" spans="2:8" ht="15.5" hidden="1" x14ac:dyDescent="0.35">
      <c r="B46" s="75" t="s">
        <v>199</v>
      </c>
      <c r="C46" s="75" t="s">
        <v>195</v>
      </c>
      <c r="D46" s="73" t="s">
        <v>656</v>
      </c>
      <c r="E46" s="74">
        <v>0.5</v>
      </c>
      <c r="F46" s="76" t="s">
        <v>259</v>
      </c>
      <c r="G46" s="77" t="s">
        <v>621</v>
      </c>
      <c r="H46" t="str">
        <f>VLOOKUP(D46,'DETALLE PRECIO INGREDIENTES'!B:B,1,0)</f>
        <v>CIBOULETTE ATADO</v>
      </c>
    </row>
    <row r="47" spans="2:8" ht="15.5" hidden="1" x14ac:dyDescent="0.35">
      <c r="B47" s="75" t="s">
        <v>199</v>
      </c>
      <c r="C47" s="75" t="s">
        <v>195</v>
      </c>
      <c r="D47" s="73" t="s">
        <v>651</v>
      </c>
      <c r="E47" s="74">
        <v>3.7999999999999999E-2</v>
      </c>
      <c r="F47" s="76" t="s">
        <v>237</v>
      </c>
      <c r="G47" s="77" t="s">
        <v>621</v>
      </c>
      <c r="H47" t="str">
        <f>VLOOKUP(D47,'DETALLE PRECIO INGREDIENTES'!B:B,1,0)</f>
        <v>CHAMPIÑON PARIS</v>
      </c>
    </row>
    <row r="48" spans="2:8" ht="15.5" hidden="1" x14ac:dyDescent="0.35">
      <c r="B48" s="75" t="s">
        <v>199</v>
      </c>
      <c r="C48" s="75" t="s">
        <v>195</v>
      </c>
      <c r="D48" s="73" t="s">
        <v>230</v>
      </c>
      <c r="E48" s="74">
        <v>0.02</v>
      </c>
      <c r="F48" s="76" t="s">
        <v>222</v>
      </c>
      <c r="G48" s="77" t="s">
        <v>220</v>
      </c>
      <c r="H48" t="str">
        <f>VLOOKUP(D48,'DETALLE PRECIO INGREDIENTES'!B:B,1,0)</f>
        <v>ACEITE DE OLIVA</v>
      </c>
    </row>
    <row r="49" spans="2:8" ht="15.5" hidden="1" x14ac:dyDescent="0.35">
      <c r="B49" s="75" t="s">
        <v>199</v>
      </c>
      <c r="C49" s="75" t="s">
        <v>194</v>
      </c>
      <c r="D49" s="73" t="s">
        <v>644</v>
      </c>
      <c r="E49" s="74">
        <v>0.22</v>
      </c>
      <c r="F49" s="76" t="s">
        <v>237</v>
      </c>
      <c r="G49" s="77" t="s">
        <v>621</v>
      </c>
      <c r="H49" t="str">
        <f>VLOOKUP(D49,'DETALLE PRECIO INGREDIENTES'!B:B,1,0)</f>
        <v>CEBOLLA BLANCA</v>
      </c>
    </row>
    <row r="50" spans="2:8" ht="15.5" hidden="1" x14ac:dyDescent="0.35">
      <c r="B50" s="75" t="s">
        <v>199</v>
      </c>
      <c r="C50" s="75" t="s">
        <v>194</v>
      </c>
      <c r="D50" s="73" t="s">
        <v>720</v>
      </c>
      <c r="E50" s="74">
        <v>0.1</v>
      </c>
      <c r="F50" s="76" t="s">
        <v>237</v>
      </c>
      <c r="G50" s="77" t="s">
        <v>621</v>
      </c>
      <c r="H50" t="str">
        <f>VLOOKUP(D50,'DETALLE PRECIO INGREDIENTES'!B:B,1,0)</f>
        <v>ZANAHORIA</v>
      </c>
    </row>
    <row r="51" spans="2:8" ht="15.5" hidden="1" x14ac:dyDescent="0.35">
      <c r="B51" s="75" t="s">
        <v>199</v>
      </c>
      <c r="C51" s="75" t="s">
        <v>194</v>
      </c>
      <c r="D51" s="73" t="s">
        <v>633</v>
      </c>
      <c r="E51" s="74">
        <v>2.5000000000000001E-2</v>
      </c>
      <c r="F51" s="76" t="s">
        <v>259</v>
      </c>
      <c r="G51" s="77" t="s">
        <v>621</v>
      </c>
      <c r="H51" t="str">
        <f>VLOOKUP(D51,'DETALLE PRECIO INGREDIENTES'!B:B,1,0)</f>
        <v>APIO MATA</v>
      </c>
    </row>
    <row r="52" spans="2:8" ht="15.5" hidden="1" x14ac:dyDescent="0.35">
      <c r="B52" s="75" t="s">
        <v>199</v>
      </c>
      <c r="C52" s="75" t="s">
        <v>194</v>
      </c>
      <c r="D52" s="73" t="s">
        <v>707</v>
      </c>
      <c r="E52" s="74">
        <v>0.2</v>
      </c>
      <c r="F52" s="76" t="s">
        <v>259</v>
      </c>
      <c r="G52" s="77" t="s">
        <v>621</v>
      </c>
      <c r="H52" t="str">
        <f>VLOOKUP(D52,'DETALLE PRECIO INGREDIENTES'!B:B,1,0)</f>
        <v>PUERROS</v>
      </c>
    </row>
    <row r="53" spans="2:8" ht="15.5" hidden="1" x14ac:dyDescent="0.35">
      <c r="B53" s="75" t="s">
        <v>199</v>
      </c>
      <c r="C53" s="75" t="s">
        <v>194</v>
      </c>
      <c r="D53" s="73" t="s">
        <v>698</v>
      </c>
      <c r="E53" s="74">
        <v>0.01</v>
      </c>
      <c r="F53" s="76" t="s">
        <v>237</v>
      </c>
      <c r="G53" s="77" t="s">
        <v>621</v>
      </c>
      <c r="H53" t="str">
        <f>VLOOKUP(D53,'DETALLE PRECIO INGREDIENTES'!B:B,1,0)</f>
        <v>PEREJIL</v>
      </c>
    </row>
    <row r="54" spans="2:8" ht="15.5" hidden="1" x14ac:dyDescent="0.35">
      <c r="B54" s="75" t="s">
        <v>199</v>
      </c>
      <c r="C54" s="75" t="s">
        <v>194</v>
      </c>
      <c r="D54" s="73" t="s">
        <v>302</v>
      </c>
      <c r="E54" s="74">
        <v>3.0000000000000001E-3</v>
      </c>
      <c r="F54" s="76" t="s">
        <v>237</v>
      </c>
      <c r="G54" s="77" t="s">
        <v>220</v>
      </c>
      <c r="H54" t="str">
        <f>VLOOKUP(D54,'DETALLE PRECIO INGREDIENTES'!B:B,1,0)</f>
        <v>CLAVO DE OLOR ENTERO</v>
      </c>
    </row>
    <row r="55" spans="2:8" ht="15.5" hidden="1" x14ac:dyDescent="0.35">
      <c r="B55" s="75" t="s">
        <v>199</v>
      </c>
      <c r="C55" s="75" t="s">
        <v>194</v>
      </c>
      <c r="D55" s="73" t="s">
        <v>370</v>
      </c>
      <c r="E55" s="74">
        <v>5.0000000000000001E-3</v>
      </c>
      <c r="F55" s="76" t="s">
        <v>237</v>
      </c>
      <c r="G55" s="77" t="s">
        <v>220</v>
      </c>
      <c r="H55" t="str">
        <f>VLOOKUP(D55,'DETALLE PRECIO INGREDIENTES'!B:B,1,0)</f>
        <v>LAUREL</v>
      </c>
    </row>
    <row r="56" spans="2:8" ht="15.5" hidden="1" x14ac:dyDescent="0.35">
      <c r="B56" s="75" t="s">
        <v>199</v>
      </c>
      <c r="C56" s="75" t="s">
        <v>194</v>
      </c>
      <c r="D56" s="73" t="s">
        <v>628</v>
      </c>
      <c r="E56" s="74">
        <v>0.2</v>
      </c>
      <c r="F56" s="76" t="s">
        <v>259</v>
      </c>
      <c r="G56" s="77" t="s">
        <v>621</v>
      </c>
      <c r="H56" t="str">
        <f>VLOOKUP(D56,'DETALLE PRECIO INGREDIENTES'!B:B,1,0)</f>
        <v>AJO CABEZA</v>
      </c>
    </row>
    <row r="57" spans="2:8" ht="15.5" hidden="1" x14ac:dyDescent="0.35">
      <c r="B57" s="75" t="s">
        <v>199</v>
      </c>
      <c r="C57" s="75" t="s">
        <v>194</v>
      </c>
      <c r="D57" s="73" t="s">
        <v>427</v>
      </c>
      <c r="E57" s="74">
        <v>2E-3</v>
      </c>
      <c r="F57" s="76" t="s">
        <v>237</v>
      </c>
      <c r="G57" s="77" t="s">
        <v>220</v>
      </c>
      <c r="H57" t="str">
        <f>VLOOKUP(D57,'DETALLE PRECIO INGREDIENTES'!B:B,1,0)</f>
        <v>PIMIENTA NEGRA ENTERA</v>
      </c>
    </row>
    <row r="58" spans="2:8" ht="15.5" hidden="1" x14ac:dyDescent="0.35">
      <c r="B58" s="75" t="s">
        <v>199</v>
      </c>
      <c r="C58" s="75" t="s">
        <v>194</v>
      </c>
      <c r="D58" s="73" t="s">
        <v>824</v>
      </c>
      <c r="E58" s="74">
        <v>0.2</v>
      </c>
      <c r="F58" s="76" t="s">
        <v>237</v>
      </c>
      <c r="G58" s="77" t="s">
        <v>806</v>
      </c>
      <c r="H58" t="str">
        <f>VLOOKUP(D58,'DETALLE PRECIO INGREDIENTES'!B:B,1,0)</f>
        <v>ESPINAS DE PESCADO</v>
      </c>
    </row>
    <row r="59" spans="2:8" ht="15.5" hidden="1" x14ac:dyDescent="0.35">
      <c r="B59" s="75" t="s">
        <v>199</v>
      </c>
      <c r="C59" s="75" t="s">
        <v>194</v>
      </c>
      <c r="D59" s="73" t="s">
        <v>750</v>
      </c>
      <c r="E59" s="74">
        <v>5.1999999999999998E-2</v>
      </c>
      <c r="F59" s="76" t="s">
        <v>237</v>
      </c>
      <c r="G59" s="77" t="s">
        <v>736</v>
      </c>
      <c r="H59" t="str">
        <f>VLOOKUP(D59,'DETALLE PRECIO INGREDIENTES'!B:B,1,0)</f>
        <v>MANTEQUILLA CON SAL</v>
      </c>
    </row>
    <row r="60" spans="2:8" ht="15.5" hidden="1" x14ac:dyDescent="0.35">
      <c r="B60" s="75" t="s">
        <v>199</v>
      </c>
      <c r="C60" s="75" t="s">
        <v>194</v>
      </c>
      <c r="D60" s="73" t="s">
        <v>878</v>
      </c>
      <c r="E60" s="74">
        <v>0.06</v>
      </c>
      <c r="F60" s="76" t="s">
        <v>222</v>
      </c>
      <c r="G60" s="77" t="s">
        <v>876</v>
      </c>
      <c r="H60" t="str">
        <f>VLOOKUP(D60,'DETALLE PRECIO INGREDIENTES'!B:B,1,0)</f>
        <v>VINO BLANCO TETRA PACK</v>
      </c>
    </row>
    <row r="61" spans="2:8" ht="15.5" hidden="1" x14ac:dyDescent="0.35">
      <c r="B61" s="75" t="s">
        <v>199</v>
      </c>
      <c r="C61" s="75" t="s">
        <v>194</v>
      </c>
      <c r="D61" s="73" t="s">
        <v>864</v>
      </c>
      <c r="E61" s="74">
        <v>0.2</v>
      </c>
      <c r="F61" s="76" t="s">
        <v>237</v>
      </c>
      <c r="G61" s="77" t="s">
        <v>852</v>
      </c>
      <c r="H61" t="str">
        <f>VLOOKUP(D61,'DETALLE PRECIO INGREDIENTES'!B:B,1,0)</f>
        <v>VACUNO HUESOS</v>
      </c>
    </row>
    <row r="62" spans="2:8" ht="15.5" hidden="1" x14ac:dyDescent="0.35">
      <c r="B62" s="75" t="s">
        <v>199</v>
      </c>
      <c r="C62" s="75" t="s">
        <v>194</v>
      </c>
      <c r="D62" s="73" t="s">
        <v>310</v>
      </c>
      <c r="E62" s="74">
        <v>0.03</v>
      </c>
      <c r="F62" s="76" t="s">
        <v>237</v>
      </c>
      <c r="G62" s="77" t="s">
        <v>220</v>
      </c>
      <c r="H62" t="str">
        <f>VLOOKUP(D62,'DETALLE PRECIO INGREDIENTES'!B:B,1,0)</f>
        <v>CONCENTRADO DE TOMATE</v>
      </c>
    </row>
    <row r="63" spans="2:8" ht="15.5" hidden="1" x14ac:dyDescent="0.35">
      <c r="B63" s="75" t="s">
        <v>199</v>
      </c>
      <c r="C63" s="75" t="s">
        <v>194</v>
      </c>
      <c r="D63" s="73" t="s">
        <v>354</v>
      </c>
      <c r="E63" s="74">
        <v>0.04</v>
      </c>
      <c r="F63" s="76" t="s">
        <v>237</v>
      </c>
      <c r="G63" s="77" t="s">
        <v>220</v>
      </c>
      <c r="H63" t="str">
        <f>VLOOKUP(D63,'DETALLE PRECIO INGREDIENTES'!B:B,1,0)</f>
        <v>HARINA BIZCOCHERA</v>
      </c>
    </row>
    <row r="64" spans="2:8" ht="15.5" hidden="1" x14ac:dyDescent="0.35">
      <c r="B64" s="75" t="s">
        <v>199</v>
      </c>
      <c r="C64" s="75" t="s">
        <v>194</v>
      </c>
      <c r="D64" s="73" t="s">
        <v>841</v>
      </c>
      <c r="E64" s="74">
        <v>0.2</v>
      </c>
      <c r="F64" s="76" t="s">
        <v>237</v>
      </c>
      <c r="G64" s="77" t="s">
        <v>839</v>
      </c>
      <c r="H64" t="str">
        <f>VLOOKUP(D64,'DETALLE PRECIO INGREDIENTES'!B:B,1,0)</f>
        <v>POLLO HUESOS</v>
      </c>
    </row>
    <row r="65" spans="2:8" ht="15.5" hidden="1" x14ac:dyDescent="0.35">
      <c r="B65" s="75" t="s">
        <v>199</v>
      </c>
      <c r="C65" s="75" t="s">
        <v>193</v>
      </c>
      <c r="D65" s="73" t="s">
        <v>729</v>
      </c>
      <c r="E65" s="74">
        <v>5</v>
      </c>
      <c r="F65" s="76" t="s">
        <v>259</v>
      </c>
      <c r="G65" s="77" t="s">
        <v>728</v>
      </c>
      <c r="H65" t="str">
        <f>VLOOKUP(D65,'DETALLE PRECIO INGREDIENTES'!B:B,1,0)</f>
        <v>HUEVO EXTRA BLANCO</v>
      </c>
    </row>
    <row r="66" spans="2:8" ht="15.5" hidden="1" x14ac:dyDescent="0.35">
      <c r="B66" s="75" t="s">
        <v>199</v>
      </c>
      <c r="C66" s="75" t="s">
        <v>193</v>
      </c>
      <c r="D66" s="73" t="s">
        <v>672</v>
      </c>
      <c r="E66" s="74">
        <v>0.04</v>
      </c>
      <c r="F66" s="76" t="s">
        <v>237</v>
      </c>
      <c r="G66" s="77" t="s">
        <v>621</v>
      </c>
      <c r="H66" t="str">
        <f>VLOOKUP(D66,'DETALLE PRECIO INGREDIENTES'!B:B,1,0)</f>
        <v>HABAS CONGELADAS</v>
      </c>
    </row>
    <row r="67" spans="2:8" ht="15.5" hidden="1" x14ac:dyDescent="0.35">
      <c r="B67" s="75" t="s">
        <v>199</v>
      </c>
      <c r="C67" s="75" t="s">
        <v>193</v>
      </c>
      <c r="D67" s="73" t="s">
        <v>809</v>
      </c>
      <c r="E67" s="74">
        <v>0.01</v>
      </c>
      <c r="F67" s="76" t="s">
        <v>237</v>
      </c>
      <c r="G67" s="77" t="s">
        <v>806</v>
      </c>
      <c r="H67" t="str">
        <f>VLOOKUP(D67,'DETALLE PRECIO INGREDIENTES'!B:B,1,0)</f>
        <v>ANCHOAS FILETES</v>
      </c>
    </row>
    <row r="68" spans="2:8" ht="15.5" hidden="1" x14ac:dyDescent="0.35">
      <c r="B68" s="75" t="s">
        <v>199</v>
      </c>
      <c r="C68" s="75" t="s">
        <v>193</v>
      </c>
      <c r="D68" s="73" t="s">
        <v>703</v>
      </c>
      <c r="E68" s="74">
        <v>0.3</v>
      </c>
      <c r="F68" s="76" t="s">
        <v>259</v>
      </c>
      <c r="G68" s="77" t="s">
        <v>621</v>
      </c>
      <c r="H68" t="str">
        <f>VLOOKUP(D68,'DETALLE PRECIO INGREDIENTES'!B:B,1,0)</f>
        <v>PIMIENTO VERDE</v>
      </c>
    </row>
    <row r="69" spans="2:8" ht="15.5" hidden="1" x14ac:dyDescent="0.35">
      <c r="B69" s="75" t="s">
        <v>199</v>
      </c>
      <c r="C69" s="75" t="s">
        <v>193</v>
      </c>
      <c r="D69" s="73" t="s">
        <v>644</v>
      </c>
      <c r="E69" s="74">
        <v>0.06</v>
      </c>
      <c r="F69" s="76" t="s">
        <v>237</v>
      </c>
      <c r="G69" s="77" t="s">
        <v>621</v>
      </c>
      <c r="H69" t="str">
        <f>VLOOKUP(D69,'DETALLE PRECIO INGREDIENTES'!B:B,1,0)</f>
        <v>CEBOLLA BLANCA</v>
      </c>
    </row>
    <row r="70" spans="2:8" ht="15.5" hidden="1" x14ac:dyDescent="0.35">
      <c r="B70" s="75" t="s">
        <v>199</v>
      </c>
      <c r="C70" s="75" t="s">
        <v>193</v>
      </c>
      <c r="D70" s="73" t="s">
        <v>696</v>
      </c>
      <c r="E70" s="74">
        <v>0.25</v>
      </c>
      <c r="F70" s="76" t="s">
        <v>259</v>
      </c>
      <c r="G70" s="77" t="s">
        <v>621</v>
      </c>
      <c r="H70" t="str">
        <f>VLOOKUP(D70,'DETALLE PRECIO INGREDIENTES'!B:B,1,0)</f>
        <v>PEPINO ENSALADA</v>
      </c>
    </row>
    <row r="71" spans="2:8" ht="15.5" hidden="1" x14ac:dyDescent="0.35">
      <c r="B71" s="75" t="s">
        <v>199</v>
      </c>
      <c r="C71" s="75" t="s">
        <v>193</v>
      </c>
      <c r="D71" s="73" t="s">
        <v>239</v>
      </c>
      <c r="E71" s="74">
        <v>0.02</v>
      </c>
      <c r="F71" s="76" t="s">
        <v>237</v>
      </c>
      <c r="G71" s="77" t="s">
        <v>220</v>
      </c>
      <c r="H71" t="str">
        <f>VLOOKUP(D71,'DETALLE PRECIO INGREDIENTES'!B:B,1,0)</f>
        <v>ACEITUNAS NEGRAS S/HUESO</v>
      </c>
    </row>
    <row r="72" spans="2:8" ht="15.5" hidden="1" x14ac:dyDescent="0.35">
      <c r="B72" s="75" t="s">
        <v>199</v>
      </c>
      <c r="C72" s="75" t="s">
        <v>193</v>
      </c>
      <c r="D72" s="73" t="s">
        <v>629</v>
      </c>
      <c r="E72" s="74">
        <v>1.4999999999999999E-2</v>
      </c>
      <c r="F72" s="76" t="s">
        <v>237</v>
      </c>
      <c r="G72" s="77" t="s">
        <v>621</v>
      </c>
      <c r="H72" t="str">
        <f>VLOOKUP(D72,'DETALLE PRECIO INGREDIENTES'!B:B,1,0)</f>
        <v>ALBAHACA FRESCA</v>
      </c>
    </row>
    <row r="73" spans="2:8" ht="15.5" hidden="1" x14ac:dyDescent="0.35">
      <c r="B73" s="75" t="s">
        <v>199</v>
      </c>
      <c r="C73" s="75" t="s">
        <v>193</v>
      </c>
      <c r="D73" s="73" t="s">
        <v>716</v>
      </c>
      <c r="E73" s="74">
        <v>7.0000000000000007E-2</v>
      </c>
      <c r="F73" s="76" t="s">
        <v>237</v>
      </c>
      <c r="G73" s="77" t="s">
        <v>621</v>
      </c>
      <c r="H73" t="str">
        <f>VLOOKUP(D73,'DETALLE PRECIO INGREDIENTES'!B:B,1,0)</f>
        <v>TOMATE LARGA VIDA</v>
      </c>
    </row>
    <row r="74" spans="2:8" ht="15.5" hidden="1" x14ac:dyDescent="0.35">
      <c r="B74" s="75" t="s">
        <v>199</v>
      </c>
      <c r="C74" s="75" t="s">
        <v>193</v>
      </c>
      <c r="D74" s="73" t="s">
        <v>628</v>
      </c>
      <c r="E74" s="74">
        <v>0.1</v>
      </c>
      <c r="F74" s="76" t="s">
        <v>259</v>
      </c>
      <c r="G74" s="77" t="s">
        <v>621</v>
      </c>
      <c r="H74" t="str">
        <f>VLOOKUP(D74,'DETALLE PRECIO INGREDIENTES'!B:B,1,0)</f>
        <v>AJO CABEZA</v>
      </c>
    </row>
    <row r="75" spans="2:8" ht="15.5" hidden="1" x14ac:dyDescent="0.35">
      <c r="B75" s="75" t="s">
        <v>199</v>
      </c>
      <c r="C75" s="75" t="s">
        <v>193</v>
      </c>
      <c r="D75" s="73" t="s">
        <v>472</v>
      </c>
      <c r="E75" s="74">
        <v>0.03</v>
      </c>
      <c r="F75" s="76" t="s">
        <v>222</v>
      </c>
      <c r="G75" s="77" t="s">
        <v>220</v>
      </c>
      <c r="H75" t="str">
        <f>VLOOKUP(D75,'DETALLE PRECIO INGREDIENTES'!B:B,1,0)</f>
        <v>VINAGRE BLANCO</v>
      </c>
    </row>
    <row r="76" spans="2:8" ht="15.5" hidden="1" x14ac:dyDescent="0.35">
      <c r="B76" s="75" t="s">
        <v>199</v>
      </c>
      <c r="C76" s="75" t="s">
        <v>193</v>
      </c>
      <c r="D76" s="73" t="s">
        <v>230</v>
      </c>
      <c r="E76" s="74">
        <v>7.0000000000000007E-2</v>
      </c>
      <c r="F76" s="76" t="s">
        <v>222</v>
      </c>
      <c r="G76" s="77" t="s">
        <v>220</v>
      </c>
      <c r="H76" t="str">
        <f>VLOOKUP(D76,'DETALLE PRECIO INGREDIENTES'!B:B,1,0)</f>
        <v>ACEITE DE OLIVA</v>
      </c>
    </row>
    <row r="77" spans="2:8" ht="15.5" hidden="1" x14ac:dyDescent="0.35">
      <c r="B77" s="75" t="s">
        <v>199</v>
      </c>
      <c r="C77" s="75" t="s">
        <v>193</v>
      </c>
      <c r="D77" s="73" t="s">
        <v>445</v>
      </c>
      <c r="E77" s="74">
        <v>0.01</v>
      </c>
      <c r="F77" s="76" t="s">
        <v>237</v>
      </c>
      <c r="G77" s="77" t="s">
        <v>220</v>
      </c>
      <c r="H77" t="str">
        <f>VLOOKUP(D77,'DETALLE PRECIO INGREDIENTES'!B:B,1,0)</f>
        <v>SAL DE MESA LOBOS</v>
      </c>
    </row>
    <row r="78" spans="2:8" ht="15.5" hidden="1" x14ac:dyDescent="0.35">
      <c r="B78" s="75" t="s">
        <v>199</v>
      </c>
      <c r="C78" s="75" t="s">
        <v>193</v>
      </c>
      <c r="D78" s="73" t="s">
        <v>428</v>
      </c>
      <c r="E78" s="74">
        <v>5.0000000000000001E-3</v>
      </c>
      <c r="F78" s="76" t="s">
        <v>237</v>
      </c>
      <c r="G78" s="77" t="s">
        <v>220</v>
      </c>
      <c r="H78" t="str">
        <f>VLOOKUP(D78,'DETALLE PRECIO INGREDIENTES'!B:B,1,0)</f>
        <v>PIMIENTA NEGRA MOLIDA</v>
      </c>
    </row>
    <row r="79" spans="2:8" ht="15.5" hidden="1" x14ac:dyDescent="0.35">
      <c r="B79" s="75" t="s">
        <v>199</v>
      </c>
      <c r="C79" s="75" t="s">
        <v>193</v>
      </c>
      <c r="D79" s="73" t="s">
        <v>651</v>
      </c>
      <c r="E79" s="74">
        <v>0.02</v>
      </c>
      <c r="F79" s="76" t="s">
        <v>237</v>
      </c>
      <c r="G79" s="77" t="s">
        <v>621</v>
      </c>
      <c r="H79" t="str">
        <f>VLOOKUP(D79,'DETALLE PRECIO INGREDIENTES'!B:B,1,0)</f>
        <v>CHAMPIÑON PARIS</v>
      </c>
    </row>
    <row r="80" spans="2:8" ht="15.5" hidden="1" x14ac:dyDescent="0.35">
      <c r="B80" s="75" t="s">
        <v>199</v>
      </c>
      <c r="C80" s="75" t="s">
        <v>193</v>
      </c>
      <c r="D80" s="73" t="s">
        <v>397</v>
      </c>
      <c r="E80" s="74">
        <v>0.01</v>
      </c>
      <c r="F80" s="76" t="s">
        <v>237</v>
      </c>
      <c r="G80" s="77" t="s">
        <v>220</v>
      </c>
      <c r="H80" t="str">
        <f>VLOOKUP(D80,'DETALLE PRECIO INGREDIENTES'!B:B,1,0)</f>
        <v>MOSTAZA</v>
      </c>
    </row>
    <row r="81" spans="2:8" ht="15.5" hidden="1" x14ac:dyDescent="0.35">
      <c r="B81" s="75" t="s">
        <v>199</v>
      </c>
      <c r="C81" s="75" t="s">
        <v>192</v>
      </c>
      <c r="D81" s="73" t="s">
        <v>228</v>
      </c>
      <c r="E81" s="74">
        <v>0.01</v>
      </c>
      <c r="F81" s="76" t="s">
        <v>222</v>
      </c>
      <c r="G81" s="77" t="s">
        <v>220</v>
      </c>
      <c r="H81" t="str">
        <f>VLOOKUP(D81,'DETALLE PRECIO INGREDIENTES'!B:B,1,0)</f>
        <v>ACEITE DE MARAVILLA</v>
      </c>
    </row>
    <row r="82" spans="2:8" ht="15.5" hidden="1" x14ac:dyDescent="0.35">
      <c r="B82" s="75" t="s">
        <v>199</v>
      </c>
      <c r="C82" s="75" t="s">
        <v>192</v>
      </c>
      <c r="D82" s="73" t="s">
        <v>873</v>
      </c>
      <c r="E82" s="74">
        <v>0.05</v>
      </c>
      <c r="F82" s="76" t="s">
        <v>237</v>
      </c>
      <c r="G82" s="77" t="s">
        <v>852</v>
      </c>
      <c r="H82" t="str">
        <f>VLOOKUP(D82,'DETALLE PRECIO INGREDIENTES'!B:B,1,0)</f>
        <v>VACUNO POSTA ROSADA</v>
      </c>
    </row>
    <row r="83" spans="2:8" ht="15.5" hidden="1" x14ac:dyDescent="0.35">
      <c r="B83" s="75" t="s">
        <v>199</v>
      </c>
      <c r="C83" s="75" t="s">
        <v>192</v>
      </c>
      <c r="D83" s="73" t="s">
        <v>628</v>
      </c>
      <c r="E83" s="74">
        <v>0.15</v>
      </c>
      <c r="F83" s="76" t="s">
        <v>259</v>
      </c>
      <c r="G83" s="77" t="s">
        <v>621</v>
      </c>
      <c r="H83" t="str">
        <f>VLOOKUP(D83,'DETALLE PRECIO INGREDIENTES'!B:B,1,0)</f>
        <v>AJO CABEZA</v>
      </c>
    </row>
    <row r="84" spans="2:8" ht="15.5" hidden="1" x14ac:dyDescent="0.35">
      <c r="B84" s="75" t="s">
        <v>199</v>
      </c>
      <c r="C84" s="75" t="s">
        <v>192</v>
      </c>
      <c r="D84" s="73" t="s">
        <v>644</v>
      </c>
      <c r="E84" s="74">
        <v>0.255</v>
      </c>
      <c r="F84" s="76" t="s">
        <v>237</v>
      </c>
      <c r="G84" s="77" t="s">
        <v>621</v>
      </c>
      <c r="H84" t="str">
        <f>VLOOKUP(D84,'DETALLE PRECIO INGREDIENTES'!B:B,1,0)</f>
        <v>CEBOLLA BLANCA</v>
      </c>
    </row>
    <row r="85" spans="2:8" ht="15.5" hidden="1" x14ac:dyDescent="0.35">
      <c r="B85" s="75" t="s">
        <v>199</v>
      </c>
      <c r="C85" s="75" t="s">
        <v>192</v>
      </c>
      <c r="D85" s="73" t="s">
        <v>720</v>
      </c>
      <c r="E85" s="74">
        <v>0.05</v>
      </c>
      <c r="F85" s="76" t="s">
        <v>237</v>
      </c>
      <c r="G85" s="77" t="s">
        <v>621</v>
      </c>
      <c r="H85" t="str">
        <f>VLOOKUP(D85,'DETALLE PRECIO INGREDIENTES'!B:B,1,0)</f>
        <v>ZANAHORIA</v>
      </c>
    </row>
    <row r="86" spans="2:8" ht="15.5" hidden="1" x14ac:dyDescent="0.35">
      <c r="B86" s="75" t="s">
        <v>199</v>
      </c>
      <c r="C86" s="75" t="s">
        <v>192</v>
      </c>
      <c r="D86" s="73" t="s">
        <v>702</v>
      </c>
      <c r="E86" s="74">
        <v>0.12</v>
      </c>
      <c r="F86" s="76" t="s">
        <v>259</v>
      </c>
      <c r="G86" s="77" t="s">
        <v>621</v>
      </c>
      <c r="H86" t="str">
        <f>VLOOKUP(D86,'DETALLE PRECIO INGREDIENTES'!B:B,1,0)</f>
        <v>PIMIENTO ROJO</v>
      </c>
    </row>
    <row r="87" spans="2:8" ht="15.5" hidden="1" x14ac:dyDescent="0.35">
      <c r="B87" s="75" t="s">
        <v>199</v>
      </c>
      <c r="C87" s="75" t="s">
        <v>192</v>
      </c>
      <c r="D87" s="73" t="s">
        <v>411</v>
      </c>
      <c r="E87" s="74">
        <v>5.5E-2</v>
      </c>
      <c r="F87" s="76" t="s">
        <v>237</v>
      </c>
      <c r="G87" s="77" t="s">
        <v>621</v>
      </c>
      <c r="H87" t="str">
        <f>VLOOKUP(D87,'DETALLE PRECIO INGREDIENTES'!B:B,1,0)</f>
        <v>PAPAS</v>
      </c>
    </row>
    <row r="88" spans="2:8" ht="15.5" hidden="1" x14ac:dyDescent="0.35">
      <c r="B88" s="75" t="s">
        <v>199</v>
      </c>
      <c r="C88" s="75" t="s">
        <v>192</v>
      </c>
      <c r="D88" s="73" t="s">
        <v>722</v>
      </c>
      <c r="E88" s="74">
        <v>1.4999999999999999E-2</v>
      </c>
      <c r="F88" s="76" t="s">
        <v>237</v>
      </c>
      <c r="G88" s="77" t="s">
        <v>621</v>
      </c>
      <c r="H88" t="str">
        <f>VLOOKUP(D88,'DETALLE PRECIO INGREDIENTES'!B:B,1,0)</f>
        <v>ZAPALLO CAMOTE</v>
      </c>
    </row>
    <row r="89" spans="2:8" ht="15.5" hidden="1" x14ac:dyDescent="0.35">
      <c r="B89" s="75" t="s">
        <v>199</v>
      </c>
      <c r="C89" s="75" t="s">
        <v>192</v>
      </c>
      <c r="D89" s="73" t="s">
        <v>269</v>
      </c>
      <c r="E89" s="74">
        <v>0.01</v>
      </c>
      <c r="F89" s="76" t="s">
        <v>237</v>
      </c>
      <c r="G89" s="77" t="s">
        <v>220</v>
      </c>
      <c r="H89" t="str">
        <f>VLOOKUP(D89,'DETALLE PRECIO INGREDIENTES'!B:B,1,0)</f>
        <v>ARROZ GRANO LARGO GRADO 2</v>
      </c>
    </row>
    <row r="90" spans="2:8" ht="15.5" hidden="1" x14ac:dyDescent="0.35">
      <c r="B90" s="75" t="s">
        <v>199</v>
      </c>
      <c r="C90" s="75" t="s">
        <v>192</v>
      </c>
      <c r="D90" s="73" t="s">
        <v>589</v>
      </c>
      <c r="E90" s="74">
        <v>0.01</v>
      </c>
      <c r="F90" s="76" t="s">
        <v>237</v>
      </c>
      <c r="G90" s="77" t="s">
        <v>587</v>
      </c>
      <c r="H90" t="str">
        <f>VLOOKUP(D90,'DETALLE PRECIO INGREDIENTES'!B:B,1,0)</f>
        <v>POROTOS VERDES CONGELADOS</v>
      </c>
    </row>
    <row r="91" spans="2:8" ht="15.5" hidden="1" x14ac:dyDescent="0.35">
      <c r="B91" s="75" t="s">
        <v>199</v>
      </c>
      <c r="C91" s="75" t="s">
        <v>192</v>
      </c>
      <c r="D91" s="73" t="s">
        <v>635</v>
      </c>
      <c r="E91" s="74">
        <v>0.01</v>
      </c>
      <c r="F91" s="76" t="s">
        <v>237</v>
      </c>
      <c r="G91" s="77" t="s">
        <v>621</v>
      </c>
      <c r="H91" t="str">
        <f>VLOOKUP(D91,'DETALLE PRECIO INGREDIENTES'!B:B,1,0)</f>
        <v>ARVEJAS CONGELADAS</v>
      </c>
    </row>
    <row r="92" spans="2:8" ht="15.5" hidden="1" x14ac:dyDescent="0.35">
      <c r="B92" s="75" t="s">
        <v>199</v>
      </c>
      <c r="C92" s="75" t="s">
        <v>192</v>
      </c>
      <c r="D92" s="73" t="s">
        <v>653</v>
      </c>
      <c r="E92" s="74">
        <v>0.01</v>
      </c>
      <c r="F92" s="76" t="s">
        <v>237</v>
      </c>
      <c r="G92" s="77" t="s">
        <v>621</v>
      </c>
      <c r="H92" t="str">
        <f>VLOOKUP(D92,'DETALLE PRECIO INGREDIENTES'!B:B,1,0)</f>
        <v>CHOCLO GRANO CONGELADO</v>
      </c>
    </row>
    <row r="93" spans="2:8" ht="15.5" hidden="1" x14ac:dyDescent="0.35">
      <c r="B93" s="75" t="s">
        <v>199</v>
      </c>
      <c r="C93" s="75" t="s">
        <v>192</v>
      </c>
      <c r="D93" s="73" t="s">
        <v>797</v>
      </c>
      <c r="E93" s="74">
        <v>0.1</v>
      </c>
      <c r="F93" s="76" t="s">
        <v>259</v>
      </c>
      <c r="G93" s="77" t="s">
        <v>795</v>
      </c>
      <c r="H93" t="str">
        <f>VLOOKUP(D93,'DETALLE PRECIO INGREDIENTES'!B:B,1,0)</f>
        <v>PAN BAGUETTE NORMAL</v>
      </c>
    </row>
    <row r="94" spans="2:8" ht="15.5" hidden="1" x14ac:dyDescent="0.35">
      <c r="B94" s="75" t="s">
        <v>199</v>
      </c>
      <c r="C94" s="75" t="s">
        <v>192</v>
      </c>
      <c r="D94" s="73" t="s">
        <v>764</v>
      </c>
      <c r="E94" s="74">
        <v>1.4999999999999999E-2</v>
      </c>
      <c r="F94" s="76" t="s">
        <v>237</v>
      </c>
      <c r="G94" s="77" t="s">
        <v>736</v>
      </c>
      <c r="H94" t="str">
        <f>VLOOKUP(D94,'DETALLE PRECIO INGREDIENTES'!B:B,1,0)</f>
        <v>QUESO GRUYERE</v>
      </c>
    </row>
    <row r="95" spans="2:8" ht="15.5" hidden="1" x14ac:dyDescent="0.35">
      <c r="B95" s="75" t="s">
        <v>199</v>
      </c>
      <c r="C95" s="75" t="s">
        <v>192</v>
      </c>
      <c r="D95" s="73" t="s">
        <v>750</v>
      </c>
      <c r="E95" s="74">
        <v>0.02</v>
      </c>
      <c r="F95" s="76" t="s">
        <v>237</v>
      </c>
      <c r="G95" s="77" t="s">
        <v>736</v>
      </c>
      <c r="H95" t="str">
        <f>VLOOKUP(D95,'DETALLE PRECIO INGREDIENTES'!B:B,1,0)</f>
        <v>MANTEQUILLA CON SAL</v>
      </c>
    </row>
    <row r="96" spans="2:8" ht="15.5" hidden="1" x14ac:dyDescent="0.35">
      <c r="B96" s="75" t="s">
        <v>199</v>
      </c>
      <c r="C96" s="75" t="s">
        <v>192</v>
      </c>
      <c r="D96" s="73" t="s">
        <v>407</v>
      </c>
      <c r="E96" s="74">
        <v>2E-3</v>
      </c>
      <c r="F96" s="76" t="s">
        <v>237</v>
      </c>
      <c r="G96" s="77" t="s">
        <v>220</v>
      </c>
      <c r="H96" t="str">
        <f>VLOOKUP(D96,'DETALLE PRECIO INGREDIENTES'!B:B,1,0)</f>
        <v>OREGANO SECO</v>
      </c>
    </row>
    <row r="97" spans="2:8" ht="15.5" hidden="1" x14ac:dyDescent="0.35">
      <c r="B97" s="75" t="s">
        <v>199</v>
      </c>
      <c r="C97" s="75" t="s">
        <v>192</v>
      </c>
      <c r="D97" s="73" t="s">
        <v>441</v>
      </c>
      <c r="E97" s="74">
        <v>2E-3</v>
      </c>
      <c r="F97" s="76" t="s">
        <v>237</v>
      </c>
      <c r="G97" s="77" t="s">
        <v>220</v>
      </c>
      <c r="H97" t="str">
        <f>VLOOKUP(D97,'DETALLE PRECIO INGREDIENTES'!B:B,1,0)</f>
        <v>ROMERO SECO</v>
      </c>
    </row>
    <row r="98" spans="2:8" ht="15.5" hidden="1" x14ac:dyDescent="0.35">
      <c r="B98" s="75" t="s">
        <v>199</v>
      </c>
      <c r="C98" s="75" t="s">
        <v>192</v>
      </c>
      <c r="D98" s="73" t="s">
        <v>698</v>
      </c>
      <c r="E98" s="74">
        <v>5.0000000000000001E-3</v>
      </c>
      <c r="F98" s="76" t="s">
        <v>237</v>
      </c>
      <c r="G98" s="77" t="s">
        <v>621</v>
      </c>
      <c r="H98" t="str">
        <f>VLOOKUP(D98,'DETALLE PRECIO INGREDIENTES'!B:B,1,0)</f>
        <v>PEREJIL</v>
      </c>
    </row>
    <row r="99" spans="2:8" ht="15.5" hidden="1" x14ac:dyDescent="0.35">
      <c r="B99" s="75" t="s">
        <v>199</v>
      </c>
      <c r="C99" s="75" t="s">
        <v>192</v>
      </c>
      <c r="D99" s="73" t="s">
        <v>878</v>
      </c>
      <c r="E99" s="74">
        <v>0.01</v>
      </c>
      <c r="F99" s="76" t="s">
        <v>222</v>
      </c>
      <c r="G99" s="77" t="s">
        <v>876</v>
      </c>
      <c r="H99" t="str">
        <f>VLOOKUP(D99,'DETALLE PRECIO INGREDIENTES'!B:B,1,0)</f>
        <v>VINO BLANCO TETRA PACK</v>
      </c>
    </row>
    <row r="100" spans="2:8" ht="15.5" hidden="1" x14ac:dyDescent="0.35">
      <c r="B100" s="75" t="s">
        <v>199</v>
      </c>
      <c r="C100" s="75" t="s">
        <v>192</v>
      </c>
      <c r="D100" s="73" t="s">
        <v>779</v>
      </c>
      <c r="E100" s="74">
        <v>0.01</v>
      </c>
      <c r="F100" s="76" t="s">
        <v>259</v>
      </c>
      <c r="G100" s="77" t="s">
        <v>776</v>
      </c>
      <c r="H100" t="str">
        <f>VLOOKUP(D100,'DETALLE PRECIO INGREDIENTES'!B:B,1,0)</f>
        <v>COÑAC TRES PALOS</v>
      </c>
    </row>
    <row r="101" spans="2:8" ht="15.5" hidden="1" x14ac:dyDescent="0.35">
      <c r="B101" s="75" t="s">
        <v>199</v>
      </c>
      <c r="C101" s="75" t="s">
        <v>192</v>
      </c>
      <c r="D101" s="73" t="s">
        <v>545</v>
      </c>
      <c r="E101" s="74">
        <v>0.01</v>
      </c>
      <c r="F101" s="76" t="s">
        <v>237</v>
      </c>
      <c r="G101" s="77" t="s">
        <v>525</v>
      </c>
      <c r="H101" t="str">
        <f>VLOOKUP(D101,'DETALLE PRECIO INGREDIENTES'!B:B,1,0)</f>
        <v>TOCINO AHUMADO LAMINADO</v>
      </c>
    </row>
    <row r="102" spans="2:8" ht="15.5" hidden="1" x14ac:dyDescent="0.35">
      <c r="B102" s="75" t="s">
        <v>199</v>
      </c>
      <c r="C102" s="75" t="s">
        <v>192</v>
      </c>
      <c r="D102" s="73" t="s">
        <v>707</v>
      </c>
      <c r="E102" s="74">
        <v>0.2</v>
      </c>
      <c r="F102" s="76" t="s">
        <v>259</v>
      </c>
      <c r="G102" s="77" t="s">
        <v>621</v>
      </c>
      <c r="H102" t="str">
        <f>VLOOKUP(D102,'DETALLE PRECIO INGREDIENTES'!B:B,1,0)</f>
        <v>PUERROS</v>
      </c>
    </row>
    <row r="103" spans="2:8" ht="15.5" hidden="1" x14ac:dyDescent="0.35">
      <c r="B103" s="75" t="s">
        <v>199</v>
      </c>
      <c r="C103" s="75" t="s">
        <v>192</v>
      </c>
      <c r="D103" s="73" t="s">
        <v>633</v>
      </c>
      <c r="E103" s="74">
        <v>0.01</v>
      </c>
      <c r="F103" s="76" t="s">
        <v>259</v>
      </c>
      <c r="G103" s="77" t="s">
        <v>621</v>
      </c>
      <c r="H103" t="str">
        <f>VLOOKUP(D103,'DETALLE PRECIO INGREDIENTES'!B:B,1,0)</f>
        <v>APIO MATA</v>
      </c>
    </row>
    <row r="104" spans="2:8" ht="15.5" hidden="1" x14ac:dyDescent="0.35">
      <c r="B104" s="75" t="s">
        <v>199</v>
      </c>
      <c r="C104" s="75" t="s">
        <v>192</v>
      </c>
      <c r="D104" s="73" t="s">
        <v>709</v>
      </c>
      <c r="E104" s="74">
        <v>0.06</v>
      </c>
      <c r="F104" s="76" t="s">
        <v>259</v>
      </c>
      <c r="G104" s="77" t="s">
        <v>621</v>
      </c>
      <c r="H104" t="str">
        <f>VLOOKUP(D104,'DETALLE PRECIO INGREDIENTES'!B:B,1,0)</f>
        <v>REPOLLO</v>
      </c>
    </row>
    <row r="105" spans="2:8" ht="15.5" hidden="1" x14ac:dyDescent="0.35">
      <c r="B105" s="75" t="s">
        <v>199</v>
      </c>
      <c r="C105" s="75" t="s">
        <v>192</v>
      </c>
      <c r="D105" s="73" t="s">
        <v>659</v>
      </c>
      <c r="E105" s="74">
        <v>0.1</v>
      </c>
      <c r="F105" s="76" t="s">
        <v>259</v>
      </c>
      <c r="G105" s="77" t="s">
        <v>621</v>
      </c>
      <c r="H105" t="str">
        <f>VLOOKUP(D105,'DETALLE PRECIO INGREDIENTES'!B:B,1,0)</f>
        <v>COLIFLOR</v>
      </c>
    </row>
    <row r="106" spans="2:8" ht="15.5" hidden="1" x14ac:dyDescent="0.35">
      <c r="B106" s="75" t="s">
        <v>199</v>
      </c>
      <c r="C106" s="75" t="s">
        <v>192</v>
      </c>
      <c r="D106" s="73" t="s">
        <v>739</v>
      </c>
      <c r="E106" s="74">
        <v>0.1</v>
      </c>
      <c r="F106" s="76" t="s">
        <v>222</v>
      </c>
      <c r="G106" s="77" t="s">
        <v>736</v>
      </c>
      <c r="H106" t="str">
        <f>VLOOKUP(D106,'DETALLE PRECIO INGREDIENTES'!B:B,1,0)</f>
        <v>CREMA DE LECHE</v>
      </c>
    </row>
    <row r="107" spans="2:8" ht="15.5" hidden="1" x14ac:dyDescent="0.35">
      <c r="B107" s="75" t="s">
        <v>199</v>
      </c>
      <c r="C107" s="75" t="s">
        <v>192</v>
      </c>
      <c r="D107" s="73" t="s">
        <v>445</v>
      </c>
      <c r="E107" s="74">
        <v>0.06</v>
      </c>
      <c r="F107" s="76" t="s">
        <v>237</v>
      </c>
      <c r="G107" s="77" t="s">
        <v>220</v>
      </c>
      <c r="H107" t="str">
        <f>VLOOKUP(D107,'DETALLE PRECIO INGREDIENTES'!B:B,1,0)</f>
        <v>SAL DE MESA LOBOS</v>
      </c>
    </row>
    <row r="108" spans="2:8" ht="15.5" hidden="1" x14ac:dyDescent="0.35">
      <c r="B108" s="75" t="s">
        <v>199</v>
      </c>
      <c r="C108" s="75" t="s">
        <v>192</v>
      </c>
      <c r="D108" s="73" t="s">
        <v>428</v>
      </c>
      <c r="E108" s="74">
        <v>0.01</v>
      </c>
      <c r="F108" s="76" t="s">
        <v>237</v>
      </c>
      <c r="G108" s="77" t="s">
        <v>220</v>
      </c>
      <c r="H108" t="str">
        <f>VLOOKUP(D108,'DETALLE PRECIO INGREDIENTES'!B:B,1,0)</f>
        <v>PIMIENTA NEGRA MOLIDA</v>
      </c>
    </row>
    <row r="109" spans="2:8" ht="15.5" hidden="1" x14ac:dyDescent="0.35">
      <c r="B109" s="75" t="s">
        <v>199</v>
      </c>
      <c r="C109" s="75" t="s">
        <v>192</v>
      </c>
      <c r="D109" s="73" t="s">
        <v>729</v>
      </c>
      <c r="E109" s="74">
        <v>1</v>
      </c>
      <c r="F109" s="76" t="s">
        <v>259</v>
      </c>
      <c r="G109" s="77" t="s">
        <v>728</v>
      </c>
      <c r="H109" t="str">
        <f>VLOOKUP(D109,'DETALLE PRECIO INGREDIENTES'!B:B,1,0)</f>
        <v>HUEVO EXTRA BLANCO</v>
      </c>
    </row>
    <row r="110" spans="2:8" ht="15.5" hidden="1" x14ac:dyDescent="0.35">
      <c r="B110" s="75" t="s">
        <v>199</v>
      </c>
      <c r="C110" s="75" t="s">
        <v>192</v>
      </c>
      <c r="D110" s="73" t="s">
        <v>498</v>
      </c>
      <c r="E110" s="74">
        <v>1</v>
      </c>
      <c r="F110" s="76" t="s">
        <v>259</v>
      </c>
      <c r="G110" s="77" t="s">
        <v>485</v>
      </c>
      <c r="H110" t="str">
        <f>VLOOKUP(D110,'DETALLE PRECIO INGREDIENTES'!B:B,1,0)</f>
        <v>COFIA (MALLA PELO)</v>
      </c>
    </row>
    <row r="111" spans="2:8" ht="15.5" hidden="1" x14ac:dyDescent="0.35">
      <c r="B111" s="75" t="s">
        <v>199</v>
      </c>
      <c r="C111" s="75" t="s">
        <v>191</v>
      </c>
      <c r="D111" s="73" t="s">
        <v>729</v>
      </c>
      <c r="E111" s="74">
        <v>3</v>
      </c>
      <c r="F111" s="76" t="s">
        <v>259</v>
      </c>
      <c r="G111" s="77" t="s">
        <v>728</v>
      </c>
      <c r="H111" t="str">
        <f>VLOOKUP(D111,'DETALLE PRECIO INGREDIENTES'!B:B,1,0)</f>
        <v>HUEVO EXTRA BLANCO</v>
      </c>
    </row>
    <row r="112" spans="2:8" ht="15.5" hidden="1" x14ac:dyDescent="0.35">
      <c r="B112" s="75" t="s">
        <v>199</v>
      </c>
      <c r="C112" s="75" t="s">
        <v>191</v>
      </c>
      <c r="D112" s="73" t="s">
        <v>397</v>
      </c>
      <c r="E112" s="74">
        <v>5.0000000000000001E-3</v>
      </c>
      <c r="F112" s="76" t="s">
        <v>237</v>
      </c>
      <c r="G112" s="77" t="s">
        <v>220</v>
      </c>
      <c r="H112" t="str">
        <f>VLOOKUP(D112,'DETALLE PRECIO INGREDIENTES'!B:B,1,0)</f>
        <v>MOSTAZA</v>
      </c>
    </row>
    <row r="113" spans="2:8" ht="15.5" hidden="1" x14ac:dyDescent="0.35">
      <c r="B113" s="75" t="s">
        <v>199</v>
      </c>
      <c r="C113" s="75" t="s">
        <v>191</v>
      </c>
      <c r="D113" s="73" t="s">
        <v>472</v>
      </c>
      <c r="E113" s="74">
        <v>5.0000000000000001E-3</v>
      </c>
      <c r="F113" s="76" t="s">
        <v>222</v>
      </c>
      <c r="G113" s="77" t="s">
        <v>220</v>
      </c>
      <c r="H113" t="str">
        <f>VLOOKUP(D113,'DETALLE PRECIO INGREDIENTES'!B:B,1,0)</f>
        <v>VINAGRE BLANCO</v>
      </c>
    </row>
    <row r="114" spans="2:8" ht="15.5" hidden="1" x14ac:dyDescent="0.35">
      <c r="B114" s="75" t="s">
        <v>199</v>
      </c>
      <c r="C114" s="75" t="s">
        <v>191</v>
      </c>
      <c r="D114" s="73" t="s">
        <v>228</v>
      </c>
      <c r="E114" s="74">
        <v>0.3</v>
      </c>
      <c r="F114" s="76" t="s">
        <v>222</v>
      </c>
      <c r="G114" s="77" t="s">
        <v>220</v>
      </c>
      <c r="H114" t="str">
        <f>VLOOKUP(D114,'DETALLE PRECIO INGREDIENTES'!B:B,1,0)</f>
        <v>ACEITE DE MARAVILLA</v>
      </c>
    </row>
    <row r="115" spans="2:8" ht="15.5" hidden="1" x14ac:dyDescent="0.35">
      <c r="B115" s="75" t="s">
        <v>199</v>
      </c>
      <c r="C115" s="75" t="s">
        <v>191</v>
      </c>
      <c r="D115" s="73" t="s">
        <v>680</v>
      </c>
      <c r="E115" s="74">
        <v>0.15</v>
      </c>
      <c r="F115" s="76" t="s">
        <v>237</v>
      </c>
      <c r="G115" s="77" t="s">
        <v>621</v>
      </c>
      <c r="H115" t="str">
        <f>VLOOKUP(D115,'DETALLE PRECIO INGREDIENTES'!B:B,1,0)</f>
        <v>LIMON DE JUGO</v>
      </c>
    </row>
    <row r="116" spans="2:8" ht="15.5" hidden="1" x14ac:dyDescent="0.35">
      <c r="B116" s="75" t="s">
        <v>199</v>
      </c>
      <c r="C116" s="75" t="s">
        <v>191</v>
      </c>
      <c r="D116" s="73" t="s">
        <v>256</v>
      </c>
      <c r="E116" s="74">
        <v>5.0000000000000001E-3</v>
      </c>
      <c r="F116" s="76" t="s">
        <v>237</v>
      </c>
      <c r="G116" s="77" t="s">
        <v>220</v>
      </c>
      <c r="H116" t="str">
        <f>VLOOKUP(D116,'DETALLE PRECIO INGREDIENTES'!B:B,1,0)</f>
        <v>ALCAPARRAS</v>
      </c>
    </row>
    <row r="117" spans="2:8" ht="15.5" hidden="1" x14ac:dyDescent="0.35">
      <c r="B117" s="75" t="s">
        <v>199</v>
      </c>
      <c r="C117" s="75" t="s">
        <v>191</v>
      </c>
      <c r="D117" s="73" t="s">
        <v>604</v>
      </c>
      <c r="E117" s="74">
        <v>5.0000000000000001E-3</v>
      </c>
      <c r="F117" s="76" t="s">
        <v>237</v>
      </c>
      <c r="G117" s="77" t="s">
        <v>601</v>
      </c>
      <c r="H117" t="str">
        <f>VLOOKUP(D117,'DETALLE PRECIO INGREDIENTES'!B:B,1,0)</f>
        <v>PEPINILLO DILL</v>
      </c>
    </row>
    <row r="118" spans="2:8" ht="15.5" hidden="1" x14ac:dyDescent="0.35">
      <c r="B118" s="75" t="s">
        <v>199</v>
      </c>
      <c r="C118" s="75" t="s">
        <v>191</v>
      </c>
      <c r="D118" s="73" t="s">
        <v>644</v>
      </c>
      <c r="E118" s="74">
        <v>0.01</v>
      </c>
      <c r="F118" s="76" t="s">
        <v>237</v>
      </c>
      <c r="G118" s="77" t="s">
        <v>621</v>
      </c>
      <c r="H118" t="str">
        <f>VLOOKUP(D118,'DETALLE PRECIO INGREDIENTES'!B:B,1,0)</f>
        <v>CEBOLLA BLANCA</v>
      </c>
    </row>
    <row r="119" spans="2:8" ht="15.5" hidden="1" x14ac:dyDescent="0.35">
      <c r="B119" s="75" t="s">
        <v>199</v>
      </c>
      <c r="C119" s="75" t="s">
        <v>191</v>
      </c>
      <c r="D119" s="73" t="s">
        <v>698</v>
      </c>
      <c r="E119" s="74">
        <v>5.0000000000000001E-3</v>
      </c>
      <c r="F119" s="76" t="s">
        <v>237</v>
      </c>
      <c r="G119" s="77" t="s">
        <v>621</v>
      </c>
      <c r="H119" t="str">
        <f>VLOOKUP(D119,'DETALLE PRECIO INGREDIENTES'!B:B,1,0)</f>
        <v>PEREJIL</v>
      </c>
    </row>
    <row r="120" spans="2:8" ht="15.5" hidden="1" x14ac:dyDescent="0.35">
      <c r="B120" s="75" t="s">
        <v>199</v>
      </c>
      <c r="C120" s="75" t="s">
        <v>191</v>
      </c>
      <c r="D120" s="73" t="s">
        <v>699</v>
      </c>
      <c r="E120" s="74">
        <v>2E-3</v>
      </c>
      <c r="F120" s="76" t="s">
        <v>237</v>
      </c>
      <c r="G120" s="77" t="s">
        <v>621</v>
      </c>
      <c r="H120" t="str">
        <f>VLOOKUP(D120,'DETALLE PRECIO INGREDIENTES'!B:B,1,0)</f>
        <v>PEREJIL CRESPO</v>
      </c>
    </row>
    <row r="121" spans="2:8" ht="15.5" hidden="1" x14ac:dyDescent="0.35">
      <c r="B121" s="75" t="s">
        <v>199</v>
      </c>
      <c r="C121" s="75" t="s">
        <v>191</v>
      </c>
      <c r="D121" s="73" t="s">
        <v>666</v>
      </c>
      <c r="E121" s="74">
        <v>1E-3</v>
      </c>
      <c r="F121" s="76" t="s">
        <v>237</v>
      </c>
      <c r="G121" s="77" t="s">
        <v>621</v>
      </c>
      <c r="H121" t="str">
        <f>VLOOKUP(D121,'DETALLE PRECIO INGREDIENTES'!B:B,1,0)</f>
        <v>ESTRAGON FRESCO</v>
      </c>
    </row>
    <row r="122" spans="2:8" ht="15.5" hidden="1" x14ac:dyDescent="0.35">
      <c r="B122" s="75" t="s">
        <v>199</v>
      </c>
      <c r="C122" s="75" t="s">
        <v>191</v>
      </c>
      <c r="D122" s="73" t="s">
        <v>369</v>
      </c>
      <c r="E122" s="74">
        <v>1.4999999999999999E-2</v>
      </c>
      <c r="F122" s="76" t="s">
        <v>237</v>
      </c>
      <c r="G122" s="77" t="s">
        <v>220</v>
      </c>
      <c r="H122" t="str">
        <f>VLOOKUP(D122,'DETALLE PRECIO INGREDIENTES'!B:B,1,0)</f>
        <v>KETCHUP HELLMANS</v>
      </c>
    </row>
    <row r="123" spans="2:8" ht="15.5" hidden="1" x14ac:dyDescent="0.35">
      <c r="B123" s="75" t="s">
        <v>199</v>
      </c>
      <c r="C123" s="75" t="s">
        <v>191</v>
      </c>
      <c r="D123" s="73" t="s">
        <v>779</v>
      </c>
      <c r="E123" s="74">
        <v>2E-3</v>
      </c>
      <c r="F123" s="76" t="s">
        <v>259</v>
      </c>
      <c r="G123" s="77" t="s">
        <v>776</v>
      </c>
      <c r="H123" t="str">
        <f>VLOOKUP(D123,'DETALLE PRECIO INGREDIENTES'!B:B,1,0)</f>
        <v>COÑAC TRES PALOS</v>
      </c>
    </row>
    <row r="124" spans="2:8" ht="15.5" hidden="1" x14ac:dyDescent="0.35">
      <c r="B124" s="75" t="s">
        <v>199</v>
      </c>
      <c r="C124" s="75" t="s">
        <v>191</v>
      </c>
      <c r="D124" s="73" t="s">
        <v>451</v>
      </c>
      <c r="E124" s="74">
        <v>0.01</v>
      </c>
      <c r="F124" s="76" t="s">
        <v>222</v>
      </c>
      <c r="G124" s="77" t="s">
        <v>220</v>
      </c>
      <c r="H124" t="str">
        <f>VLOOKUP(D124,'DETALLE PRECIO INGREDIENTES'!B:B,1,0)</f>
        <v>SALSA INGLESA</v>
      </c>
    </row>
    <row r="125" spans="2:8" ht="15.5" hidden="1" x14ac:dyDescent="0.35">
      <c r="B125" s="75" t="s">
        <v>199</v>
      </c>
      <c r="C125" s="75" t="s">
        <v>191</v>
      </c>
      <c r="D125" s="73" t="s">
        <v>252</v>
      </c>
      <c r="E125" s="74">
        <v>4.0000000000000001E-3</v>
      </c>
      <c r="F125" s="76" t="s">
        <v>222</v>
      </c>
      <c r="G125" s="77" t="s">
        <v>220</v>
      </c>
      <c r="H125" t="str">
        <f>VLOOKUP(D125,'DETALLE PRECIO INGREDIENTES'!B:B,1,0)</f>
        <v>AJI TABASCO ROJO</v>
      </c>
    </row>
    <row r="126" spans="2:8" ht="15.5" hidden="1" x14ac:dyDescent="0.35">
      <c r="B126" s="75" t="s">
        <v>199</v>
      </c>
      <c r="C126" s="75" t="s">
        <v>191</v>
      </c>
      <c r="D126" s="73" t="s">
        <v>748</v>
      </c>
      <c r="E126" s="74">
        <v>1.6E-2</v>
      </c>
      <c r="F126" s="76" t="s">
        <v>222</v>
      </c>
      <c r="G126" s="77" t="s">
        <v>736</v>
      </c>
      <c r="H126" t="str">
        <f>VLOOKUP(D126,'DETALLE PRECIO INGREDIENTES'!B:B,1,0)</f>
        <v>LECHE ENTERA</v>
      </c>
    </row>
    <row r="127" spans="2:8" ht="15.5" hidden="1" x14ac:dyDescent="0.35">
      <c r="B127" s="75" t="s">
        <v>199</v>
      </c>
      <c r="C127" s="75" t="s">
        <v>191</v>
      </c>
      <c r="D127" s="73" t="s">
        <v>230</v>
      </c>
      <c r="E127" s="74">
        <v>0.02</v>
      </c>
      <c r="F127" s="76" t="s">
        <v>222</v>
      </c>
      <c r="G127" s="77" t="s">
        <v>220</v>
      </c>
      <c r="H127" t="str">
        <f>VLOOKUP(D127,'DETALLE PRECIO INGREDIENTES'!B:B,1,0)</f>
        <v>ACEITE DE OLIVA</v>
      </c>
    </row>
    <row r="128" spans="2:8" ht="15.5" hidden="1" x14ac:dyDescent="0.35">
      <c r="B128" s="75" t="s">
        <v>199</v>
      </c>
      <c r="C128" s="75" t="s">
        <v>191</v>
      </c>
      <c r="D128" s="73" t="s">
        <v>628</v>
      </c>
      <c r="E128" s="74">
        <v>0.1</v>
      </c>
      <c r="F128" s="76" t="s">
        <v>259</v>
      </c>
      <c r="G128" s="77" t="s">
        <v>621</v>
      </c>
      <c r="H128" t="str">
        <f>VLOOKUP(D128,'DETALLE PRECIO INGREDIENTES'!B:B,1,0)</f>
        <v>AJO CABEZA</v>
      </c>
    </row>
    <row r="129" spans="2:8" ht="15.5" hidden="1" x14ac:dyDescent="0.35">
      <c r="B129" s="75" t="s">
        <v>199</v>
      </c>
      <c r="C129" s="75" t="s">
        <v>191</v>
      </c>
      <c r="D129" s="73" t="s">
        <v>750</v>
      </c>
      <c r="E129" s="74">
        <v>0.1</v>
      </c>
      <c r="F129" s="76" t="s">
        <v>237</v>
      </c>
      <c r="G129" s="77" t="s">
        <v>736</v>
      </c>
      <c r="H129" t="str">
        <f>VLOOKUP(D129,'DETALLE PRECIO INGREDIENTES'!B:B,1,0)</f>
        <v>MANTEQUILLA CON SAL</v>
      </c>
    </row>
    <row r="130" spans="2:8" ht="15.5" hidden="1" x14ac:dyDescent="0.35">
      <c r="B130" s="75" t="s">
        <v>199</v>
      </c>
      <c r="C130" s="75" t="s">
        <v>191</v>
      </c>
      <c r="D130" s="73" t="s">
        <v>878</v>
      </c>
      <c r="E130" s="74">
        <v>0.02</v>
      </c>
      <c r="F130" s="76" t="s">
        <v>222</v>
      </c>
      <c r="G130" s="77" t="s">
        <v>876</v>
      </c>
      <c r="H130" t="str">
        <f>VLOOKUP(D130,'DETALLE PRECIO INGREDIENTES'!B:B,1,0)</f>
        <v>VINO BLANCO TETRA PACK</v>
      </c>
    </row>
    <row r="131" spans="2:8" ht="15.5" hidden="1" x14ac:dyDescent="0.35">
      <c r="B131" s="75" t="s">
        <v>199</v>
      </c>
      <c r="C131" s="75" t="s">
        <v>191</v>
      </c>
      <c r="D131" s="73" t="s">
        <v>472</v>
      </c>
      <c r="E131" s="74">
        <v>0.02</v>
      </c>
      <c r="F131" s="76" t="s">
        <v>222</v>
      </c>
      <c r="G131" s="77" t="s">
        <v>220</v>
      </c>
      <c r="H131" t="str">
        <f>VLOOKUP(D131,'DETALLE PRECIO INGREDIENTES'!B:B,1,0)</f>
        <v>VINAGRE BLANCO</v>
      </c>
    </row>
    <row r="132" spans="2:8" ht="15.5" hidden="1" x14ac:dyDescent="0.35">
      <c r="B132" s="75" t="s">
        <v>199</v>
      </c>
      <c r="C132" s="75" t="s">
        <v>191</v>
      </c>
      <c r="D132" s="73" t="s">
        <v>649</v>
      </c>
      <c r="E132" s="74">
        <v>0.33</v>
      </c>
      <c r="F132" s="76" t="s">
        <v>259</v>
      </c>
      <c r="G132" s="77" t="s">
        <v>621</v>
      </c>
      <c r="H132" t="str">
        <f>VLOOKUP(D132,'DETALLE PRECIO INGREDIENTES'!B:B,1,0)</f>
        <v>CHALOTA</v>
      </c>
    </row>
    <row r="133" spans="2:8" ht="15.5" hidden="1" x14ac:dyDescent="0.35">
      <c r="B133" s="75" t="s">
        <v>199</v>
      </c>
      <c r="C133" s="75" t="s">
        <v>191</v>
      </c>
      <c r="D133" s="73" t="s">
        <v>330</v>
      </c>
      <c r="E133" s="74">
        <v>5.0000000000000001E-3</v>
      </c>
      <c r="F133" s="76" t="s">
        <v>237</v>
      </c>
      <c r="G133" s="77" t="s">
        <v>220</v>
      </c>
      <c r="H133" t="str">
        <f>VLOOKUP(D133,'DETALLE PRECIO INGREDIENTES'!B:B,1,0)</f>
        <v>ESTRAGON SECO</v>
      </c>
    </row>
    <row r="134" spans="2:8" ht="15.5" hidden="1" x14ac:dyDescent="0.35">
      <c r="B134" s="75" t="s">
        <v>199</v>
      </c>
      <c r="C134" s="75" t="s">
        <v>191</v>
      </c>
      <c r="D134" s="73" t="s">
        <v>699</v>
      </c>
      <c r="E134" s="74">
        <v>5.0000000000000001E-3</v>
      </c>
      <c r="F134" s="76" t="s">
        <v>237</v>
      </c>
      <c r="G134" s="77" t="s">
        <v>621</v>
      </c>
      <c r="H134" t="str">
        <f>VLOOKUP(D134,'DETALLE PRECIO INGREDIENTES'!B:B,1,0)</f>
        <v>PEREJIL CRESPO</v>
      </c>
    </row>
    <row r="135" spans="2:8" ht="15.5" hidden="1" x14ac:dyDescent="0.35">
      <c r="B135" s="75" t="s">
        <v>199</v>
      </c>
      <c r="C135" s="75" t="s">
        <v>191</v>
      </c>
      <c r="D135" s="73" t="s">
        <v>739</v>
      </c>
      <c r="E135" s="74">
        <v>0.05</v>
      </c>
      <c r="F135" s="76" t="s">
        <v>222</v>
      </c>
      <c r="G135" s="77" t="s">
        <v>736</v>
      </c>
      <c r="H135" t="str">
        <f>VLOOKUP(D135,'DETALLE PRECIO INGREDIENTES'!B:B,1,0)</f>
        <v>CREMA DE LECHE</v>
      </c>
    </row>
    <row r="136" spans="2:8" ht="15.5" hidden="1" x14ac:dyDescent="0.35">
      <c r="B136" s="75" t="s">
        <v>199</v>
      </c>
      <c r="C136" s="75" t="s">
        <v>191</v>
      </c>
      <c r="D136" s="73" t="s">
        <v>445</v>
      </c>
      <c r="E136" s="74">
        <v>0.06</v>
      </c>
      <c r="F136" s="76" t="s">
        <v>237</v>
      </c>
      <c r="G136" s="77" t="s">
        <v>220</v>
      </c>
      <c r="H136" t="str">
        <f>VLOOKUP(D136,'DETALLE PRECIO INGREDIENTES'!B:B,1,0)</f>
        <v>SAL DE MESA LOBOS</v>
      </c>
    </row>
    <row r="137" spans="2:8" ht="15.5" hidden="1" x14ac:dyDescent="0.35">
      <c r="B137" s="75" t="s">
        <v>199</v>
      </c>
      <c r="C137" s="75" t="s">
        <v>191</v>
      </c>
      <c r="D137" s="73" t="s">
        <v>428</v>
      </c>
      <c r="E137" s="74">
        <v>0.01</v>
      </c>
      <c r="F137" s="76" t="s">
        <v>237</v>
      </c>
      <c r="G137" s="77" t="s">
        <v>220</v>
      </c>
      <c r="H137" t="str">
        <f>VLOOKUP(D137,'DETALLE PRECIO INGREDIENTES'!B:B,1,0)</f>
        <v>PIMIENTA NEGRA MOLIDA</v>
      </c>
    </row>
    <row r="138" spans="2:8" ht="15.5" hidden="1" x14ac:dyDescent="0.35">
      <c r="B138" s="75" t="s">
        <v>199</v>
      </c>
      <c r="C138" s="75" t="s">
        <v>191</v>
      </c>
      <c r="D138" s="73" t="s">
        <v>720</v>
      </c>
      <c r="E138" s="74">
        <v>0.1</v>
      </c>
      <c r="F138" s="76" t="s">
        <v>237</v>
      </c>
      <c r="G138" s="77" t="s">
        <v>621</v>
      </c>
      <c r="H138" t="str">
        <f>VLOOKUP(D138,'DETALLE PRECIO INGREDIENTES'!B:B,1,0)</f>
        <v>ZANAHORIA</v>
      </c>
    </row>
    <row r="139" spans="2:8" ht="15.5" hidden="1" x14ac:dyDescent="0.35">
      <c r="B139" s="75" t="s">
        <v>199</v>
      </c>
      <c r="C139" s="75" t="s">
        <v>191</v>
      </c>
      <c r="D139" s="73" t="s">
        <v>633</v>
      </c>
      <c r="E139" s="74">
        <v>0.1</v>
      </c>
      <c r="F139" s="76" t="s">
        <v>259</v>
      </c>
      <c r="G139" s="77" t="s">
        <v>621</v>
      </c>
      <c r="H139" t="str">
        <f>VLOOKUP(D139,'DETALLE PRECIO INGREDIENTES'!B:B,1,0)</f>
        <v>APIO MATA</v>
      </c>
    </row>
    <row r="140" spans="2:8" ht="15.5" hidden="1" x14ac:dyDescent="0.35">
      <c r="B140" s="75" t="s">
        <v>199</v>
      </c>
      <c r="C140" s="75" t="s">
        <v>190</v>
      </c>
      <c r="D140" s="73" t="s">
        <v>750</v>
      </c>
      <c r="E140" s="74">
        <v>3.5000000000000003E-2</v>
      </c>
      <c r="F140" s="76" t="s">
        <v>237</v>
      </c>
      <c r="G140" s="77" t="s">
        <v>736</v>
      </c>
      <c r="H140" t="str">
        <f>VLOOKUP(D140,'DETALLE PRECIO INGREDIENTES'!B:B,1,0)</f>
        <v>MANTEQUILLA CON SAL</v>
      </c>
    </row>
    <row r="141" spans="2:8" ht="15.5" hidden="1" x14ac:dyDescent="0.35">
      <c r="B141" s="75" t="s">
        <v>199</v>
      </c>
      <c r="C141" s="75" t="s">
        <v>190</v>
      </c>
      <c r="D141" s="73" t="s">
        <v>354</v>
      </c>
      <c r="E141" s="74">
        <v>0.03</v>
      </c>
      <c r="F141" s="76" t="s">
        <v>237</v>
      </c>
      <c r="G141" s="77" t="s">
        <v>220</v>
      </c>
      <c r="H141" t="str">
        <f>VLOOKUP(D141,'DETALLE PRECIO INGREDIENTES'!B:B,1,0)</f>
        <v>HARINA BIZCOCHERA</v>
      </c>
    </row>
    <row r="142" spans="2:8" ht="15.5" hidden="1" x14ac:dyDescent="0.35">
      <c r="B142" s="75" t="s">
        <v>199</v>
      </c>
      <c r="C142" s="75" t="s">
        <v>190</v>
      </c>
      <c r="D142" s="73" t="s">
        <v>748</v>
      </c>
      <c r="E142" s="74">
        <v>0.25</v>
      </c>
      <c r="F142" s="76" t="s">
        <v>222</v>
      </c>
      <c r="G142" s="77" t="s">
        <v>736</v>
      </c>
      <c r="H142" t="str">
        <f>VLOOKUP(D142,'DETALLE PRECIO INGREDIENTES'!B:B,1,0)</f>
        <v>LECHE ENTERA</v>
      </c>
    </row>
    <row r="143" spans="2:8" ht="15.5" hidden="1" x14ac:dyDescent="0.35">
      <c r="B143" s="75" t="s">
        <v>199</v>
      </c>
      <c r="C143" s="75" t="s">
        <v>190</v>
      </c>
      <c r="D143" s="73" t="s">
        <v>404</v>
      </c>
      <c r="E143" s="74">
        <v>1E-3</v>
      </c>
      <c r="F143" s="76" t="s">
        <v>237</v>
      </c>
      <c r="G143" s="77" t="s">
        <v>220</v>
      </c>
      <c r="H143" t="str">
        <f>VLOOKUP(D143,'DETALLE PRECIO INGREDIENTES'!B:B,1,0)</f>
        <v>NUEZ MOSCADA ENTERA</v>
      </c>
    </row>
    <row r="144" spans="2:8" ht="15.5" hidden="1" x14ac:dyDescent="0.35">
      <c r="B144" s="75" t="s">
        <v>199</v>
      </c>
      <c r="C144" s="75" t="s">
        <v>190</v>
      </c>
      <c r="D144" s="73" t="s">
        <v>769</v>
      </c>
      <c r="E144" s="74">
        <v>0.02</v>
      </c>
      <c r="F144" s="76" t="s">
        <v>237</v>
      </c>
      <c r="G144" s="77" t="s">
        <v>736</v>
      </c>
      <c r="H144" t="str">
        <f>VLOOKUP(D144,'DETALLE PRECIO INGREDIENTES'!B:B,1,0)</f>
        <v>QUESO PARMESANO</v>
      </c>
    </row>
    <row r="145" spans="2:8" ht="15.5" hidden="1" x14ac:dyDescent="0.35">
      <c r="B145" s="75" t="s">
        <v>199</v>
      </c>
      <c r="C145" s="75" t="s">
        <v>190</v>
      </c>
      <c r="D145" s="73" t="s">
        <v>729</v>
      </c>
      <c r="E145" s="74">
        <v>0.5</v>
      </c>
      <c r="F145" s="76" t="s">
        <v>259</v>
      </c>
      <c r="G145" s="77" t="s">
        <v>728</v>
      </c>
      <c r="H145" t="str">
        <f>VLOOKUP(D145,'DETALLE PRECIO INGREDIENTES'!B:B,1,0)</f>
        <v>HUEVO EXTRA BLANCO</v>
      </c>
    </row>
    <row r="146" spans="2:8" ht="15.5" hidden="1" x14ac:dyDescent="0.35">
      <c r="B146" s="75" t="s">
        <v>199</v>
      </c>
      <c r="C146" s="75" t="s">
        <v>190</v>
      </c>
      <c r="D146" s="73" t="s">
        <v>758</v>
      </c>
      <c r="E146" s="74">
        <v>2.1999999999999999E-2</v>
      </c>
      <c r="F146" s="76" t="s">
        <v>237</v>
      </c>
      <c r="G146" s="77" t="s">
        <v>736</v>
      </c>
      <c r="H146" t="str">
        <f>VLOOKUP(D146,'DETALLE PRECIO INGREDIENTES'!B:B,1,0)</f>
        <v>QUESO CHEDDAR LAMINADO</v>
      </c>
    </row>
    <row r="147" spans="2:8" ht="15.5" hidden="1" x14ac:dyDescent="0.35">
      <c r="B147" s="75" t="s">
        <v>199</v>
      </c>
      <c r="C147" s="75" t="s">
        <v>190</v>
      </c>
      <c r="D147" s="73" t="s">
        <v>651</v>
      </c>
      <c r="E147" s="74">
        <v>1.4999999999999999E-2</v>
      </c>
      <c r="F147" s="76" t="s">
        <v>237</v>
      </c>
      <c r="G147" s="77" t="s">
        <v>621</v>
      </c>
      <c r="H147" t="str">
        <f>VLOOKUP(D147,'DETALLE PRECIO INGREDIENTES'!B:B,1,0)</f>
        <v>CHAMPIÑON PARIS</v>
      </c>
    </row>
    <row r="148" spans="2:8" ht="15.5" hidden="1" x14ac:dyDescent="0.35">
      <c r="B148" s="75" t="s">
        <v>199</v>
      </c>
      <c r="C148" s="75" t="s">
        <v>190</v>
      </c>
      <c r="D148" s="73" t="s">
        <v>649</v>
      </c>
      <c r="E148" s="74">
        <v>0.5</v>
      </c>
      <c r="F148" s="76" t="s">
        <v>259</v>
      </c>
      <c r="G148" s="77" t="s">
        <v>621</v>
      </c>
      <c r="H148" t="str">
        <f>VLOOKUP(D148,'DETALLE PRECIO INGREDIENTES'!B:B,1,0)</f>
        <v>CHALOTA</v>
      </c>
    </row>
    <row r="149" spans="2:8" ht="15.5" hidden="1" x14ac:dyDescent="0.35">
      <c r="B149" s="75" t="s">
        <v>199</v>
      </c>
      <c r="C149" s="75" t="s">
        <v>190</v>
      </c>
      <c r="D149" s="73" t="s">
        <v>878</v>
      </c>
      <c r="E149" s="74">
        <v>0.03</v>
      </c>
      <c r="F149" s="76" t="s">
        <v>222</v>
      </c>
      <c r="G149" s="77" t="s">
        <v>876</v>
      </c>
      <c r="H149" t="str">
        <f>VLOOKUP(D149,'DETALLE PRECIO INGREDIENTES'!B:B,1,0)</f>
        <v>VINO BLANCO TETRA PACK</v>
      </c>
    </row>
    <row r="150" spans="2:8" ht="15.5" hidden="1" x14ac:dyDescent="0.35">
      <c r="B150" s="75" t="s">
        <v>199</v>
      </c>
      <c r="C150" s="75" t="s">
        <v>190</v>
      </c>
      <c r="D150" s="73" t="s">
        <v>739</v>
      </c>
      <c r="E150" s="74">
        <v>2.5000000000000001E-2</v>
      </c>
      <c r="F150" s="76" t="s">
        <v>222</v>
      </c>
      <c r="G150" s="77" t="s">
        <v>736</v>
      </c>
      <c r="H150" t="str">
        <f>VLOOKUP(D150,'DETALLE PRECIO INGREDIENTES'!B:B,1,0)</f>
        <v>CREMA DE LECHE</v>
      </c>
    </row>
    <row r="151" spans="2:8" ht="15.5" hidden="1" x14ac:dyDescent="0.35">
      <c r="B151" s="75" t="s">
        <v>199</v>
      </c>
      <c r="C151" s="75" t="s">
        <v>190</v>
      </c>
      <c r="D151" s="73" t="s">
        <v>228</v>
      </c>
      <c r="E151" s="74">
        <v>0.01</v>
      </c>
      <c r="F151" s="76" t="s">
        <v>222</v>
      </c>
      <c r="G151" s="77" t="s">
        <v>220</v>
      </c>
      <c r="H151" t="str">
        <f>VLOOKUP(D151,'DETALLE PRECIO INGREDIENTES'!B:B,1,0)</f>
        <v>ACEITE DE MARAVILLA</v>
      </c>
    </row>
    <row r="152" spans="2:8" ht="15.5" hidden="1" x14ac:dyDescent="0.35">
      <c r="B152" s="75" t="s">
        <v>199</v>
      </c>
      <c r="C152" s="75" t="s">
        <v>190</v>
      </c>
      <c r="D152" s="73" t="s">
        <v>445</v>
      </c>
      <c r="E152" s="74">
        <v>0.05</v>
      </c>
      <c r="F152" s="76" t="s">
        <v>237</v>
      </c>
      <c r="G152" s="77" t="s">
        <v>220</v>
      </c>
      <c r="H152" t="str">
        <f>VLOOKUP(D152,'DETALLE PRECIO INGREDIENTES'!B:B,1,0)</f>
        <v>SAL DE MESA LOBOS</v>
      </c>
    </row>
    <row r="153" spans="2:8" ht="15.5" hidden="1" x14ac:dyDescent="0.35">
      <c r="B153" s="75" t="s">
        <v>199</v>
      </c>
      <c r="C153" s="75" t="s">
        <v>190</v>
      </c>
      <c r="D153" s="73" t="s">
        <v>428</v>
      </c>
      <c r="E153" s="74">
        <v>5.0000000000000001E-3</v>
      </c>
      <c r="F153" s="76" t="s">
        <v>237</v>
      </c>
      <c r="G153" s="77" t="s">
        <v>220</v>
      </c>
      <c r="H153" t="str">
        <f>VLOOKUP(D153,'DETALLE PRECIO INGREDIENTES'!B:B,1,0)</f>
        <v>PIMIENTA NEGRA MOLIDA</v>
      </c>
    </row>
    <row r="154" spans="2:8" ht="15.5" hidden="1" x14ac:dyDescent="0.35">
      <c r="B154" s="75" t="s">
        <v>199</v>
      </c>
      <c r="C154" s="75" t="s">
        <v>190</v>
      </c>
      <c r="D154" s="73" t="s">
        <v>841</v>
      </c>
      <c r="E154" s="74">
        <v>0.06</v>
      </c>
      <c r="F154" s="76" t="s">
        <v>237</v>
      </c>
      <c r="G154" s="77" t="s">
        <v>839</v>
      </c>
      <c r="H154" t="str">
        <f>VLOOKUP(D154,'DETALLE PRECIO INGREDIENTES'!B:B,1,0)</f>
        <v>POLLO HUESOS</v>
      </c>
    </row>
    <row r="155" spans="2:8" ht="15.5" hidden="1" x14ac:dyDescent="0.35">
      <c r="B155" s="75" t="s">
        <v>199</v>
      </c>
      <c r="C155" s="75" t="s">
        <v>190</v>
      </c>
      <c r="D155" s="73" t="s">
        <v>644</v>
      </c>
      <c r="E155" s="74">
        <v>0.03</v>
      </c>
      <c r="F155" s="76" t="s">
        <v>237</v>
      </c>
      <c r="G155" s="77" t="s">
        <v>621</v>
      </c>
      <c r="H155" t="str">
        <f>VLOOKUP(D155,'DETALLE PRECIO INGREDIENTES'!B:B,1,0)</f>
        <v>CEBOLLA BLANCA</v>
      </c>
    </row>
    <row r="156" spans="2:8" ht="15.5" hidden="1" x14ac:dyDescent="0.35">
      <c r="B156" s="75" t="s">
        <v>199</v>
      </c>
      <c r="C156" s="75" t="s">
        <v>190</v>
      </c>
      <c r="D156" s="73" t="s">
        <v>720</v>
      </c>
      <c r="E156" s="74">
        <v>0.03</v>
      </c>
      <c r="F156" s="76" t="s">
        <v>237</v>
      </c>
      <c r="G156" s="77" t="s">
        <v>621</v>
      </c>
      <c r="H156" t="str">
        <f>VLOOKUP(D156,'DETALLE PRECIO INGREDIENTES'!B:B,1,0)</f>
        <v>ZANAHORIA</v>
      </c>
    </row>
    <row r="157" spans="2:8" ht="15.5" hidden="1" x14ac:dyDescent="0.35">
      <c r="B157" s="75" t="s">
        <v>199</v>
      </c>
      <c r="C157" s="75" t="s">
        <v>190</v>
      </c>
      <c r="D157" s="73" t="s">
        <v>707</v>
      </c>
      <c r="E157" s="74">
        <v>0.06</v>
      </c>
      <c r="F157" s="76" t="s">
        <v>259</v>
      </c>
      <c r="G157" s="77" t="s">
        <v>621</v>
      </c>
      <c r="H157" t="str">
        <f>VLOOKUP(D157,'DETALLE PRECIO INGREDIENTES'!B:B,1,0)</f>
        <v>PUERROS</v>
      </c>
    </row>
    <row r="158" spans="2:8" ht="15.5" x14ac:dyDescent="0.35">
      <c r="B158" s="75" t="s">
        <v>199</v>
      </c>
      <c r="C158" s="75" t="s">
        <v>190</v>
      </c>
      <c r="D158" s="73" t="s">
        <v>903</v>
      </c>
      <c r="E158" s="74">
        <v>0.06</v>
      </c>
      <c r="F158" s="76" t="s">
        <v>259</v>
      </c>
      <c r="G158" s="77" t="s">
        <v>621</v>
      </c>
      <c r="H158" t="e">
        <f>VLOOKUP(D158,'DETALLE PRECIO INGREDIENTES'!B:B,1,0)</f>
        <v>#N/A</v>
      </c>
    </row>
    <row r="159" spans="2:8" ht="15.5" hidden="1" x14ac:dyDescent="0.35">
      <c r="B159" s="75" t="s">
        <v>199</v>
      </c>
      <c r="C159" s="75" t="s">
        <v>190</v>
      </c>
      <c r="D159" s="73" t="s">
        <v>427</v>
      </c>
      <c r="E159" s="74">
        <v>1E-3</v>
      </c>
      <c r="F159" s="76" t="s">
        <v>237</v>
      </c>
      <c r="G159" s="77" t="s">
        <v>220</v>
      </c>
      <c r="H159" t="str">
        <f>VLOOKUP(D159,'DETALLE PRECIO INGREDIENTES'!B:B,1,0)</f>
        <v>PIMIENTA NEGRA ENTERA</v>
      </c>
    </row>
    <row r="160" spans="2:8" ht="15.5" hidden="1" x14ac:dyDescent="0.35">
      <c r="B160" s="75" t="s">
        <v>199</v>
      </c>
      <c r="C160" s="75" t="s">
        <v>190</v>
      </c>
      <c r="D160" s="73" t="s">
        <v>370</v>
      </c>
      <c r="E160" s="74">
        <v>1E-3</v>
      </c>
      <c r="F160" s="76" t="s">
        <v>237</v>
      </c>
      <c r="G160" s="77" t="s">
        <v>220</v>
      </c>
      <c r="H160" t="str">
        <f>VLOOKUP(D160,'DETALLE PRECIO INGREDIENTES'!B:B,1,0)</f>
        <v>LAUREL</v>
      </c>
    </row>
    <row r="161" spans="2:8" ht="15.5" hidden="1" x14ac:dyDescent="0.35">
      <c r="B161" s="75" t="s">
        <v>199</v>
      </c>
      <c r="C161" s="75" t="s">
        <v>190</v>
      </c>
      <c r="D161" s="73" t="s">
        <v>718</v>
      </c>
      <c r="E161" s="74">
        <v>1E-3</v>
      </c>
      <c r="F161" s="76" t="s">
        <v>237</v>
      </c>
      <c r="G161" s="77" t="s">
        <v>621</v>
      </c>
      <c r="H161" t="str">
        <f>VLOOKUP(D161,'DETALLE PRECIO INGREDIENTES'!B:B,1,0)</f>
        <v>TOMILLO FRESCO</v>
      </c>
    </row>
    <row r="162" spans="2:8" ht="15.5" hidden="1" x14ac:dyDescent="0.35">
      <c r="B162" s="75" t="s">
        <v>199</v>
      </c>
      <c r="C162" s="75" t="s">
        <v>190</v>
      </c>
      <c r="D162" s="73" t="s">
        <v>628</v>
      </c>
      <c r="E162" s="74">
        <v>0.06</v>
      </c>
      <c r="F162" s="76" t="s">
        <v>259</v>
      </c>
      <c r="G162" s="77" t="s">
        <v>621</v>
      </c>
      <c r="H162" t="str">
        <f>VLOOKUP(D162,'DETALLE PRECIO INGREDIENTES'!B:B,1,0)</f>
        <v>AJO CABEZA</v>
      </c>
    </row>
    <row r="163" spans="2:8" ht="15.5" hidden="1" x14ac:dyDescent="0.35">
      <c r="B163" s="75" t="s">
        <v>199</v>
      </c>
      <c r="C163" s="75" t="s">
        <v>189</v>
      </c>
      <c r="D163" s="73" t="s">
        <v>717</v>
      </c>
      <c r="E163" s="74">
        <v>0.13</v>
      </c>
      <c r="F163" s="76" t="s">
        <v>237</v>
      </c>
      <c r="G163" s="77" t="s">
        <v>621</v>
      </c>
      <c r="H163" t="str">
        <f>VLOOKUP(D163,'DETALLE PRECIO INGREDIENTES'!B:B,1,0)</f>
        <v>TOMATE PELADO EN LATA</v>
      </c>
    </row>
    <row r="164" spans="2:8" ht="15.5" hidden="1" x14ac:dyDescent="0.35">
      <c r="B164" s="75" t="s">
        <v>199</v>
      </c>
      <c r="C164" s="75" t="s">
        <v>189</v>
      </c>
      <c r="D164" s="73" t="s">
        <v>628</v>
      </c>
      <c r="E164" s="74">
        <v>0.3</v>
      </c>
      <c r="F164" s="76" t="s">
        <v>259</v>
      </c>
      <c r="G164" s="77" t="s">
        <v>621</v>
      </c>
      <c r="H164" t="str">
        <f>VLOOKUP(D164,'DETALLE PRECIO INGREDIENTES'!B:B,1,0)</f>
        <v>AJO CABEZA</v>
      </c>
    </row>
    <row r="165" spans="2:8" ht="15.5" hidden="1" x14ac:dyDescent="0.35">
      <c r="B165" s="75" t="s">
        <v>199</v>
      </c>
      <c r="C165" s="75" t="s">
        <v>189</v>
      </c>
      <c r="D165" s="73" t="s">
        <v>230</v>
      </c>
      <c r="E165" s="74">
        <v>0.01</v>
      </c>
      <c r="F165" s="76" t="s">
        <v>222</v>
      </c>
      <c r="G165" s="77" t="s">
        <v>220</v>
      </c>
      <c r="H165" t="str">
        <f>VLOOKUP(D165,'DETALLE PRECIO INGREDIENTES'!B:B,1,0)</f>
        <v>ACEITE DE OLIVA</v>
      </c>
    </row>
    <row r="166" spans="2:8" ht="15.5" hidden="1" x14ac:dyDescent="0.35">
      <c r="B166" s="75" t="s">
        <v>199</v>
      </c>
      <c r="C166" s="75" t="s">
        <v>189</v>
      </c>
      <c r="D166" s="73" t="s">
        <v>629</v>
      </c>
      <c r="E166" s="74">
        <v>8.0000000000000002E-3</v>
      </c>
      <c r="F166" s="76" t="s">
        <v>237</v>
      </c>
      <c r="G166" s="77" t="s">
        <v>621</v>
      </c>
      <c r="H166" t="str">
        <f>VLOOKUP(D166,'DETALLE PRECIO INGREDIENTES'!B:B,1,0)</f>
        <v>ALBAHACA FRESCA</v>
      </c>
    </row>
    <row r="167" spans="2:8" ht="15.5" hidden="1" x14ac:dyDescent="0.35">
      <c r="B167" s="75" t="s">
        <v>199</v>
      </c>
      <c r="C167" s="75" t="s">
        <v>189</v>
      </c>
      <c r="D167" s="73" t="s">
        <v>370</v>
      </c>
      <c r="E167" s="74">
        <v>2E-3</v>
      </c>
      <c r="F167" s="76" t="s">
        <v>237</v>
      </c>
      <c r="G167" s="77" t="s">
        <v>220</v>
      </c>
      <c r="H167" t="str">
        <f>VLOOKUP(D167,'DETALLE PRECIO INGREDIENTES'!B:B,1,0)</f>
        <v>LAUREL</v>
      </c>
    </row>
    <row r="168" spans="2:8" ht="15.5" hidden="1" x14ac:dyDescent="0.35">
      <c r="B168" s="75" t="s">
        <v>199</v>
      </c>
      <c r="C168" s="75" t="s">
        <v>189</v>
      </c>
      <c r="D168" s="73" t="s">
        <v>750</v>
      </c>
      <c r="E168" s="74">
        <v>3.5000000000000003E-2</v>
      </c>
      <c r="F168" s="76" t="s">
        <v>237</v>
      </c>
      <c r="G168" s="77" t="s">
        <v>736</v>
      </c>
      <c r="H168" t="str">
        <f>VLOOKUP(D168,'DETALLE PRECIO INGREDIENTES'!B:B,1,0)</f>
        <v>MANTEQUILLA CON SAL</v>
      </c>
    </row>
    <row r="169" spans="2:8" ht="15.5" hidden="1" x14ac:dyDescent="0.35">
      <c r="B169" s="75" t="s">
        <v>199</v>
      </c>
      <c r="C169" s="75" t="s">
        <v>189</v>
      </c>
      <c r="D169" s="73" t="s">
        <v>644</v>
      </c>
      <c r="E169" s="74">
        <v>0.06</v>
      </c>
      <c r="F169" s="76" t="s">
        <v>237</v>
      </c>
      <c r="G169" s="77" t="s">
        <v>621</v>
      </c>
      <c r="H169" t="str">
        <f>VLOOKUP(D169,'DETALLE PRECIO INGREDIENTES'!B:B,1,0)</f>
        <v>CEBOLLA BLANCA</v>
      </c>
    </row>
    <row r="170" spans="2:8" ht="15.5" hidden="1" x14ac:dyDescent="0.35">
      <c r="B170" s="75" t="s">
        <v>199</v>
      </c>
      <c r="C170" s="75" t="s">
        <v>189</v>
      </c>
      <c r="D170" s="73" t="s">
        <v>720</v>
      </c>
      <c r="E170" s="74">
        <v>0.06</v>
      </c>
      <c r="F170" s="76" t="s">
        <v>237</v>
      </c>
      <c r="G170" s="77" t="s">
        <v>621</v>
      </c>
      <c r="H170" t="str">
        <f>VLOOKUP(D170,'DETALLE PRECIO INGREDIENTES'!B:B,1,0)</f>
        <v>ZANAHORIA</v>
      </c>
    </row>
    <row r="171" spans="2:8" ht="15.5" x14ac:dyDescent="0.35">
      <c r="B171" s="75" t="s">
        <v>199</v>
      </c>
      <c r="C171" s="75" t="s">
        <v>189</v>
      </c>
      <c r="D171" s="73" t="s">
        <v>903</v>
      </c>
      <c r="E171" s="74">
        <v>0.25</v>
      </c>
      <c r="F171" s="76" t="s">
        <v>259</v>
      </c>
      <c r="G171" s="77" t="s">
        <v>621</v>
      </c>
      <c r="H171" t="e">
        <f>VLOOKUP(D171,'DETALLE PRECIO INGREDIENTES'!B:B,1,0)</f>
        <v>#N/A</v>
      </c>
    </row>
    <row r="172" spans="2:8" ht="15.5" hidden="1" x14ac:dyDescent="0.35">
      <c r="B172" s="75" t="s">
        <v>199</v>
      </c>
      <c r="C172" s="75" t="s">
        <v>189</v>
      </c>
      <c r="D172" s="73" t="s">
        <v>528</v>
      </c>
      <c r="E172" s="74">
        <v>0.03</v>
      </c>
      <c r="F172" s="76" t="s">
        <v>237</v>
      </c>
      <c r="G172" s="77" t="s">
        <v>525</v>
      </c>
      <c r="H172" t="str">
        <f>VLOOKUP(D172,'DETALLE PRECIO INGREDIENTES'!B:B,1,0)</f>
        <v>CERDO CARNE MOLIDA</v>
      </c>
    </row>
    <row r="173" spans="2:8" ht="15.5" hidden="1" x14ac:dyDescent="0.35">
      <c r="B173" s="75" t="s">
        <v>199</v>
      </c>
      <c r="C173" s="75" t="s">
        <v>189</v>
      </c>
      <c r="D173" s="73" t="s">
        <v>859</v>
      </c>
      <c r="E173" s="74">
        <v>0.03</v>
      </c>
      <c r="F173" s="76" t="s">
        <v>237</v>
      </c>
      <c r="G173" s="77" t="s">
        <v>852</v>
      </c>
      <c r="H173" t="str">
        <f>VLOOKUP(D173,'DETALLE PRECIO INGREDIENTES'!B:B,1,0)</f>
        <v>VACUNO CARNE MOLIDA AL 10%</v>
      </c>
    </row>
    <row r="174" spans="2:8" ht="15.5" hidden="1" x14ac:dyDescent="0.35">
      <c r="B174" s="75" t="s">
        <v>199</v>
      </c>
      <c r="C174" s="75" t="s">
        <v>189</v>
      </c>
      <c r="D174" s="73" t="s">
        <v>882</v>
      </c>
      <c r="E174" s="74">
        <v>0.08</v>
      </c>
      <c r="F174" s="76" t="s">
        <v>222</v>
      </c>
      <c r="G174" s="77" t="s">
        <v>876</v>
      </c>
      <c r="H174" t="str">
        <f>VLOOKUP(D174,'DETALLE PRECIO INGREDIENTES'!B:B,1,0)</f>
        <v>VINO TINTO TETRA</v>
      </c>
    </row>
    <row r="175" spans="2:8" ht="15.5" hidden="1" x14ac:dyDescent="0.35">
      <c r="B175" s="75" t="s">
        <v>199</v>
      </c>
      <c r="C175" s="75" t="s">
        <v>189</v>
      </c>
      <c r="D175" s="73" t="s">
        <v>310</v>
      </c>
      <c r="E175" s="74">
        <v>4.4999999999999998E-2</v>
      </c>
      <c r="F175" s="76" t="s">
        <v>237</v>
      </c>
      <c r="G175" s="77" t="s">
        <v>220</v>
      </c>
      <c r="H175" t="str">
        <f>VLOOKUP(D175,'DETALLE PRECIO INGREDIENTES'!B:B,1,0)</f>
        <v>CONCENTRADO DE TOMATE</v>
      </c>
    </row>
    <row r="176" spans="2:8" ht="15.5" hidden="1" x14ac:dyDescent="0.35">
      <c r="B176" s="75" t="s">
        <v>199</v>
      </c>
      <c r="C176" s="75" t="s">
        <v>189</v>
      </c>
      <c r="D176" s="73" t="s">
        <v>423</v>
      </c>
      <c r="E176" s="74">
        <v>1E-3</v>
      </c>
      <c r="F176" s="76" t="s">
        <v>237</v>
      </c>
      <c r="G176" s="77" t="s">
        <v>220</v>
      </c>
      <c r="H176" t="str">
        <f>VLOOKUP(D176,'DETALLE PRECIO INGREDIENTES'!B:B,1,0)</f>
        <v>PEPERONCCINO O CHILE EN HOJUELAS</v>
      </c>
    </row>
    <row r="177" spans="2:8" ht="15.5" hidden="1" x14ac:dyDescent="0.35">
      <c r="B177" s="75" t="s">
        <v>199</v>
      </c>
      <c r="C177" s="75" t="s">
        <v>189</v>
      </c>
      <c r="D177" s="73" t="s">
        <v>864</v>
      </c>
      <c r="E177" s="74">
        <v>0.2</v>
      </c>
      <c r="F177" s="76" t="s">
        <v>237</v>
      </c>
      <c r="G177" s="77" t="s">
        <v>852</v>
      </c>
      <c r="H177" t="str">
        <f>VLOOKUP(D177,'DETALLE PRECIO INGREDIENTES'!B:B,1,0)</f>
        <v>VACUNO HUESOS</v>
      </c>
    </row>
    <row r="178" spans="2:8" ht="15.5" hidden="1" x14ac:dyDescent="0.35">
      <c r="B178" s="75" t="s">
        <v>199</v>
      </c>
      <c r="C178" s="75" t="s">
        <v>189</v>
      </c>
      <c r="D178" s="73" t="s">
        <v>546</v>
      </c>
      <c r="E178" s="74">
        <v>0.02</v>
      </c>
      <c r="F178" s="76" t="s">
        <v>237</v>
      </c>
      <c r="G178" s="77" t="s">
        <v>525</v>
      </c>
      <c r="H178" t="str">
        <f>VLOOKUP(D178,'DETALLE PRECIO INGREDIENTES'!B:B,1,0)</f>
        <v>TOCINO LAMINADO</v>
      </c>
    </row>
    <row r="179" spans="2:8" ht="15.5" hidden="1" x14ac:dyDescent="0.35">
      <c r="B179" s="75" t="s">
        <v>199</v>
      </c>
      <c r="C179" s="75" t="s">
        <v>189</v>
      </c>
      <c r="D179" s="73" t="s">
        <v>716</v>
      </c>
      <c r="E179" s="74">
        <v>0.06</v>
      </c>
      <c r="F179" s="76" t="s">
        <v>237</v>
      </c>
      <c r="G179" s="77" t="s">
        <v>621</v>
      </c>
      <c r="H179" t="str">
        <f>VLOOKUP(D179,'DETALLE PRECIO INGREDIENTES'!B:B,1,0)</f>
        <v>TOMATE LARGA VIDA</v>
      </c>
    </row>
    <row r="180" spans="2:8" ht="15.5" hidden="1" x14ac:dyDescent="0.35">
      <c r="B180" s="75" t="s">
        <v>199</v>
      </c>
      <c r="C180" s="75" t="s">
        <v>189</v>
      </c>
      <c r="D180" s="73" t="s">
        <v>651</v>
      </c>
      <c r="E180" s="74">
        <v>1.2E-2</v>
      </c>
      <c r="F180" s="76" t="s">
        <v>237</v>
      </c>
      <c r="G180" s="77" t="s">
        <v>621</v>
      </c>
      <c r="H180" t="str">
        <f>VLOOKUP(D180,'DETALLE PRECIO INGREDIENTES'!B:B,1,0)</f>
        <v>CHAMPIÑON PARIS</v>
      </c>
    </row>
    <row r="181" spans="2:8" ht="15.5" hidden="1" x14ac:dyDescent="0.35">
      <c r="B181" s="75" t="s">
        <v>199</v>
      </c>
      <c r="C181" s="75" t="s">
        <v>189</v>
      </c>
      <c r="D181" s="73" t="s">
        <v>427</v>
      </c>
      <c r="E181" s="74">
        <v>1E-3</v>
      </c>
      <c r="F181" s="76" t="s">
        <v>237</v>
      </c>
      <c r="G181" s="77" t="s">
        <v>220</v>
      </c>
      <c r="H181" t="str">
        <f>VLOOKUP(D181,'DETALLE PRECIO INGREDIENTES'!B:B,1,0)</f>
        <v>PIMIENTA NEGRA ENTERA</v>
      </c>
    </row>
    <row r="182" spans="2:8" ht="15.5" hidden="1" x14ac:dyDescent="0.35">
      <c r="B182" s="75" t="s">
        <v>199</v>
      </c>
      <c r="C182" s="75" t="s">
        <v>189</v>
      </c>
      <c r="D182" s="73" t="s">
        <v>707</v>
      </c>
      <c r="E182" s="74">
        <v>0.05</v>
      </c>
      <c r="F182" s="76" t="s">
        <v>259</v>
      </c>
      <c r="G182" s="77" t="s">
        <v>621</v>
      </c>
      <c r="H182" t="str">
        <f>VLOOKUP(D182,'DETALLE PRECIO INGREDIENTES'!B:B,1,0)</f>
        <v>PUERROS</v>
      </c>
    </row>
    <row r="183" spans="2:8" ht="15.5" hidden="1" x14ac:dyDescent="0.35">
      <c r="B183" s="75" t="s">
        <v>199</v>
      </c>
      <c r="C183" s="75" t="s">
        <v>189</v>
      </c>
      <c r="D183" s="73" t="s">
        <v>718</v>
      </c>
      <c r="E183" s="74">
        <v>1E-3</v>
      </c>
      <c r="F183" s="76" t="s">
        <v>237</v>
      </c>
      <c r="G183" s="77" t="s">
        <v>621</v>
      </c>
      <c r="H183" t="str">
        <f>VLOOKUP(D183,'DETALLE PRECIO INGREDIENTES'!B:B,1,0)</f>
        <v>TOMILLO FRESCO</v>
      </c>
    </row>
    <row r="184" spans="2:8" ht="15.5" hidden="1" x14ac:dyDescent="0.35">
      <c r="B184" s="75" t="s">
        <v>199</v>
      </c>
      <c r="C184" s="75" t="s">
        <v>189</v>
      </c>
      <c r="D184" s="73" t="s">
        <v>711</v>
      </c>
      <c r="E184" s="74">
        <v>1E-3</v>
      </c>
      <c r="F184" s="76" t="s">
        <v>237</v>
      </c>
      <c r="G184" s="77" t="s">
        <v>621</v>
      </c>
      <c r="H184" t="str">
        <f>VLOOKUP(D184,'DETALLE PRECIO INGREDIENTES'!B:B,1,0)</f>
        <v>ROMERO FRESCO EN RAMA</v>
      </c>
    </row>
    <row r="185" spans="2:8" ht="15.5" hidden="1" x14ac:dyDescent="0.35">
      <c r="B185" s="75" t="s">
        <v>199</v>
      </c>
      <c r="C185" s="75" t="s">
        <v>189</v>
      </c>
      <c r="D185" s="73" t="s">
        <v>354</v>
      </c>
      <c r="E185" s="74">
        <v>1.4999999999999999E-2</v>
      </c>
      <c r="F185" s="76" t="s">
        <v>237</v>
      </c>
      <c r="G185" s="77" t="s">
        <v>220</v>
      </c>
      <c r="H185" t="str">
        <f>VLOOKUP(D185,'DETALLE PRECIO INGREDIENTES'!B:B,1,0)</f>
        <v>HARINA BIZCOCHERA</v>
      </c>
    </row>
    <row r="186" spans="2:8" ht="15.5" hidden="1" x14ac:dyDescent="0.35">
      <c r="B186" s="75" t="s">
        <v>199</v>
      </c>
      <c r="C186" s="75" t="s">
        <v>189</v>
      </c>
      <c r="D186" s="73" t="s">
        <v>334</v>
      </c>
      <c r="E186" s="74">
        <v>0.1</v>
      </c>
      <c r="F186" s="76" t="s">
        <v>237</v>
      </c>
      <c r="G186" s="77" t="s">
        <v>220</v>
      </c>
      <c r="H186" t="str">
        <f>VLOOKUP(D186,'DETALLE PRECIO INGREDIENTES'!B:B,1,0)</f>
        <v>FIDEO SPAGUETTI Nº5</v>
      </c>
    </row>
    <row r="187" spans="2:8" ht="15.5" hidden="1" x14ac:dyDescent="0.35">
      <c r="B187" s="75" t="s">
        <v>199</v>
      </c>
      <c r="C187" s="75" t="s">
        <v>188</v>
      </c>
      <c r="D187" s="73" t="s">
        <v>729</v>
      </c>
      <c r="E187" s="74">
        <v>3</v>
      </c>
      <c r="F187" s="76" t="s">
        <v>259</v>
      </c>
      <c r="G187" s="77" t="s">
        <v>728</v>
      </c>
      <c r="H187" t="str">
        <f>VLOOKUP(D187,'DETALLE PRECIO INGREDIENTES'!B:B,1,0)</f>
        <v>HUEVO EXTRA BLANCO</v>
      </c>
    </row>
    <row r="188" spans="2:8" ht="15.5" hidden="1" x14ac:dyDescent="0.35">
      <c r="B188" s="75" t="s">
        <v>199</v>
      </c>
      <c r="C188" s="75" t="s">
        <v>188</v>
      </c>
      <c r="D188" s="73" t="s">
        <v>228</v>
      </c>
      <c r="E188" s="74">
        <v>0.15</v>
      </c>
      <c r="F188" s="76" t="s">
        <v>222</v>
      </c>
      <c r="G188" s="77" t="s">
        <v>220</v>
      </c>
      <c r="H188" t="str">
        <f>VLOOKUP(D188,'DETALLE PRECIO INGREDIENTES'!B:B,1,0)</f>
        <v>ACEITE DE MARAVILLA</v>
      </c>
    </row>
    <row r="189" spans="2:8" ht="15.5" hidden="1" x14ac:dyDescent="0.35">
      <c r="B189" s="75" t="s">
        <v>199</v>
      </c>
      <c r="C189" s="75" t="s">
        <v>188</v>
      </c>
      <c r="D189" s="73" t="s">
        <v>717</v>
      </c>
      <c r="E189" s="74">
        <v>0.1</v>
      </c>
      <c r="F189" s="76" t="s">
        <v>237</v>
      </c>
      <c r="G189" s="77" t="s">
        <v>621</v>
      </c>
      <c r="H189" t="str">
        <f>VLOOKUP(D189,'DETALLE PRECIO INGREDIENTES'!B:B,1,0)</f>
        <v>TOMATE PELADO EN LATA</v>
      </c>
    </row>
    <row r="190" spans="2:8" ht="15.5" hidden="1" x14ac:dyDescent="0.35">
      <c r="B190" s="75" t="s">
        <v>199</v>
      </c>
      <c r="C190" s="75" t="s">
        <v>188</v>
      </c>
      <c r="D190" s="73" t="s">
        <v>628</v>
      </c>
      <c r="E190" s="74">
        <v>0.2</v>
      </c>
      <c r="F190" s="76" t="s">
        <v>259</v>
      </c>
      <c r="G190" s="77" t="s">
        <v>621</v>
      </c>
      <c r="H190" t="str">
        <f>VLOOKUP(D190,'DETALLE PRECIO INGREDIENTES'!B:B,1,0)</f>
        <v>AJO CABEZA</v>
      </c>
    </row>
    <row r="191" spans="2:8" ht="15.5" hidden="1" x14ac:dyDescent="0.35">
      <c r="B191" s="75" t="s">
        <v>199</v>
      </c>
      <c r="C191" s="75" t="s">
        <v>188</v>
      </c>
      <c r="D191" s="73" t="s">
        <v>230</v>
      </c>
      <c r="E191" s="74">
        <v>0.05</v>
      </c>
      <c r="F191" s="76" t="s">
        <v>222</v>
      </c>
      <c r="G191" s="77" t="s">
        <v>220</v>
      </c>
      <c r="H191" t="str">
        <f>VLOOKUP(D191,'DETALLE PRECIO INGREDIENTES'!B:B,1,0)</f>
        <v>ACEITE DE OLIVA</v>
      </c>
    </row>
    <row r="192" spans="2:8" ht="15.5" hidden="1" x14ac:dyDescent="0.35">
      <c r="B192" s="75" t="s">
        <v>199</v>
      </c>
      <c r="C192" s="75" t="s">
        <v>188</v>
      </c>
      <c r="D192" s="73" t="s">
        <v>629</v>
      </c>
      <c r="E192" s="74">
        <v>0.02</v>
      </c>
      <c r="F192" s="76" t="s">
        <v>237</v>
      </c>
      <c r="G192" s="77" t="s">
        <v>621</v>
      </c>
      <c r="H192" t="str">
        <f>VLOOKUP(D192,'DETALLE PRECIO INGREDIENTES'!B:B,1,0)</f>
        <v>ALBAHACA FRESCA</v>
      </c>
    </row>
    <row r="193" spans="2:8" ht="15.5" hidden="1" x14ac:dyDescent="0.35">
      <c r="B193" s="75" t="s">
        <v>199</v>
      </c>
      <c r="C193" s="75" t="s">
        <v>188</v>
      </c>
      <c r="D193" s="73" t="s">
        <v>370</v>
      </c>
      <c r="E193" s="74">
        <v>0.01</v>
      </c>
      <c r="F193" s="76" t="s">
        <v>237</v>
      </c>
      <c r="G193" s="77" t="s">
        <v>220</v>
      </c>
      <c r="H193" t="str">
        <f>VLOOKUP(D193,'DETALLE PRECIO INGREDIENTES'!B:B,1,0)</f>
        <v>LAUREL</v>
      </c>
    </row>
    <row r="194" spans="2:8" ht="15.5" hidden="1" x14ac:dyDescent="0.35">
      <c r="B194" s="75" t="s">
        <v>199</v>
      </c>
      <c r="C194" s="75" t="s">
        <v>188</v>
      </c>
      <c r="D194" s="73" t="s">
        <v>354</v>
      </c>
      <c r="E194" s="74">
        <v>0.03</v>
      </c>
      <c r="F194" s="76" t="s">
        <v>237</v>
      </c>
      <c r="G194" s="77" t="s">
        <v>220</v>
      </c>
      <c r="H194" t="str">
        <f>VLOOKUP(D194,'DETALLE PRECIO INGREDIENTES'!B:B,1,0)</f>
        <v>HARINA BIZCOCHERA</v>
      </c>
    </row>
    <row r="195" spans="2:8" ht="15.5" hidden="1" x14ac:dyDescent="0.35">
      <c r="B195" s="75" t="s">
        <v>199</v>
      </c>
      <c r="C195" s="75" t="s">
        <v>188</v>
      </c>
      <c r="D195" s="73" t="s">
        <v>750</v>
      </c>
      <c r="E195" s="74">
        <v>0.13</v>
      </c>
      <c r="F195" s="76" t="s">
        <v>237</v>
      </c>
      <c r="G195" s="77" t="s">
        <v>736</v>
      </c>
      <c r="H195" t="str">
        <f>VLOOKUP(D195,'DETALLE PRECIO INGREDIENTES'!B:B,1,0)</f>
        <v>MANTEQUILLA CON SAL</v>
      </c>
    </row>
    <row r="196" spans="2:8" ht="15.5" hidden="1" x14ac:dyDescent="0.35">
      <c r="B196" s="75" t="s">
        <v>199</v>
      </c>
      <c r="C196" s="75" t="s">
        <v>188</v>
      </c>
      <c r="D196" s="73" t="s">
        <v>748</v>
      </c>
      <c r="E196" s="74">
        <v>0.15</v>
      </c>
      <c r="F196" s="76" t="s">
        <v>222</v>
      </c>
      <c r="G196" s="77" t="s">
        <v>736</v>
      </c>
      <c r="H196" t="str">
        <f>VLOOKUP(D196,'DETALLE PRECIO INGREDIENTES'!B:B,1,0)</f>
        <v>LECHE ENTERA</v>
      </c>
    </row>
    <row r="197" spans="2:8" ht="15.5" hidden="1" x14ac:dyDescent="0.35">
      <c r="B197" s="75" t="s">
        <v>199</v>
      </c>
      <c r="C197" s="75" t="s">
        <v>188</v>
      </c>
      <c r="D197" s="73" t="s">
        <v>680</v>
      </c>
      <c r="E197" s="74">
        <v>0.1</v>
      </c>
      <c r="F197" s="76" t="s">
        <v>237</v>
      </c>
      <c r="G197" s="77" t="s">
        <v>621</v>
      </c>
      <c r="H197" t="str">
        <f>VLOOKUP(D197,'DETALLE PRECIO INGREDIENTES'!B:B,1,0)</f>
        <v>LIMON DE JUGO</v>
      </c>
    </row>
    <row r="198" spans="2:8" ht="15.5" hidden="1" x14ac:dyDescent="0.35">
      <c r="B198" s="75" t="s">
        <v>199</v>
      </c>
      <c r="C198" s="75" t="s">
        <v>188</v>
      </c>
      <c r="D198" s="73" t="s">
        <v>445</v>
      </c>
      <c r="E198" s="74">
        <v>0.05</v>
      </c>
      <c r="F198" s="76" t="s">
        <v>237</v>
      </c>
      <c r="G198" s="77" t="s">
        <v>220</v>
      </c>
      <c r="H198" t="str">
        <f>VLOOKUP(D198,'DETALLE PRECIO INGREDIENTES'!B:B,1,0)</f>
        <v>SAL DE MESA LOBOS</v>
      </c>
    </row>
    <row r="199" spans="2:8" ht="15.5" hidden="1" x14ac:dyDescent="0.35">
      <c r="B199" s="75" t="s">
        <v>199</v>
      </c>
      <c r="C199" s="75" t="s">
        <v>188</v>
      </c>
      <c r="D199" s="73" t="s">
        <v>428</v>
      </c>
      <c r="E199" s="74">
        <v>2E-3</v>
      </c>
      <c r="F199" s="76" t="s">
        <v>237</v>
      </c>
      <c r="G199" s="77" t="s">
        <v>220</v>
      </c>
      <c r="H199" t="str">
        <f>VLOOKUP(D199,'DETALLE PRECIO INGREDIENTES'!B:B,1,0)</f>
        <v>PIMIENTA NEGRA MOLIDA</v>
      </c>
    </row>
    <row r="200" spans="2:8" ht="15.5" hidden="1" x14ac:dyDescent="0.35">
      <c r="B200" s="75" t="s">
        <v>199</v>
      </c>
      <c r="C200" s="75" t="s">
        <v>187</v>
      </c>
      <c r="D200" s="73" t="s">
        <v>628</v>
      </c>
      <c r="E200" s="74">
        <v>0.1</v>
      </c>
      <c r="F200" s="76" t="s">
        <v>259</v>
      </c>
      <c r="G200" s="77" t="s">
        <v>621</v>
      </c>
      <c r="H200" t="str">
        <f>VLOOKUP(D200,'DETALLE PRECIO INGREDIENTES'!B:B,1,0)</f>
        <v>AJO CABEZA</v>
      </c>
    </row>
    <row r="201" spans="2:8" ht="15.5" hidden="1" x14ac:dyDescent="0.35">
      <c r="B201" s="75" t="s">
        <v>199</v>
      </c>
      <c r="C201" s="75" t="s">
        <v>187</v>
      </c>
      <c r="D201" s="73" t="s">
        <v>230</v>
      </c>
      <c r="E201" s="74">
        <v>1.2E-2</v>
      </c>
      <c r="F201" s="76" t="s">
        <v>222</v>
      </c>
      <c r="G201" s="77" t="s">
        <v>220</v>
      </c>
      <c r="H201" t="str">
        <f>VLOOKUP(D201,'DETALLE PRECIO INGREDIENTES'!B:B,1,0)</f>
        <v>ACEITE DE OLIVA</v>
      </c>
    </row>
    <row r="202" spans="2:8" ht="15.5" hidden="1" x14ac:dyDescent="0.35">
      <c r="B202" s="75" t="s">
        <v>199</v>
      </c>
      <c r="C202" s="75" t="s">
        <v>187</v>
      </c>
      <c r="D202" s="73" t="s">
        <v>665</v>
      </c>
      <c r="E202" s="74">
        <v>0.02</v>
      </c>
      <c r="F202" s="76" t="s">
        <v>237</v>
      </c>
      <c r="G202" s="77" t="s">
        <v>621</v>
      </c>
      <c r="H202" t="str">
        <f>VLOOKUP(D202,'DETALLE PRECIO INGREDIENTES'!B:B,1,0)</f>
        <v>ESPINACA</v>
      </c>
    </row>
    <row r="203" spans="2:8" ht="15.5" hidden="1" x14ac:dyDescent="0.35">
      <c r="B203" s="75" t="s">
        <v>199</v>
      </c>
      <c r="C203" s="75" t="s">
        <v>187</v>
      </c>
      <c r="D203" s="73" t="s">
        <v>228</v>
      </c>
      <c r="E203" s="74">
        <v>0.02</v>
      </c>
      <c r="F203" s="76" t="s">
        <v>222</v>
      </c>
      <c r="G203" s="77" t="s">
        <v>220</v>
      </c>
      <c r="H203" t="str">
        <f>VLOOKUP(D203,'DETALLE PRECIO INGREDIENTES'!B:B,1,0)</f>
        <v>ACEITE DE MARAVILLA</v>
      </c>
    </row>
    <row r="204" spans="2:8" ht="15.5" hidden="1" x14ac:dyDescent="0.35">
      <c r="B204" s="75" t="s">
        <v>199</v>
      </c>
      <c r="C204" s="75" t="s">
        <v>187</v>
      </c>
      <c r="D204" s="73" t="s">
        <v>649</v>
      </c>
      <c r="E204" s="74">
        <v>0.5</v>
      </c>
      <c r="F204" s="76" t="s">
        <v>259</v>
      </c>
      <c r="G204" s="77" t="s">
        <v>621</v>
      </c>
      <c r="H204" t="str">
        <f>VLOOKUP(D204,'DETALLE PRECIO INGREDIENTES'!B:B,1,0)</f>
        <v>CHALOTA</v>
      </c>
    </row>
    <row r="205" spans="2:8" ht="15.5" hidden="1" x14ac:dyDescent="0.35">
      <c r="B205" s="75" t="s">
        <v>199</v>
      </c>
      <c r="C205" s="75" t="s">
        <v>187</v>
      </c>
      <c r="D205" s="73" t="s">
        <v>878</v>
      </c>
      <c r="E205" s="74">
        <v>0.03</v>
      </c>
      <c r="F205" s="76" t="s">
        <v>222</v>
      </c>
      <c r="G205" s="77" t="s">
        <v>876</v>
      </c>
      <c r="H205" t="str">
        <f>VLOOKUP(D205,'DETALLE PRECIO INGREDIENTES'!B:B,1,0)</f>
        <v>VINO BLANCO TETRA PACK</v>
      </c>
    </row>
    <row r="206" spans="2:8" ht="15.5" hidden="1" x14ac:dyDescent="0.35">
      <c r="B206" s="75" t="s">
        <v>199</v>
      </c>
      <c r="C206" s="75" t="s">
        <v>187</v>
      </c>
      <c r="D206" s="73" t="s">
        <v>472</v>
      </c>
      <c r="E206" s="74">
        <v>0.01</v>
      </c>
      <c r="F206" s="76" t="s">
        <v>222</v>
      </c>
      <c r="G206" s="77" t="s">
        <v>220</v>
      </c>
      <c r="H206" t="str">
        <f>VLOOKUP(D206,'DETALLE PRECIO INGREDIENTES'!B:B,1,0)</f>
        <v>VINAGRE BLANCO</v>
      </c>
    </row>
    <row r="207" spans="2:8" ht="15.5" hidden="1" x14ac:dyDescent="0.35">
      <c r="B207" s="75" t="s">
        <v>199</v>
      </c>
      <c r="C207" s="75" t="s">
        <v>187</v>
      </c>
      <c r="D207" s="73" t="s">
        <v>750</v>
      </c>
      <c r="E207" s="74">
        <v>0.1</v>
      </c>
      <c r="F207" s="76" t="s">
        <v>237</v>
      </c>
      <c r="G207" s="77" t="s">
        <v>736</v>
      </c>
      <c r="H207" t="str">
        <f>VLOOKUP(D207,'DETALLE PRECIO INGREDIENTES'!B:B,1,0)</f>
        <v>MANTEQUILLA CON SAL</v>
      </c>
    </row>
    <row r="208" spans="2:8" ht="15.5" hidden="1" x14ac:dyDescent="0.35">
      <c r="B208" s="75" t="s">
        <v>199</v>
      </c>
      <c r="C208" s="75" t="s">
        <v>187</v>
      </c>
      <c r="D208" s="73" t="s">
        <v>680</v>
      </c>
      <c r="E208" s="74">
        <v>0.03</v>
      </c>
      <c r="F208" s="76" t="s">
        <v>237</v>
      </c>
      <c r="G208" s="77" t="s">
        <v>621</v>
      </c>
      <c r="H208" t="str">
        <f>VLOOKUP(D208,'DETALLE PRECIO INGREDIENTES'!B:B,1,0)</f>
        <v>LIMON DE JUGO</v>
      </c>
    </row>
    <row r="209" spans="2:8" ht="15.5" hidden="1" x14ac:dyDescent="0.35">
      <c r="B209" s="75" t="s">
        <v>199</v>
      </c>
      <c r="C209" s="75" t="s">
        <v>187</v>
      </c>
      <c r="D209" s="73" t="s">
        <v>477</v>
      </c>
      <c r="E209" s="74">
        <v>0.03</v>
      </c>
      <c r="F209" s="76" t="s">
        <v>222</v>
      </c>
      <c r="G209" s="77" t="s">
        <v>220</v>
      </c>
      <c r="H209" t="str">
        <f>VLOOKUP(D209,'DETALLE PRECIO INGREDIENTES'!B:B,1,0)</f>
        <v>VINAGRE TINTO</v>
      </c>
    </row>
    <row r="210" spans="2:8" ht="15.5" hidden="1" x14ac:dyDescent="0.35">
      <c r="B210" s="75" t="s">
        <v>199</v>
      </c>
      <c r="C210" s="75" t="s">
        <v>187</v>
      </c>
      <c r="D210" s="73" t="s">
        <v>882</v>
      </c>
      <c r="E210" s="74">
        <v>0.06</v>
      </c>
      <c r="F210" s="76" t="s">
        <v>222</v>
      </c>
      <c r="G210" s="77" t="s">
        <v>876</v>
      </c>
      <c r="H210" t="str">
        <f>VLOOKUP(D210,'DETALLE PRECIO INGREDIENTES'!B:B,1,0)</f>
        <v>VINO TINTO TETRA</v>
      </c>
    </row>
    <row r="211" spans="2:8" ht="15.5" hidden="1" x14ac:dyDescent="0.35">
      <c r="B211" s="75" t="s">
        <v>199</v>
      </c>
      <c r="C211" s="75" t="s">
        <v>187</v>
      </c>
      <c r="D211" s="73" t="s">
        <v>277</v>
      </c>
      <c r="E211" s="74">
        <v>0.05</v>
      </c>
      <c r="F211" s="76" t="s">
        <v>237</v>
      </c>
      <c r="G211" s="77" t="s">
        <v>220</v>
      </c>
      <c r="H211" t="str">
        <f>VLOOKUP(D211,'DETALLE PRECIO INGREDIENTES'!B:B,1,0)</f>
        <v>AZUCAR BLANCA GRANULADA</v>
      </c>
    </row>
    <row r="212" spans="2:8" ht="15.5" hidden="1" x14ac:dyDescent="0.35">
      <c r="B212" s="75" t="s">
        <v>199</v>
      </c>
      <c r="C212" s="75" t="s">
        <v>187</v>
      </c>
      <c r="D212" s="73" t="s">
        <v>445</v>
      </c>
      <c r="E212" s="74">
        <v>0.05</v>
      </c>
      <c r="F212" s="76" t="s">
        <v>237</v>
      </c>
      <c r="G212" s="77" t="s">
        <v>220</v>
      </c>
      <c r="H212" t="str">
        <f>VLOOKUP(D212,'DETALLE PRECIO INGREDIENTES'!B:B,1,0)</f>
        <v>SAL DE MESA LOBOS</v>
      </c>
    </row>
    <row r="213" spans="2:8" ht="15.5" hidden="1" x14ac:dyDescent="0.35">
      <c r="B213" s="75" t="s">
        <v>199</v>
      </c>
      <c r="C213" s="75" t="s">
        <v>187</v>
      </c>
      <c r="D213" s="73" t="s">
        <v>428</v>
      </c>
      <c r="E213" s="74">
        <v>1E-3</v>
      </c>
      <c r="F213" s="76" t="s">
        <v>237</v>
      </c>
      <c r="G213" s="77" t="s">
        <v>220</v>
      </c>
      <c r="H213" t="str">
        <f>VLOOKUP(D213,'DETALLE PRECIO INGREDIENTES'!B:B,1,0)</f>
        <v>PIMIENTA NEGRA MOLIDA</v>
      </c>
    </row>
    <row r="214" spans="2:8" ht="15.5" hidden="1" x14ac:dyDescent="0.35">
      <c r="B214" s="75" t="s">
        <v>199</v>
      </c>
      <c r="C214" s="75" t="s">
        <v>187</v>
      </c>
      <c r="D214" s="73" t="s">
        <v>686</v>
      </c>
      <c r="E214" s="74">
        <v>0.03</v>
      </c>
      <c r="F214" s="76" t="s">
        <v>237</v>
      </c>
      <c r="G214" s="77" t="s">
        <v>621</v>
      </c>
      <c r="H214" t="str">
        <f>VLOOKUP(D214,'DETALLE PRECIO INGREDIENTES'!B:B,1,0)</f>
        <v>MIX DE BERRIES CONGELADO</v>
      </c>
    </row>
    <row r="215" spans="2:8" ht="15.5" hidden="1" x14ac:dyDescent="0.35">
      <c r="B215" s="75" t="s">
        <v>199</v>
      </c>
      <c r="C215" s="75" t="s">
        <v>187</v>
      </c>
      <c r="D215" s="73" t="s">
        <v>411</v>
      </c>
      <c r="E215" s="74">
        <v>0.2</v>
      </c>
      <c r="F215" s="76" t="s">
        <v>237</v>
      </c>
      <c r="G215" s="77" t="s">
        <v>621</v>
      </c>
      <c r="H215" t="str">
        <f>VLOOKUP(D215,'DETALLE PRECIO INGREDIENTES'!B:B,1,0)</f>
        <v>PAPAS</v>
      </c>
    </row>
    <row r="216" spans="2:8" ht="15.5" hidden="1" x14ac:dyDescent="0.35">
      <c r="B216" s="75" t="s">
        <v>199</v>
      </c>
      <c r="C216" s="75" t="s">
        <v>187</v>
      </c>
      <c r="D216" s="73" t="s">
        <v>720</v>
      </c>
      <c r="E216" s="74">
        <v>0.1</v>
      </c>
      <c r="F216" s="76" t="s">
        <v>237</v>
      </c>
      <c r="G216" s="77" t="s">
        <v>621</v>
      </c>
      <c r="H216" t="str">
        <f>VLOOKUP(D216,'DETALLE PRECIO INGREDIENTES'!B:B,1,0)</f>
        <v>ZANAHORIA</v>
      </c>
    </row>
    <row r="217" spans="2:8" ht="15.5" hidden="1" x14ac:dyDescent="0.35">
      <c r="B217" s="75" t="s">
        <v>199</v>
      </c>
      <c r="C217" s="75" t="s">
        <v>187</v>
      </c>
      <c r="D217" s="73" t="s">
        <v>723</v>
      </c>
      <c r="E217" s="74">
        <v>0.5</v>
      </c>
      <c r="F217" s="76" t="s">
        <v>259</v>
      </c>
      <c r="G217" s="77" t="s">
        <v>621</v>
      </c>
      <c r="H217" t="str">
        <f>VLOOKUP(D217,'DETALLE PRECIO INGREDIENTES'!B:B,1,0)</f>
        <v>ZAPALLO ITALIANO</v>
      </c>
    </row>
    <row r="218" spans="2:8" ht="15.5" hidden="1" x14ac:dyDescent="0.35">
      <c r="B218" s="75" t="s">
        <v>199</v>
      </c>
      <c r="C218" s="75" t="s">
        <v>186</v>
      </c>
      <c r="D218" s="73" t="s">
        <v>644</v>
      </c>
      <c r="E218" s="74">
        <v>0.05</v>
      </c>
      <c r="F218" s="76" t="s">
        <v>237</v>
      </c>
      <c r="G218" s="77" t="s">
        <v>621</v>
      </c>
      <c r="H218" t="str">
        <f>VLOOKUP(D218,'DETALLE PRECIO INGREDIENTES'!B:B,1,0)</f>
        <v>CEBOLLA BLANCA</v>
      </c>
    </row>
    <row r="219" spans="2:8" ht="15.5" hidden="1" x14ac:dyDescent="0.35">
      <c r="B219" s="75" t="s">
        <v>199</v>
      </c>
      <c r="C219" s="75" t="s">
        <v>186</v>
      </c>
      <c r="D219" s="73" t="s">
        <v>228</v>
      </c>
      <c r="E219" s="74">
        <v>0.03</v>
      </c>
      <c r="F219" s="76" t="s">
        <v>222</v>
      </c>
      <c r="G219" s="77" t="s">
        <v>220</v>
      </c>
      <c r="H219" t="str">
        <f>VLOOKUP(D219,'DETALLE PRECIO INGREDIENTES'!B:B,1,0)</f>
        <v>ACEITE DE MARAVILLA</v>
      </c>
    </row>
    <row r="220" spans="2:8" ht="15.5" hidden="1" x14ac:dyDescent="0.35">
      <c r="B220" s="75" t="s">
        <v>199</v>
      </c>
      <c r="C220" s="75" t="s">
        <v>186</v>
      </c>
      <c r="D220" s="73" t="s">
        <v>268</v>
      </c>
      <c r="E220" s="74">
        <v>0.12</v>
      </c>
      <c r="F220" s="76" t="s">
        <v>237</v>
      </c>
      <c r="G220" s="77" t="s">
        <v>220</v>
      </c>
      <c r="H220" t="str">
        <f>VLOOKUP(D220,'DETALLE PRECIO INGREDIENTES'!B:B,1,0)</f>
        <v>ARROZ GRANO LARGO GRADO 1</v>
      </c>
    </row>
    <row r="221" spans="2:8" ht="15.5" hidden="1" x14ac:dyDescent="0.35">
      <c r="B221" s="75" t="s">
        <v>199</v>
      </c>
      <c r="C221" s="75" t="s">
        <v>186</v>
      </c>
      <c r="D221" s="73" t="s">
        <v>720</v>
      </c>
      <c r="E221" s="74">
        <v>0.03</v>
      </c>
      <c r="F221" s="76" t="s">
        <v>237</v>
      </c>
      <c r="G221" s="77" t="s">
        <v>621</v>
      </c>
      <c r="H221" t="str">
        <f>VLOOKUP(D221,'DETALLE PRECIO INGREDIENTES'!B:B,1,0)</f>
        <v>ZANAHORIA</v>
      </c>
    </row>
    <row r="222" spans="2:8" ht="15.5" x14ac:dyDescent="0.35">
      <c r="B222" s="75" t="s">
        <v>199</v>
      </c>
      <c r="C222" s="75" t="s">
        <v>186</v>
      </c>
      <c r="D222" s="73" t="s">
        <v>903</v>
      </c>
      <c r="E222" s="74">
        <v>0.1</v>
      </c>
      <c r="F222" s="76" t="s">
        <v>259</v>
      </c>
      <c r="G222" s="77" t="s">
        <v>621</v>
      </c>
      <c r="H222" t="e">
        <f>VLOOKUP(D222,'DETALLE PRECIO INGREDIENTES'!B:B,1,0)</f>
        <v>#N/A</v>
      </c>
    </row>
    <row r="223" spans="2:8" ht="15.5" hidden="1" x14ac:dyDescent="0.35">
      <c r="B223" s="75" t="s">
        <v>199</v>
      </c>
      <c r="C223" s="75" t="s">
        <v>186</v>
      </c>
      <c r="D223" s="73" t="s">
        <v>707</v>
      </c>
      <c r="E223" s="74">
        <v>0.06</v>
      </c>
      <c r="F223" s="76" t="s">
        <v>259</v>
      </c>
      <c r="G223" s="77" t="s">
        <v>621</v>
      </c>
      <c r="H223" t="str">
        <f>VLOOKUP(D223,'DETALLE PRECIO INGREDIENTES'!B:B,1,0)</f>
        <v>PUERROS</v>
      </c>
    </row>
    <row r="224" spans="2:8" ht="15.5" hidden="1" x14ac:dyDescent="0.35">
      <c r="B224" s="75" t="s">
        <v>199</v>
      </c>
      <c r="C224" s="75" t="s">
        <v>186</v>
      </c>
      <c r="D224" s="73" t="s">
        <v>750</v>
      </c>
      <c r="E224" s="74">
        <v>0.04</v>
      </c>
      <c r="F224" s="76" t="s">
        <v>237</v>
      </c>
      <c r="G224" s="77" t="s">
        <v>736</v>
      </c>
      <c r="H224" t="str">
        <f>VLOOKUP(D224,'DETALLE PRECIO INGREDIENTES'!B:B,1,0)</f>
        <v>MANTEQUILLA CON SAL</v>
      </c>
    </row>
    <row r="225" spans="2:8" ht="15.5" hidden="1" x14ac:dyDescent="0.35">
      <c r="B225" s="75" t="s">
        <v>199</v>
      </c>
      <c r="C225" s="75" t="s">
        <v>186</v>
      </c>
      <c r="D225" s="73" t="s">
        <v>729</v>
      </c>
      <c r="E225" s="74">
        <v>0.5</v>
      </c>
      <c r="F225" s="76" t="s">
        <v>259</v>
      </c>
      <c r="G225" s="77" t="s">
        <v>728</v>
      </c>
      <c r="H225" t="str">
        <f>VLOOKUP(D225,'DETALLE PRECIO INGREDIENTES'!B:B,1,0)</f>
        <v>HUEVO EXTRA BLANCO</v>
      </c>
    </row>
    <row r="226" spans="2:8" ht="15.5" hidden="1" x14ac:dyDescent="0.35">
      <c r="B226" s="75" t="s">
        <v>199</v>
      </c>
      <c r="C226" s="75" t="s">
        <v>186</v>
      </c>
      <c r="D226" s="73" t="s">
        <v>843</v>
      </c>
      <c r="E226" s="74">
        <v>0.03</v>
      </c>
      <c r="F226" s="76" t="s">
        <v>237</v>
      </c>
      <c r="G226" s="77" t="s">
        <v>839</v>
      </c>
      <c r="H226" t="str">
        <f>VLOOKUP(D226,'DETALLE PRECIO INGREDIENTES'!B:B,1,0)</f>
        <v>POLLO PECHUGA S/HUESO</v>
      </c>
    </row>
    <row r="227" spans="2:8" ht="15.5" hidden="1" x14ac:dyDescent="0.35">
      <c r="B227" s="75" t="s">
        <v>199</v>
      </c>
      <c r="C227" s="75" t="s">
        <v>186</v>
      </c>
      <c r="D227" s="73" t="s">
        <v>675</v>
      </c>
      <c r="E227" s="74">
        <v>5.0000000000000001E-3</v>
      </c>
      <c r="F227" s="76" t="s">
        <v>237</v>
      </c>
      <c r="G227" s="77" t="s">
        <v>621</v>
      </c>
      <c r="H227" t="str">
        <f>VLOOKUP(D227,'DETALLE PRECIO INGREDIENTES'!B:B,1,0)</f>
        <v>JENGIBRE</v>
      </c>
    </row>
    <row r="228" spans="2:8" ht="15.5" hidden="1" x14ac:dyDescent="0.35">
      <c r="B228" s="75" t="s">
        <v>199</v>
      </c>
      <c r="C228" s="75" t="s">
        <v>186</v>
      </c>
      <c r="D228" s="73" t="s">
        <v>628</v>
      </c>
      <c r="E228" s="74">
        <v>0.1</v>
      </c>
      <c r="F228" s="76" t="s">
        <v>259</v>
      </c>
      <c r="G228" s="77" t="s">
        <v>621</v>
      </c>
      <c r="H228" t="str">
        <f>VLOOKUP(D228,'DETALLE PRECIO INGREDIENTES'!B:B,1,0)</f>
        <v>AJO CABEZA</v>
      </c>
    </row>
    <row r="229" spans="2:8" ht="15.5" hidden="1" x14ac:dyDescent="0.35">
      <c r="B229" s="75" t="s">
        <v>199</v>
      </c>
      <c r="C229" s="75" t="s">
        <v>186</v>
      </c>
      <c r="D229" s="73" t="s">
        <v>702</v>
      </c>
      <c r="E229" s="74">
        <v>0.06</v>
      </c>
      <c r="F229" s="76" t="s">
        <v>259</v>
      </c>
      <c r="G229" s="77" t="s">
        <v>621</v>
      </c>
      <c r="H229" t="str">
        <f>VLOOKUP(D229,'DETALLE PRECIO INGREDIENTES'!B:B,1,0)</f>
        <v>PIMIENTO ROJO</v>
      </c>
    </row>
    <row r="230" spans="2:8" ht="15.5" hidden="1" x14ac:dyDescent="0.35">
      <c r="B230" s="75" t="s">
        <v>199</v>
      </c>
      <c r="C230" s="75" t="s">
        <v>186</v>
      </c>
      <c r="D230" s="73" t="s">
        <v>646</v>
      </c>
      <c r="E230" s="74">
        <v>0.22</v>
      </c>
      <c r="F230" s="76" t="s">
        <v>259</v>
      </c>
      <c r="G230" s="77" t="s">
        <v>621</v>
      </c>
      <c r="H230" t="str">
        <f>VLOOKUP(D230,'DETALLE PRECIO INGREDIENTES'!B:B,1,0)</f>
        <v>CEBOLLIN</v>
      </c>
    </row>
    <row r="231" spans="2:8" ht="15.5" hidden="1" x14ac:dyDescent="0.35">
      <c r="B231" s="75" t="s">
        <v>199</v>
      </c>
      <c r="C231" s="75" t="s">
        <v>186</v>
      </c>
      <c r="D231" s="73" t="s">
        <v>449</v>
      </c>
      <c r="E231" s="74">
        <v>0.03</v>
      </c>
      <c r="F231" s="76" t="s">
        <v>222</v>
      </c>
      <c r="G231" s="77" t="s">
        <v>220</v>
      </c>
      <c r="H231" t="str">
        <f>VLOOKUP(D231,'DETALLE PRECIO INGREDIENTES'!B:B,1,0)</f>
        <v>SALSA DE SOYA</v>
      </c>
    </row>
    <row r="232" spans="2:8" ht="15.5" hidden="1" x14ac:dyDescent="0.35">
      <c r="B232" s="75" t="s">
        <v>199</v>
      </c>
      <c r="C232" s="75" t="s">
        <v>186</v>
      </c>
      <c r="D232" s="73" t="s">
        <v>253</v>
      </c>
      <c r="E232" s="74">
        <v>2E-3</v>
      </c>
      <c r="F232" s="76" t="s">
        <v>237</v>
      </c>
      <c r="G232" s="77" t="s">
        <v>220</v>
      </c>
      <c r="H232" t="str">
        <f>VLOOKUP(D232,'DETALLE PRECIO INGREDIENTES'!B:B,1,0)</f>
        <v>AJINOMOTO</v>
      </c>
    </row>
    <row r="233" spans="2:8" ht="15.5" hidden="1" x14ac:dyDescent="0.35">
      <c r="B233" s="75" t="s">
        <v>199</v>
      </c>
      <c r="C233" s="75" t="s">
        <v>186</v>
      </c>
      <c r="D233" s="73" t="s">
        <v>231</v>
      </c>
      <c r="E233" s="74">
        <v>5.0000000000000001E-3</v>
      </c>
      <c r="F233" s="76" t="s">
        <v>222</v>
      </c>
      <c r="G233" s="77" t="s">
        <v>220</v>
      </c>
      <c r="H233" t="str">
        <f>VLOOKUP(D233,'DETALLE PRECIO INGREDIENTES'!B:B,1,0)</f>
        <v>ACEITE DE SESAMO</v>
      </c>
    </row>
    <row r="234" spans="2:8" ht="15.5" hidden="1" x14ac:dyDescent="0.35">
      <c r="B234" s="75" t="s">
        <v>199</v>
      </c>
      <c r="C234" s="75" t="s">
        <v>186</v>
      </c>
      <c r="D234" s="73" t="s">
        <v>458</v>
      </c>
      <c r="E234" s="74">
        <v>2E-3</v>
      </c>
      <c r="F234" s="76" t="s">
        <v>237</v>
      </c>
      <c r="G234" s="77" t="s">
        <v>220</v>
      </c>
      <c r="H234" t="str">
        <f>VLOOKUP(D234,'DETALLE PRECIO INGREDIENTES'!B:B,1,0)</f>
        <v>SEMILLAS DE SESAMO BLANCO</v>
      </c>
    </row>
    <row r="235" spans="2:8" ht="15.5" hidden="1" x14ac:dyDescent="0.35">
      <c r="B235" s="75" t="s">
        <v>199</v>
      </c>
      <c r="C235" s="75" t="s">
        <v>186</v>
      </c>
      <c r="D235" s="73" t="s">
        <v>459</v>
      </c>
      <c r="E235" s="74">
        <v>2E-3</v>
      </c>
      <c r="F235" s="76" t="s">
        <v>237</v>
      </c>
      <c r="G235" s="77" t="s">
        <v>220</v>
      </c>
      <c r="H235" t="str">
        <f>VLOOKUP(D235,'DETALLE PRECIO INGREDIENTES'!B:B,1,0)</f>
        <v>SEMILLAS DE SESAMO NEGRO</v>
      </c>
    </row>
    <row r="236" spans="2:8" ht="15.5" hidden="1" x14ac:dyDescent="0.35">
      <c r="B236" s="75" t="s">
        <v>199</v>
      </c>
      <c r="C236" s="75" t="s">
        <v>186</v>
      </c>
      <c r="D236" s="73" t="s">
        <v>270</v>
      </c>
      <c r="E236" s="74">
        <v>0.06</v>
      </c>
      <c r="F236" s="76" t="s">
        <v>237</v>
      </c>
      <c r="G236" s="77" t="s">
        <v>220</v>
      </c>
      <c r="H236" t="str">
        <f>VLOOKUP(D236,'DETALLE PRECIO INGREDIENTES'!B:B,1,0)</f>
        <v>ARROZ INTEGRAL</v>
      </c>
    </row>
    <row r="237" spans="2:8" ht="15.5" hidden="1" x14ac:dyDescent="0.35">
      <c r="B237" s="75" t="s">
        <v>199</v>
      </c>
      <c r="C237" s="75" t="s">
        <v>186</v>
      </c>
      <c r="D237" s="73" t="s">
        <v>452</v>
      </c>
      <c r="E237" s="74">
        <v>0.01</v>
      </c>
      <c r="F237" s="76" t="s">
        <v>237</v>
      </c>
      <c r="G237" s="77" t="s">
        <v>220</v>
      </c>
      <c r="H237" t="str">
        <f>VLOOKUP(D237,'DETALLE PRECIO INGREDIENTES'!B:B,1,0)</f>
        <v>SEMILLA DE AMAPOLA</v>
      </c>
    </row>
    <row r="238" spans="2:8" ht="15.5" hidden="1" x14ac:dyDescent="0.35">
      <c r="B238" s="75" t="s">
        <v>199</v>
      </c>
      <c r="C238" s="75" t="s">
        <v>186</v>
      </c>
      <c r="D238" s="73" t="s">
        <v>656</v>
      </c>
      <c r="E238" s="74">
        <v>0.3</v>
      </c>
      <c r="F238" s="76" t="s">
        <v>259</v>
      </c>
      <c r="G238" s="77" t="s">
        <v>621</v>
      </c>
      <c r="H238" t="str">
        <f>VLOOKUP(D238,'DETALLE PRECIO INGREDIENTES'!B:B,1,0)</f>
        <v>CIBOULETTE ATADO</v>
      </c>
    </row>
    <row r="239" spans="2:8" ht="15.5" hidden="1" x14ac:dyDescent="0.35">
      <c r="B239" s="75" t="s">
        <v>199</v>
      </c>
      <c r="C239" s="75" t="s">
        <v>186</v>
      </c>
      <c r="D239" s="73" t="s">
        <v>716</v>
      </c>
      <c r="E239" s="74">
        <v>0.04</v>
      </c>
      <c r="F239" s="76" t="s">
        <v>237</v>
      </c>
      <c r="G239" s="77" t="s">
        <v>621</v>
      </c>
      <c r="H239" t="str">
        <f>VLOOKUP(D239,'DETALLE PRECIO INGREDIENTES'!B:B,1,0)</f>
        <v>TOMATE LARGA VIDA</v>
      </c>
    </row>
    <row r="240" spans="2:8" ht="15.5" hidden="1" x14ac:dyDescent="0.35">
      <c r="B240" s="75" t="s">
        <v>199</v>
      </c>
      <c r="C240" s="75" t="s">
        <v>186</v>
      </c>
      <c r="D240" s="73" t="s">
        <v>230</v>
      </c>
      <c r="E240" s="74">
        <v>0.01</v>
      </c>
      <c r="F240" s="76" t="s">
        <v>222</v>
      </c>
      <c r="G240" s="77" t="s">
        <v>220</v>
      </c>
      <c r="H240" t="str">
        <f>VLOOKUP(D240,'DETALLE PRECIO INGREDIENTES'!B:B,1,0)</f>
        <v>ACEITE DE OLIVA</v>
      </c>
    </row>
    <row r="241" spans="2:8" ht="15.5" hidden="1" x14ac:dyDescent="0.35">
      <c r="B241" s="75" t="s">
        <v>199</v>
      </c>
      <c r="C241" s="75" t="s">
        <v>186</v>
      </c>
      <c r="D241" s="73" t="s">
        <v>445</v>
      </c>
      <c r="E241" s="74">
        <v>0.05</v>
      </c>
      <c r="F241" s="76" t="s">
        <v>237</v>
      </c>
      <c r="G241" s="77" t="s">
        <v>220</v>
      </c>
      <c r="H241" t="str">
        <f>VLOOKUP(D241,'DETALLE PRECIO INGREDIENTES'!B:B,1,0)</f>
        <v>SAL DE MESA LOBOS</v>
      </c>
    </row>
    <row r="242" spans="2:8" ht="15.5" hidden="1" x14ac:dyDescent="0.35">
      <c r="B242" s="75" t="s">
        <v>199</v>
      </c>
      <c r="C242" s="75" t="s">
        <v>186</v>
      </c>
      <c r="D242" s="73" t="s">
        <v>428</v>
      </c>
      <c r="E242" s="74">
        <v>5.0000000000000001E-3</v>
      </c>
      <c r="F242" s="76" t="s">
        <v>237</v>
      </c>
      <c r="G242" s="77" t="s">
        <v>220</v>
      </c>
      <c r="H242" t="str">
        <f>VLOOKUP(D242,'DETALLE PRECIO INGREDIENTES'!B:B,1,0)</f>
        <v>PIMIENTA NEGRA MOLIDA</v>
      </c>
    </row>
    <row r="243" spans="2:8" ht="15.5" hidden="1" x14ac:dyDescent="0.35">
      <c r="B243" s="75" t="s">
        <v>199</v>
      </c>
      <c r="C243" s="75" t="s">
        <v>186</v>
      </c>
      <c r="D243" s="73" t="s">
        <v>739</v>
      </c>
      <c r="E243" s="74">
        <v>0.05</v>
      </c>
      <c r="F243" s="76" t="s">
        <v>222</v>
      </c>
      <c r="G243" s="77" t="s">
        <v>736</v>
      </c>
      <c r="H243" t="str">
        <f>VLOOKUP(D243,'DETALLE PRECIO INGREDIENTES'!B:B,1,0)</f>
        <v>CREMA DE LECHE</v>
      </c>
    </row>
    <row r="244" spans="2:8" ht="15.5" hidden="1" x14ac:dyDescent="0.35">
      <c r="B244" s="75" t="s">
        <v>199</v>
      </c>
      <c r="C244" s="75" t="s">
        <v>186</v>
      </c>
      <c r="D244" s="73" t="s">
        <v>759</v>
      </c>
      <c r="E244" s="74">
        <v>0.02</v>
      </c>
      <c r="F244" s="76" t="s">
        <v>237</v>
      </c>
      <c r="G244" s="77" t="s">
        <v>736</v>
      </c>
      <c r="H244" t="str">
        <f>VLOOKUP(D244,'DETALLE PRECIO INGREDIENTES'!B:B,1,0)</f>
        <v>QUESO CREMA</v>
      </c>
    </row>
    <row r="245" spans="2:8" ht="15.5" hidden="1" x14ac:dyDescent="0.35">
      <c r="B245" s="75" t="s">
        <v>199</v>
      </c>
      <c r="C245" s="75" t="s">
        <v>186</v>
      </c>
      <c r="D245" s="73" t="s">
        <v>769</v>
      </c>
      <c r="E245" s="74">
        <v>0.01</v>
      </c>
      <c r="F245" s="76" t="s">
        <v>237</v>
      </c>
      <c r="G245" s="77" t="s">
        <v>736</v>
      </c>
      <c r="H245" t="str">
        <f>VLOOKUP(D245,'DETALLE PRECIO INGREDIENTES'!B:B,1,0)</f>
        <v>QUESO PARMESANO</v>
      </c>
    </row>
    <row r="246" spans="2:8" ht="15.5" hidden="1" x14ac:dyDescent="0.35">
      <c r="B246" s="75" t="s">
        <v>199</v>
      </c>
      <c r="C246" s="75" t="s">
        <v>186</v>
      </c>
      <c r="D246" s="73" t="s">
        <v>657</v>
      </c>
      <c r="E246" s="74">
        <v>5.0000000000000001E-3</v>
      </c>
      <c r="F246" s="76" t="s">
        <v>237</v>
      </c>
      <c r="G246" s="77" t="s">
        <v>621</v>
      </c>
      <c r="H246" t="str">
        <f>VLOOKUP(D246,'DETALLE PRECIO INGREDIENTES'!B:B,1,0)</f>
        <v>CILANTRO</v>
      </c>
    </row>
    <row r="247" spans="2:8" ht="15.5" hidden="1" x14ac:dyDescent="0.35">
      <c r="B247" s="75" t="s">
        <v>199</v>
      </c>
      <c r="C247" s="75" t="s">
        <v>185</v>
      </c>
      <c r="D247" s="73" t="s">
        <v>411</v>
      </c>
      <c r="E247" s="74">
        <v>0.5</v>
      </c>
      <c r="F247" s="76" t="s">
        <v>237</v>
      </c>
      <c r="G247" s="77" t="s">
        <v>621</v>
      </c>
      <c r="H247" t="str">
        <f>VLOOKUP(D247,'DETALLE PRECIO INGREDIENTES'!B:B,1,0)</f>
        <v>PAPAS</v>
      </c>
    </row>
    <row r="248" spans="2:8" ht="15.5" hidden="1" x14ac:dyDescent="0.35">
      <c r="B248" s="75" t="s">
        <v>199</v>
      </c>
      <c r="C248" s="75" t="s">
        <v>185</v>
      </c>
      <c r="D248" s="73" t="s">
        <v>748</v>
      </c>
      <c r="E248" s="74">
        <v>0.06</v>
      </c>
      <c r="F248" s="76" t="s">
        <v>222</v>
      </c>
      <c r="G248" s="77" t="s">
        <v>736</v>
      </c>
      <c r="H248" t="str">
        <f>VLOOKUP(D248,'DETALLE PRECIO INGREDIENTES'!B:B,1,0)</f>
        <v>LECHE ENTERA</v>
      </c>
    </row>
    <row r="249" spans="2:8" ht="15.5" hidden="1" x14ac:dyDescent="0.35">
      <c r="B249" s="75" t="s">
        <v>199</v>
      </c>
      <c r="C249" s="75" t="s">
        <v>185</v>
      </c>
      <c r="D249" s="73" t="s">
        <v>750</v>
      </c>
      <c r="E249" s="74">
        <v>0.03</v>
      </c>
      <c r="F249" s="76" t="s">
        <v>237</v>
      </c>
      <c r="G249" s="77" t="s">
        <v>736</v>
      </c>
      <c r="H249" t="str">
        <f>VLOOKUP(D249,'DETALLE PRECIO INGREDIENTES'!B:B,1,0)</f>
        <v>MANTEQUILLA CON SAL</v>
      </c>
    </row>
    <row r="250" spans="2:8" ht="15.5" hidden="1" x14ac:dyDescent="0.35">
      <c r="B250" s="75" t="s">
        <v>199</v>
      </c>
      <c r="C250" s="75" t="s">
        <v>185</v>
      </c>
      <c r="D250" s="73" t="s">
        <v>405</v>
      </c>
      <c r="E250" s="74">
        <v>2E-3</v>
      </c>
      <c r="F250" s="76" t="s">
        <v>237</v>
      </c>
      <c r="G250" s="77" t="s">
        <v>220</v>
      </c>
      <c r="H250" t="str">
        <f>VLOOKUP(D250,'DETALLE PRECIO INGREDIENTES'!B:B,1,0)</f>
        <v>NUEZ MOSCADA MOLIDA</v>
      </c>
    </row>
    <row r="251" spans="2:8" ht="15.5" hidden="1" x14ac:dyDescent="0.35">
      <c r="B251" s="75" t="s">
        <v>199</v>
      </c>
      <c r="C251" s="75" t="s">
        <v>185</v>
      </c>
      <c r="D251" s="73" t="s">
        <v>739</v>
      </c>
      <c r="E251" s="74">
        <v>0.03</v>
      </c>
      <c r="F251" s="76" t="s">
        <v>222</v>
      </c>
      <c r="G251" s="77" t="s">
        <v>736</v>
      </c>
      <c r="H251" t="str">
        <f>VLOOKUP(D251,'DETALLE PRECIO INGREDIENTES'!B:B,1,0)</f>
        <v>CREMA DE LECHE</v>
      </c>
    </row>
    <row r="252" spans="2:8" ht="15.5" hidden="1" x14ac:dyDescent="0.35">
      <c r="B252" s="75" t="s">
        <v>199</v>
      </c>
      <c r="C252" s="75" t="s">
        <v>185</v>
      </c>
      <c r="D252" s="73" t="s">
        <v>644</v>
      </c>
      <c r="E252" s="74">
        <v>0.06</v>
      </c>
      <c r="F252" s="76" t="s">
        <v>237</v>
      </c>
      <c r="G252" s="77" t="s">
        <v>621</v>
      </c>
      <c r="H252" t="str">
        <f>VLOOKUP(D252,'DETALLE PRECIO INGREDIENTES'!B:B,1,0)</f>
        <v>CEBOLLA BLANCA</v>
      </c>
    </row>
    <row r="253" spans="2:8" ht="15.5" hidden="1" x14ac:dyDescent="0.35">
      <c r="B253" s="75" t="s">
        <v>199</v>
      </c>
      <c r="C253" s="75" t="s">
        <v>185</v>
      </c>
      <c r="D253" s="73" t="s">
        <v>702</v>
      </c>
      <c r="E253" s="74">
        <v>0.06</v>
      </c>
      <c r="F253" s="76" t="s">
        <v>259</v>
      </c>
      <c r="G253" s="77" t="s">
        <v>621</v>
      </c>
      <c r="H253" t="str">
        <f>VLOOKUP(D253,'DETALLE PRECIO INGREDIENTES'!B:B,1,0)</f>
        <v>PIMIENTO ROJO</v>
      </c>
    </row>
    <row r="254" spans="2:8" ht="15.5" hidden="1" x14ac:dyDescent="0.35">
      <c r="B254" s="75" t="s">
        <v>199</v>
      </c>
      <c r="C254" s="75" t="s">
        <v>185</v>
      </c>
      <c r="D254" s="73" t="s">
        <v>733</v>
      </c>
      <c r="E254" s="74">
        <v>7.0000000000000001E-3</v>
      </c>
      <c r="F254" s="76" t="s">
        <v>237</v>
      </c>
      <c r="G254" s="77" t="s">
        <v>731</v>
      </c>
      <c r="H254" t="str">
        <f>VLOOKUP(D254,'DETALLE PRECIO INGREDIENTES'!B:B,1,0)</f>
        <v>JAMON PIERNA LAMINADO</v>
      </c>
    </row>
    <row r="255" spans="2:8" ht="15.5" hidden="1" x14ac:dyDescent="0.35">
      <c r="B255" s="75" t="s">
        <v>199</v>
      </c>
      <c r="C255" s="75" t="s">
        <v>185</v>
      </c>
      <c r="D255" s="73" t="s">
        <v>249</v>
      </c>
      <c r="E255" s="74">
        <v>2.5000000000000001E-3</v>
      </c>
      <c r="F255" s="76" t="s">
        <v>237</v>
      </c>
      <c r="G255" s="77" t="s">
        <v>220</v>
      </c>
      <c r="H255" t="str">
        <f>VLOOKUP(D255,'DETALLE PRECIO INGREDIENTES'!B:B,1,0)</f>
        <v>AJI EN PASTA</v>
      </c>
    </row>
    <row r="256" spans="2:8" ht="15.5" hidden="1" x14ac:dyDescent="0.35">
      <c r="B256" s="75" t="s">
        <v>199</v>
      </c>
      <c r="C256" s="75" t="s">
        <v>185</v>
      </c>
      <c r="D256" s="73" t="s">
        <v>722</v>
      </c>
      <c r="E256" s="74">
        <v>0.03</v>
      </c>
      <c r="F256" s="76" t="s">
        <v>237</v>
      </c>
      <c r="G256" s="77" t="s">
        <v>621</v>
      </c>
      <c r="H256" t="str">
        <f>VLOOKUP(D256,'DETALLE PRECIO INGREDIENTES'!B:B,1,0)</f>
        <v>ZAPALLO CAMOTE</v>
      </c>
    </row>
    <row r="257" spans="2:8" ht="15.5" hidden="1" x14ac:dyDescent="0.35">
      <c r="B257" s="75" t="s">
        <v>199</v>
      </c>
      <c r="C257" s="75" t="s">
        <v>185</v>
      </c>
      <c r="D257" s="73" t="s">
        <v>729</v>
      </c>
      <c r="E257" s="74">
        <v>0.7</v>
      </c>
      <c r="F257" s="76" t="s">
        <v>259</v>
      </c>
      <c r="G257" s="77" t="s">
        <v>728</v>
      </c>
      <c r="H257" t="str">
        <f>VLOOKUP(D257,'DETALLE PRECIO INGREDIENTES'!B:B,1,0)</f>
        <v>HUEVO EXTRA BLANCO</v>
      </c>
    </row>
    <row r="258" spans="2:8" ht="15.5" hidden="1" x14ac:dyDescent="0.35">
      <c r="B258" s="75" t="s">
        <v>199</v>
      </c>
      <c r="C258" s="75" t="s">
        <v>185</v>
      </c>
      <c r="D258" s="73" t="s">
        <v>732</v>
      </c>
      <c r="E258" s="74">
        <v>0.01</v>
      </c>
      <c r="F258" s="76" t="s">
        <v>237</v>
      </c>
      <c r="G258" s="77" t="s">
        <v>731</v>
      </c>
      <c r="H258" t="str">
        <f>VLOOKUP(D258,'DETALLE PRECIO INGREDIENTES'!B:B,1,0)</f>
        <v>JAMON ACARAMELADO LAMINADO</v>
      </c>
    </row>
    <row r="259" spans="2:8" ht="15.5" hidden="1" x14ac:dyDescent="0.35">
      <c r="B259" s="75" t="s">
        <v>199</v>
      </c>
      <c r="C259" s="75" t="s">
        <v>185</v>
      </c>
      <c r="D259" s="73" t="s">
        <v>409</v>
      </c>
      <c r="E259" s="74">
        <v>0.05</v>
      </c>
      <c r="F259" s="76" t="s">
        <v>237</v>
      </c>
      <c r="G259" s="77" t="s">
        <v>220</v>
      </c>
      <c r="H259" t="str">
        <f>VLOOKUP(D259,'DETALLE PRECIO INGREDIENTES'!B:B,1,0)</f>
        <v>PAN RALLADO</v>
      </c>
    </row>
    <row r="260" spans="2:8" ht="15.5" hidden="1" x14ac:dyDescent="0.35">
      <c r="B260" s="75" t="s">
        <v>199</v>
      </c>
      <c r="C260" s="75" t="s">
        <v>185</v>
      </c>
      <c r="D260" s="73" t="s">
        <v>333</v>
      </c>
      <c r="E260" s="74">
        <v>0.02</v>
      </c>
      <c r="F260" s="76" t="s">
        <v>237</v>
      </c>
      <c r="G260" s="77" t="s">
        <v>220</v>
      </c>
      <c r="H260" t="str">
        <f>VLOOKUP(D260,'DETALLE PRECIO INGREDIENTES'!B:B,1,0)</f>
        <v>FIDEO CABELLO DE ANGEL</v>
      </c>
    </row>
    <row r="261" spans="2:8" ht="15.5" hidden="1" x14ac:dyDescent="0.35">
      <c r="B261" s="75" t="s">
        <v>199</v>
      </c>
      <c r="C261" s="75" t="s">
        <v>185</v>
      </c>
      <c r="D261" s="73" t="s">
        <v>354</v>
      </c>
      <c r="E261" s="74">
        <v>2.3E-2</v>
      </c>
      <c r="F261" s="76" t="s">
        <v>237</v>
      </c>
      <c r="G261" s="77" t="s">
        <v>220</v>
      </c>
      <c r="H261" t="str">
        <f>VLOOKUP(D261,'DETALLE PRECIO INGREDIENTES'!B:B,1,0)</f>
        <v>HARINA BIZCOCHERA</v>
      </c>
    </row>
    <row r="262" spans="2:8" ht="15.5" hidden="1" x14ac:dyDescent="0.35">
      <c r="B262" s="75" t="s">
        <v>199</v>
      </c>
      <c r="C262" s="75" t="s">
        <v>185</v>
      </c>
      <c r="D262" s="73" t="s">
        <v>631</v>
      </c>
      <c r="E262" s="74">
        <v>5.0000000000000001E-3</v>
      </c>
      <c r="F262" s="76" t="s">
        <v>237</v>
      </c>
      <c r="G262" s="77" t="s">
        <v>621</v>
      </c>
      <c r="H262" t="str">
        <f>VLOOKUP(D262,'DETALLE PRECIO INGREDIENTES'!B:B,1,0)</f>
        <v>ALMENDRAS EFILADAS</v>
      </c>
    </row>
    <row r="263" spans="2:8" ht="15.5" hidden="1" x14ac:dyDescent="0.35">
      <c r="B263" s="75" t="s">
        <v>199</v>
      </c>
      <c r="C263" s="75" t="s">
        <v>184</v>
      </c>
      <c r="D263" s="73" t="s">
        <v>411</v>
      </c>
      <c r="E263" s="74">
        <v>0.2</v>
      </c>
      <c r="F263" s="76" t="s">
        <v>237</v>
      </c>
      <c r="G263" s="77" t="s">
        <v>621</v>
      </c>
      <c r="H263" t="str">
        <f>VLOOKUP(D263,'DETALLE PRECIO INGREDIENTES'!B:B,1,0)</f>
        <v>PAPAS</v>
      </c>
    </row>
    <row r="264" spans="2:8" ht="15.5" hidden="1" x14ac:dyDescent="0.35">
      <c r="B264" s="75" t="s">
        <v>199</v>
      </c>
      <c r="C264" s="75" t="s">
        <v>184</v>
      </c>
      <c r="D264" s="73" t="s">
        <v>233</v>
      </c>
      <c r="E264" s="74">
        <v>0.3</v>
      </c>
      <c r="F264" s="76" t="s">
        <v>222</v>
      </c>
      <c r="G264" s="77" t="s">
        <v>220</v>
      </c>
      <c r="H264" t="str">
        <f>VLOOKUP(D264,'DETALLE PRECIO INGREDIENTES'!B:B,1,0)</f>
        <v>ACEITE PARA FREIR</v>
      </c>
    </row>
    <row r="265" spans="2:8" ht="15.5" hidden="1" x14ac:dyDescent="0.35">
      <c r="B265" s="75" t="s">
        <v>199</v>
      </c>
      <c r="C265" s="75" t="s">
        <v>184</v>
      </c>
      <c r="D265" s="73" t="s">
        <v>723</v>
      </c>
      <c r="E265" s="74">
        <v>0.5</v>
      </c>
      <c r="F265" s="76" t="s">
        <v>259</v>
      </c>
      <c r="G265" s="77" t="s">
        <v>621</v>
      </c>
      <c r="H265" t="str">
        <f>VLOOKUP(D265,'DETALLE PRECIO INGREDIENTES'!B:B,1,0)</f>
        <v>ZAPALLO ITALIANO</v>
      </c>
    </row>
    <row r="266" spans="2:8" ht="15.5" hidden="1" x14ac:dyDescent="0.35">
      <c r="B266" s="75" t="s">
        <v>199</v>
      </c>
      <c r="C266" s="75" t="s">
        <v>184</v>
      </c>
      <c r="D266" s="73" t="s">
        <v>720</v>
      </c>
      <c r="E266" s="74">
        <v>0.2</v>
      </c>
      <c r="F266" s="76" t="s">
        <v>237</v>
      </c>
      <c r="G266" s="77" t="s">
        <v>621</v>
      </c>
      <c r="H266" t="str">
        <f>VLOOKUP(D266,'DETALLE PRECIO INGREDIENTES'!B:B,1,0)</f>
        <v>ZANAHORIA</v>
      </c>
    </row>
    <row r="267" spans="2:8" ht="15.5" hidden="1" x14ac:dyDescent="0.35">
      <c r="B267" s="75" t="s">
        <v>199</v>
      </c>
      <c r="C267" s="75" t="s">
        <v>183</v>
      </c>
      <c r="D267" s="73" t="s">
        <v>773</v>
      </c>
      <c r="E267" s="74">
        <v>0.04</v>
      </c>
      <c r="F267" s="76" t="s">
        <v>237</v>
      </c>
      <c r="G267" s="77" t="s">
        <v>772</v>
      </c>
      <c r="H267" t="str">
        <f>VLOOKUP(D267,'DETALLE PRECIO INGREDIENTES'!B:B,1,0)</f>
        <v>POROTOS NEGROS</v>
      </c>
    </row>
    <row r="268" spans="2:8" ht="15.5" hidden="1" x14ac:dyDescent="0.35">
      <c r="B268" s="75" t="s">
        <v>199</v>
      </c>
      <c r="C268" s="75" t="s">
        <v>183</v>
      </c>
      <c r="D268" s="73" t="s">
        <v>628</v>
      </c>
      <c r="E268" s="74">
        <v>0.1</v>
      </c>
      <c r="F268" s="76" t="s">
        <v>259</v>
      </c>
      <c r="G268" s="77" t="s">
        <v>621</v>
      </c>
      <c r="H268" t="str">
        <f>VLOOKUP(D268,'DETALLE PRECIO INGREDIENTES'!B:B,1,0)</f>
        <v>AJO CABEZA</v>
      </c>
    </row>
    <row r="269" spans="2:8" ht="15.5" hidden="1" x14ac:dyDescent="0.35">
      <c r="B269" s="75" t="s">
        <v>199</v>
      </c>
      <c r="C269" s="75" t="s">
        <v>183</v>
      </c>
      <c r="D269" s="73" t="s">
        <v>370</v>
      </c>
      <c r="E269" s="74">
        <v>1E-3</v>
      </c>
      <c r="F269" s="76" t="s">
        <v>237</v>
      </c>
      <c r="G269" s="77" t="s">
        <v>220</v>
      </c>
      <c r="H269" t="str">
        <f>VLOOKUP(D269,'DETALLE PRECIO INGREDIENTES'!B:B,1,0)</f>
        <v>LAUREL</v>
      </c>
    </row>
    <row r="270" spans="2:8" ht="15.5" hidden="1" x14ac:dyDescent="0.35">
      <c r="B270" s="75" t="s">
        <v>199</v>
      </c>
      <c r="C270" s="75" t="s">
        <v>183</v>
      </c>
      <c r="D270" s="73" t="s">
        <v>427</v>
      </c>
      <c r="E270" s="74">
        <v>1E-3</v>
      </c>
      <c r="F270" s="76" t="s">
        <v>237</v>
      </c>
      <c r="G270" s="77" t="s">
        <v>220</v>
      </c>
      <c r="H270" t="str">
        <f>VLOOKUP(D270,'DETALLE PRECIO INGREDIENTES'!B:B,1,0)</f>
        <v>PIMIENTA NEGRA ENTERA</v>
      </c>
    </row>
    <row r="271" spans="2:8" ht="15.5" hidden="1" x14ac:dyDescent="0.35">
      <c r="B271" s="75" t="s">
        <v>199</v>
      </c>
      <c r="C271" s="75" t="s">
        <v>183</v>
      </c>
      <c r="D271" s="73" t="s">
        <v>707</v>
      </c>
      <c r="E271" s="74">
        <v>0.1</v>
      </c>
      <c r="F271" s="76" t="s">
        <v>259</v>
      </c>
      <c r="G271" s="77" t="s">
        <v>621</v>
      </c>
      <c r="H271" t="str">
        <f>VLOOKUP(D271,'DETALLE PRECIO INGREDIENTES'!B:B,1,0)</f>
        <v>PUERROS</v>
      </c>
    </row>
    <row r="272" spans="2:8" ht="15.5" hidden="1" x14ac:dyDescent="0.35">
      <c r="B272" s="75" t="s">
        <v>199</v>
      </c>
      <c r="C272" s="75" t="s">
        <v>183</v>
      </c>
      <c r="D272" s="73" t="s">
        <v>419</v>
      </c>
      <c r="E272" s="74">
        <v>6.0000000000000001E-3</v>
      </c>
      <c r="F272" s="76" t="s">
        <v>237</v>
      </c>
      <c r="G272" s="77" t="s">
        <v>220</v>
      </c>
      <c r="H272" t="str">
        <f>VLOOKUP(D272,'DETALLE PRECIO INGREDIENTES'!B:B,1,0)</f>
        <v>PASTA DE SESAMO/TAHINE</v>
      </c>
    </row>
    <row r="273" spans="2:8" ht="15.5" hidden="1" x14ac:dyDescent="0.35">
      <c r="B273" s="75" t="s">
        <v>199</v>
      </c>
      <c r="C273" s="75" t="s">
        <v>183</v>
      </c>
      <c r="D273" s="73" t="s">
        <v>680</v>
      </c>
      <c r="E273" s="74">
        <v>0.03</v>
      </c>
      <c r="F273" s="76" t="s">
        <v>237</v>
      </c>
      <c r="G273" s="77" t="s">
        <v>621</v>
      </c>
      <c r="H273" t="str">
        <f>VLOOKUP(D273,'DETALLE PRECIO INGREDIENTES'!B:B,1,0)</f>
        <v>LIMON DE JUGO</v>
      </c>
    </row>
    <row r="274" spans="2:8" ht="15.5" hidden="1" x14ac:dyDescent="0.35">
      <c r="B274" s="75" t="s">
        <v>199</v>
      </c>
      <c r="C274" s="75" t="s">
        <v>183</v>
      </c>
      <c r="D274" s="73" t="s">
        <v>230</v>
      </c>
      <c r="E274" s="74">
        <v>0.03</v>
      </c>
      <c r="F274" s="76" t="s">
        <v>222</v>
      </c>
      <c r="G274" s="77" t="s">
        <v>220</v>
      </c>
      <c r="H274" t="str">
        <f>VLOOKUP(D274,'DETALLE PRECIO INGREDIENTES'!B:B,1,0)</f>
        <v>ACEITE DE OLIVA</v>
      </c>
    </row>
    <row r="275" spans="2:8" ht="15.5" hidden="1" x14ac:dyDescent="0.35">
      <c r="B275" s="75" t="s">
        <v>199</v>
      </c>
      <c r="C275" s="75" t="s">
        <v>183</v>
      </c>
      <c r="D275" s="73" t="s">
        <v>628</v>
      </c>
      <c r="E275" s="74">
        <v>0.06</v>
      </c>
      <c r="F275" s="76" t="s">
        <v>259</v>
      </c>
      <c r="G275" s="77" t="s">
        <v>621</v>
      </c>
      <c r="H275" t="str">
        <f>VLOOKUP(D275,'DETALLE PRECIO INGREDIENTES'!B:B,1,0)</f>
        <v>AJO CABEZA</v>
      </c>
    </row>
    <row r="276" spans="2:8" ht="15.5" hidden="1" x14ac:dyDescent="0.35">
      <c r="B276" s="75" t="s">
        <v>199</v>
      </c>
      <c r="C276" s="75" t="s">
        <v>183</v>
      </c>
      <c r="D276" s="73" t="s">
        <v>343</v>
      </c>
      <c r="E276" s="74">
        <v>7.0000000000000007E-2</v>
      </c>
      <c r="F276" s="76" t="s">
        <v>259</v>
      </c>
      <c r="G276" s="77" t="s">
        <v>220</v>
      </c>
      <c r="H276" t="str">
        <f>VLOOKUP(D276,'DETALLE PRECIO INGREDIENTES'!B:B,1,0)</f>
        <v>GARBANZOS COCIDOS EN CONSERVA</v>
      </c>
    </row>
    <row r="277" spans="2:8" ht="15.5" hidden="1" x14ac:dyDescent="0.35">
      <c r="B277" s="75" t="s">
        <v>199</v>
      </c>
      <c r="C277" s="75" t="s">
        <v>183</v>
      </c>
      <c r="D277" s="73" t="s">
        <v>309</v>
      </c>
      <c r="E277" s="74">
        <v>1E-3</v>
      </c>
      <c r="F277" s="76" t="s">
        <v>237</v>
      </c>
      <c r="G277" s="77" t="s">
        <v>220</v>
      </c>
      <c r="H277" t="str">
        <f>VLOOKUP(D277,'DETALLE PRECIO INGREDIENTES'!B:B,1,0)</f>
        <v>COMINO MOLIDO</v>
      </c>
    </row>
    <row r="278" spans="2:8" ht="15.5" hidden="1" x14ac:dyDescent="0.35">
      <c r="B278" s="75" t="s">
        <v>199</v>
      </c>
      <c r="C278" s="75" t="s">
        <v>183</v>
      </c>
      <c r="D278" s="73" t="s">
        <v>413</v>
      </c>
      <c r="E278" s="74">
        <v>1E-3</v>
      </c>
      <c r="F278" s="76" t="s">
        <v>237</v>
      </c>
      <c r="G278" s="77" t="s">
        <v>220</v>
      </c>
      <c r="H278" t="str">
        <f>VLOOKUP(D278,'DETALLE PRECIO INGREDIENTES'!B:B,1,0)</f>
        <v>PAPRIKA</v>
      </c>
    </row>
    <row r="279" spans="2:8" ht="15.5" hidden="1" x14ac:dyDescent="0.35">
      <c r="B279" s="75" t="s">
        <v>199</v>
      </c>
      <c r="C279" s="75" t="s">
        <v>183</v>
      </c>
      <c r="D279" s="73" t="s">
        <v>458</v>
      </c>
      <c r="E279" s="74">
        <v>4.0000000000000001E-3</v>
      </c>
      <c r="F279" s="76" t="s">
        <v>237</v>
      </c>
      <c r="G279" s="77" t="s">
        <v>220</v>
      </c>
      <c r="H279" t="str">
        <f>VLOOKUP(D279,'DETALLE PRECIO INGREDIENTES'!B:B,1,0)</f>
        <v>SEMILLAS DE SESAMO BLANCO</v>
      </c>
    </row>
    <row r="280" spans="2:8" ht="15.5" hidden="1" x14ac:dyDescent="0.35">
      <c r="B280" s="75" t="s">
        <v>199</v>
      </c>
      <c r="C280" s="75" t="s">
        <v>183</v>
      </c>
      <c r="D280" s="73" t="s">
        <v>469</v>
      </c>
      <c r="E280" s="74">
        <v>4.3999999999999997E-2</v>
      </c>
      <c r="F280" s="76" t="s">
        <v>237</v>
      </c>
      <c r="G280" s="77" t="s">
        <v>220</v>
      </c>
      <c r="H280" t="str">
        <f>VLOOKUP(D280,'DETALLE PRECIO INGREDIENTES'!B:B,1,0)</f>
        <v>TRIGO BURGOL</v>
      </c>
    </row>
    <row r="281" spans="2:8" ht="15.5" hidden="1" x14ac:dyDescent="0.35">
      <c r="B281" s="75" t="s">
        <v>199</v>
      </c>
      <c r="C281" s="75" t="s">
        <v>183</v>
      </c>
      <c r="D281" s="73" t="s">
        <v>644</v>
      </c>
      <c r="E281" s="74">
        <v>0.15</v>
      </c>
      <c r="F281" s="76" t="s">
        <v>237</v>
      </c>
      <c r="G281" s="77" t="s">
        <v>621</v>
      </c>
      <c r="H281" t="str">
        <f>VLOOKUP(D281,'DETALLE PRECIO INGREDIENTES'!B:B,1,0)</f>
        <v>CEBOLLA BLANCA</v>
      </c>
    </row>
    <row r="282" spans="2:8" ht="15.5" hidden="1" x14ac:dyDescent="0.35">
      <c r="B282" s="75" t="s">
        <v>199</v>
      </c>
      <c r="C282" s="75" t="s">
        <v>183</v>
      </c>
      <c r="D282" s="73" t="s">
        <v>720</v>
      </c>
      <c r="E282" s="74">
        <v>0.05</v>
      </c>
      <c r="F282" s="76" t="s">
        <v>237</v>
      </c>
      <c r="G282" s="77" t="s">
        <v>621</v>
      </c>
      <c r="H282" t="str">
        <f>VLOOKUP(D282,'DETALLE PRECIO INGREDIENTES'!B:B,1,0)</f>
        <v>ZANAHORIA</v>
      </c>
    </row>
    <row r="283" spans="2:8" ht="15.5" x14ac:dyDescent="0.35">
      <c r="B283" s="75" t="s">
        <v>199</v>
      </c>
      <c r="C283" s="75" t="s">
        <v>183</v>
      </c>
      <c r="D283" s="73" t="s">
        <v>903</v>
      </c>
      <c r="E283" s="74">
        <v>0.1</v>
      </c>
      <c r="F283" s="76" t="s">
        <v>259</v>
      </c>
      <c r="G283" s="77" t="s">
        <v>621</v>
      </c>
      <c r="H283" t="e">
        <f>VLOOKUP(D283,'DETALLE PRECIO INGREDIENTES'!B:B,1,0)</f>
        <v>#N/A</v>
      </c>
    </row>
    <row r="284" spans="2:8" ht="15.5" hidden="1" x14ac:dyDescent="0.35">
      <c r="B284" s="75" t="s">
        <v>199</v>
      </c>
      <c r="C284" s="75" t="s">
        <v>183</v>
      </c>
      <c r="D284" s="73" t="s">
        <v>685</v>
      </c>
      <c r="E284" s="74">
        <v>4.0000000000000001E-3</v>
      </c>
      <c r="F284" s="76" t="s">
        <v>237</v>
      </c>
      <c r="G284" s="77" t="s">
        <v>621</v>
      </c>
      <c r="H284" t="str">
        <f>VLOOKUP(D284,'DETALLE PRECIO INGREDIENTES'!B:B,1,0)</f>
        <v>MENTA</v>
      </c>
    </row>
    <row r="285" spans="2:8" ht="15.5" hidden="1" x14ac:dyDescent="0.35">
      <c r="B285" s="75" t="s">
        <v>199</v>
      </c>
      <c r="C285" s="75" t="s">
        <v>183</v>
      </c>
      <c r="D285" s="73" t="s">
        <v>645</v>
      </c>
      <c r="E285" s="74">
        <v>0.06</v>
      </c>
      <c r="F285" s="76" t="s">
        <v>237</v>
      </c>
      <c r="G285" s="77" t="s">
        <v>621</v>
      </c>
      <c r="H285" t="str">
        <f>VLOOKUP(D285,'DETALLE PRECIO INGREDIENTES'!B:B,1,0)</f>
        <v>CEBOLLA MORADA</v>
      </c>
    </row>
    <row r="286" spans="2:8" ht="15.5" hidden="1" x14ac:dyDescent="0.35">
      <c r="B286" s="75" t="s">
        <v>199</v>
      </c>
      <c r="C286" s="75" t="s">
        <v>183</v>
      </c>
      <c r="D286" s="73" t="s">
        <v>715</v>
      </c>
      <c r="E286" s="74">
        <v>0.03</v>
      </c>
      <c r="F286" s="76" t="s">
        <v>237</v>
      </c>
      <c r="G286" s="77" t="s">
        <v>621</v>
      </c>
      <c r="H286" t="str">
        <f>VLOOKUP(D286,'DETALLE PRECIO INGREDIENTES'!B:B,1,0)</f>
        <v>TOMATE CHERRY</v>
      </c>
    </row>
    <row r="287" spans="2:8" ht="15.5" hidden="1" x14ac:dyDescent="0.35">
      <c r="B287" s="75" t="s">
        <v>199</v>
      </c>
      <c r="C287" s="75" t="s">
        <v>183</v>
      </c>
      <c r="D287" s="73" t="s">
        <v>696</v>
      </c>
      <c r="E287" s="74">
        <v>0.11</v>
      </c>
      <c r="F287" s="76" t="s">
        <v>259</v>
      </c>
      <c r="G287" s="77" t="s">
        <v>621</v>
      </c>
      <c r="H287" t="str">
        <f>VLOOKUP(D287,'DETALLE PRECIO INGREDIENTES'!B:B,1,0)</f>
        <v>PEPINO ENSALADA</v>
      </c>
    </row>
    <row r="288" spans="2:8" ht="15.5" hidden="1" x14ac:dyDescent="0.35">
      <c r="B288" s="75" t="s">
        <v>199</v>
      </c>
      <c r="C288" s="75" t="s">
        <v>183</v>
      </c>
      <c r="D288" s="73" t="s">
        <v>680</v>
      </c>
      <c r="E288" s="74">
        <v>0.06</v>
      </c>
      <c r="F288" s="76" t="s">
        <v>237</v>
      </c>
      <c r="G288" s="77" t="s">
        <v>621</v>
      </c>
      <c r="H288" t="str">
        <f>VLOOKUP(D288,'DETALLE PRECIO INGREDIENTES'!B:B,1,0)</f>
        <v>LIMON DE JUGO</v>
      </c>
    </row>
    <row r="289" spans="2:8" ht="15.5" hidden="1" x14ac:dyDescent="0.35">
      <c r="B289" s="75" t="s">
        <v>199</v>
      </c>
      <c r="C289" s="75" t="s">
        <v>183</v>
      </c>
      <c r="D289" s="73" t="s">
        <v>431</v>
      </c>
      <c r="E289" s="74">
        <v>0.03</v>
      </c>
      <c r="F289" s="76" t="s">
        <v>237</v>
      </c>
      <c r="G289" s="77" t="s">
        <v>220</v>
      </c>
      <c r="H289" t="str">
        <f>VLOOKUP(D289,'DETALLE PRECIO INGREDIENTES'!B:B,1,0)</f>
        <v>POLENTA</v>
      </c>
    </row>
    <row r="290" spans="2:8" ht="15.5" hidden="1" x14ac:dyDescent="0.35">
      <c r="B290" s="75" t="s">
        <v>199</v>
      </c>
      <c r="C290" s="75" t="s">
        <v>183</v>
      </c>
      <c r="D290" s="73" t="s">
        <v>748</v>
      </c>
      <c r="E290" s="74">
        <v>0.12</v>
      </c>
      <c r="F290" s="76" t="s">
        <v>222</v>
      </c>
      <c r="G290" s="77" t="s">
        <v>736</v>
      </c>
      <c r="H290" t="str">
        <f>VLOOKUP(D290,'DETALLE PRECIO INGREDIENTES'!B:B,1,0)</f>
        <v>LECHE ENTERA</v>
      </c>
    </row>
    <row r="291" spans="2:8" ht="15.5" hidden="1" x14ac:dyDescent="0.35">
      <c r="B291" s="75" t="s">
        <v>199</v>
      </c>
      <c r="C291" s="75" t="s">
        <v>183</v>
      </c>
      <c r="D291" s="73" t="s">
        <v>841</v>
      </c>
      <c r="E291" s="74">
        <v>0.05</v>
      </c>
      <c r="F291" s="76" t="s">
        <v>237</v>
      </c>
      <c r="G291" s="77" t="s">
        <v>839</v>
      </c>
      <c r="H291" t="str">
        <f>VLOOKUP(D291,'DETALLE PRECIO INGREDIENTES'!B:B,1,0)</f>
        <v>POLLO HUESOS</v>
      </c>
    </row>
    <row r="292" spans="2:8" ht="15.5" hidden="1" x14ac:dyDescent="0.35">
      <c r="B292" s="75" t="s">
        <v>199</v>
      </c>
      <c r="C292" s="75" t="s">
        <v>183</v>
      </c>
      <c r="D292" s="73" t="s">
        <v>750</v>
      </c>
      <c r="E292" s="74">
        <v>7.0000000000000001E-3</v>
      </c>
      <c r="F292" s="76" t="s">
        <v>237</v>
      </c>
      <c r="G292" s="77" t="s">
        <v>736</v>
      </c>
      <c r="H292" t="str">
        <f>VLOOKUP(D292,'DETALLE PRECIO INGREDIENTES'!B:B,1,0)</f>
        <v>MANTEQUILLA CON SAL</v>
      </c>
    </row>
    <row r="293" spans="2:8" ht="15.5" hidden="1" x14ac:dyDescent="0.35">
      <c r="B293" s="75" t="s">
        <v>199</v>
      </c>
      <c r="C293" s="75" t="s">
        <v>183</v>
      </c>
      <c r="D293" s="73" t="s">
        <v>769</v>
      </c>
      <c r="E293" s="74">
        <v>1.7000000000000001E-2</v>
      </c>
      <c r="F293" s="76" t="s">
        <v>237</v>
      </c>
      <c r="G293" s="77" t="s">
        <v>736</v>
      </c>
      <c r="H293" t="str">
        <f>VLOOKUP(D293,'DETALLE PRECIO INGREDIENTES'!B:B,1,0)</f>
        <v>QUESO PARMESANO</v>
      </c>
    </row>
    <row r="294" spans="2:8" ht="15.5" hidden="1" x14ac:dyDescent="0.35">
      <c r="B294" s="75" t="s">
        <v>199</v>
      </c>
      <c r="C294" s="75" t="s">
        <v>183</v>
      </c>
      <c r="D294" s="73" t="s">
        <v>440</v>
      </c>
      <c r="E294" s="74">
        <v>1.2E-2</v>
      </c>
      <c r="F294" s="76" t="s">
        <v>237</v>
      </c>
      <c r="G294" s="77" t="s">
        <v>220</v>
      </c>
      <c r="H294" t="str">
        <f>VLOOKUP(D294,'DETALLE PRECIO INGREDIENTES'!B:B,1,0)</f>
        <v>QUINOA ROJA</v>
      </c>
    </row>
    <row r="295" spans="2:8" ht="15.5" hidden="1" x14ac:dyDescent="0.35">
      <c r="B295" s="75" t="s">
        <v>199</v>
      </c>
      <c r="C295" s="75" t="s">
        <v>183</v>
      </c>
      <c r="D295" s="73" t="s">
        <v>439</v>
      </c>
      <c r="E295" s="74">
        <v>1.2E-2</v>
      </c>
      <c r="F295" s="76" t="s">
        <v>237</v>
      </c>
      <c r="G295" s="77" t="s">
        <v>220</v>
      </c>
      <c r="H295" t="str">
        <f>VLOOKUP(D295,'DETALLE PRECIO INGREDIENTES'!B:B,1,0)</f>
        <v>QUINOA NEGRA</v>
      </c>
    </row>
    <row r="296" spans="2:8" ht="15.5" hidden="1" x14ac:dyDescent="0.35">
      <c r="B296" s="75" t="s">
        <v>199</v>
      </c>
      <c r="C296" s="75" t="s">
        <v>183</v>
      </c>
      <c r="D296" s="73" t="s">
        <v>437</v>
      </c>
      <c r="E296" s="74">
        <v>1.2E-2</v>
      </c>
      <c r="F296" s="76" t="s">
        <v>237</v>
      </c>
      <c r="G296" s="77" t="s">
        <v>220</v>
      </c>
      <c r="H296" t="str">
        <f>VLOOKUP(D296,'DETALLE PRECIO INGREDIENTES'!B:B,1,0)</f>
        <v>QUINOA</v>
      </c>
    </row>
    <row r="297" spans="2:8" ht="15.5" hidden="1" x14ac:dyDescent="0.35">
      <c r="B297" s="75" t="s">
        <v>199</v>
      </c>
      <c r="C297" s="75" t="s">
        <v>183</v>
      </c>
      <c r="D297" s="73" t="s">
        <v>716</v>
      </c>
      <c r="E297" s="74">
        <v>0.12</v>
      </c>
      <c r="F297" s="76" t="s">
        <v>237</v>
      </c>
      <c r="G297" s="77" t="s">
        <v>621</v>
      </c>
      <c r="H297" t="str">
        <f>VLOOKUP(D297,'DETALLE PRECIO INGREDIENTES'!B:B,1,0)</f>
        <v>TOMATE LARGA VIDA</v>
      </c>
    </row>
    <row r="298" spans="2:8" ht="15.5" hidden="1" x14ac:dyDescent="0.35">
      <c r="B298" s="75" t="s">
        <v>199</v>
      </c>
      <c r="C298" s="75" t="s">
        <v>183</v>
      </c>
      <c r="D298" s="73" t="s">
        <v>691</v>
      </c>
      <c r="E298" s="74">
        <v>0.04</v>
      </c>
      <c r="F298" s="76" t="s">
        <v>237</v>
      </c>
      <c r="G298" s="77" t="s">
        <v>621</v>
      </c>
      <c r="H298" t="str">
        <f>VLOOKUP(D298,'DETALLE PRECIO INGREDIENTES'!B:B,1,0)</f>
        <v>PALTA HASS</v>
      </c>
    </row>
    <row r="299" spans="2:8" ht="15.5" hidden="1" x14ac:dyDescent="0.35">
      <c r="B299" s="75" t="s">
        <v>199</v>
      </c>
      <c r="C299" s="75" t="s">
        <v>183</v>
      </c>
      <c r="D299" s="73" t="s">
        <v>653</v>
      </c>
      <c r="E299" s="74">
        <v>0.03</v>
      </c>
      <c r="F299" s="76" t="s">
        <v>237</v>
      </c>
      <c r="G299" s="77" t="s">
        <v>621</v>
      </c>
      <c r="H299" t="str">
        <f>VLOOKUP(D299,'DETALLE PRECIO INGREDIENTES'!B:B,1,0)</f>
        <v>CHOCLO GRANO CONGELADO</v>
      </c>
    </row>
    <row r="300" spans="2:8" ht="15.5" hidden="1" x14ac:dyDescent="0.35">
      <c r="B300" s="75" t="s">
        <v>199</v>
      </c>
      <c r="C300" s="75" t="s">
        <v>183</v>
      </c>
      <c r="D300" s="73" t="s">
        <v>470</v>
      </c>
      <c r="E300" s="74">
        <v>0.04</v>
      </c>
      <c r="F300" s="76" t="s">
        <v>237</v>
      </c>
      <c r="G300" s="77" t="s">
        <v>220</v>
      </c>
      <c r="H300" t="str">
        <f>VLOOKUP(D300,'DETALLE PRECIO INGREDIENTES'!B:B,1,0)</f>
        <v>TRIGO MOTE</v>
      </c>
    </row>
    <row r="301" spans="2:8" ht="15.5" hidden="1" x14ac:dyDescent="0.35">
      <c r="B301" s="75" t="s">
        <v>199</v>
      </c>
      <c r="C301" s="75" t="s">
        <v>183</v>
      </c>
      <c r="D301" s="73" t="s">
        <v>722</v>
      </c>
      <c r="E301" s="74">
        <v>0.03</v>
      </c>
      <c r="F301" s="76" t="s">
        <v>237</v>
      </c>
      <c r="G301" s="77" t="s">
        <v>621</v>
      </c>
      <c r="H301" t="str">
        <f>VLOOKUP(D301,'DETALLE PRECIO INGREDIENTES'!B:B,1,0)</f>
        <v>ZAPALLO CAMOTE</v>
      </c>
    </row>
    <row r="302" spans="2:8" ht="15.5" hidden="1" x14ac:dyDescent="0.35">
      <c r="B302" s="75" t="s">
        <v>199</v>
      </c>
      <c r="C302" s="75" t="s">
        <v>183</v>
      </c>
      <c r="D302" s="73" t="s">
        <v>657</v>
      </c>
      <c r="E302" s="74">
        <v>2.5000000000000001E-3</v>
      </c>
      <c r="F302" s="76" t="s">
        <v>237</v>
      </c>
      <c r="G302" s="77" t="s">
        <v>621</v>
      </c>
      <c r="H302" t="str">
        <f>VLOOKUP(D302,'DETALLE PRECIO INGREDIENTES'!B:B,1,0)</f>
        <v>CILANTRO</v>
      </c>
    </row>
    <row r="303" spans="2:8" ht="15.5" hidden="1" x14ac:dyDescent="0.35">
      <c r="B303" s="75" t="s">
        <v>199</v>
      </c>
      <c r="C303" s="75" t="s">
        <v>183</v>
      </c>
      <c r="D303" s="73" t="s">
        <v>739</v>
      </c>
      <c r="E303" s="74">
        <v>0.03</v>
      </c>
      <c r="F303" s="76" t="s">
        <v>222</v>
      </c>
      <c r="G303" s="77" t="s">
        <v>736</v>
      </c>
      <c r="H303" t="str">
        <f>VLOOKUP(D303,'DETALLE PRECIO INGREDIENTES'!B:B,1,0)</f>
        <v>CREMA DE LECHE</v>
      </c>
    </row>
    <row r="304" spans="2:8" ht="15.5" hidden="1" x14ac:dyDescent="0.35">
      <c r="B304" s="75" t="s">
        <v>199</v>
      </c>
      <c r="C304" s="75" t="s">
        <v>183</v>
      </c>
      <c r="D304" s="73" t="s">
        <v>407</v>
      </c>
      <c r="E304" s="74">
        <v>1E-3</v>
      </c>
      <c r="F304" s="76" t="s">
        <v>237</v>
      </c>
      <c r="G304" s="77" t="s">
        <v>220</v>
      </c>
      <c r="H304" t="str">
        <f>VLOOKUP(D304,'DETALLE PRECIO INGREDIENTES'!B:B,1,0)</f>
        <v>OREGANO SECO</v>
      </c>
    </row>
    <row r="305" spans="2:8" ht="15.5" hidden="1" x14ac:dyDescent="0.35">
      <c r="B305" s="75" t="s">
        <v>199</v>
      </c>
      <c r="C305" s="75" t="s">
        <v>182</v>
      </c>
      <c r="D305" s="73" t="s">
        <v>589</v>
      </c>
      <c r="E305" s="74">
        <v>0.05</v>
      </c>
      <c r="F305" s="76" t="s">
        <v>237</v>
      </c>
      <c r="G305" s="77" t="s">
        <v>587</v>
      </c>
      <c r="H305" t="str">
        <f>VLOOKUP(D305,'DETALLE PRECIO INGREDIENTES'!B:B,1,0)</f>
        <v>POROTOS VERDES CONGELADOS</v>
      </c>
    </row>
    <row r="306" spans="2:8" ht="15.5" hidden="1" x14ac:dyDescent="0.35">
      <c r="B306" s="75" t="s">
        <v>199</v>
      </c>
      <c r="C306" s="75" t="s">
        <v>182</v>
      </c>
      <c r="D306" s="73" t="s">
        <v>644</v>
      </c>
      <c r="E306" s="74">
        <v>0.155</v>
      </c>
      <c r="F306" s="76" t="s">
        <v>237</v>
      </c>
      <c r="G306" s="77" t="s">
        <v>621</v>
      </c>
      <c r="H306" t="str">
        <f>VLOOKUP(D306,'DETALLE PRECIO INGREDIENTES'!B:B,1,0)</f>
        <v>CEBOLLA BLANCA</v>
      </c>
    </row>
    <row r="307" spans="2:8" ht="15.5" hidden="1" x14ac:dyDescent="0.35">
      <c r="B307" s="75" t="s">
        <v>199</v>
      </c>
      <c r="C307" s="75" t="s">
        <v>182</v>
      </c>
      <c r="D307" s="73" t="s">
        <v>729</v>
      </c>
      <c r="E307" s="74">
        <v>3</v>
      </c>
      <c r="F307" s="76" t="s">
        <v>259</v>
      </c>
      <c r="G307" s="77" t="s">
        <v>728</v>
      </c>
      <c r="H307" t="str">
        <f>VLOOKUP(D307,'DETALLE PRECIO INGREDIENTES'!B:B,1,0)</f>
        <v>HUEVO EXTRA BLANCO</v>
      </c>
    </row>
    <row r="308" spans="2:8" ht="15.5" hidden="1" x14ac:dyDescent="0.35">
      <c r="B308" s="75" t="s">
        <v>199</v>
      </c>
      <c r="C308" s="75" t="s">
        <v>182</v>
      </c>
      <c r="D308" s="73" t="s">
        <v>228</v>
      </c>
      <c r="E308" s="74">
        <v>0.03</v>
      </c>
      <c r="F308" s="76" t="s">
        <v>222</v>
      </c>
      <c r="G308" s="77" t="s">
        <v>220</v>
      </c>
      <c r="H308" t="str">
        <f>VLOOKUP(D308,'DETALLE PRECIO INGREDIENTES'!B:B,1,0)</f>
        <v>ACEITE DE MARAVILLA</v>
      </c>
    </row>
    <row r="309" spans="2:8" ht="15.5" hidden="1" x14ac:dyDescent="0.35">
      <c r="B309" s="75" t="s">
        <v>199</v>
      </c>
      <c r="C309" s="75" t="s">
        <v>182</v>
      </c>
      <c r="D309" s="73" t="s">
        <v>750</v>
      </c>
      <c r="E309" s="74">
        <v>4.4999999999999998E-2</v>
      </c>
      <c r="F309" s="76" t="s">
        <v>237</v>
      </c>
      <c r="G309" s="77" t="s">
        <v>736</v>
      </c>
      <c r="H309" t="str">
        <f>VLOOKUP(D309,'DETALLE PRECIO INGREDIENTES'!B:B,1,0)</f>
        <v>MANTEQUILLA CON SAL</v>
      </c>
    </row>
    <row r="310" spans="2:8" ht="15.5" hidden="1" x14ac:dyDescent="0.35">
      <c r="B310" s="75" t="s">
        <v>199</v>
      </c>
      <c r="C310" s="75" t="s">
        <v>182</v>
      </c>
      <c r="D310" s="73" t="s">
        <v>720</v>
      </c>
      <c r="E310" s="74">
        <v>0.13</v>
      </c>
      <c r="F310" s="76" t="s">
        <v>237</v>
      </c>
      <c r="G310" s="77" t="s">
        <v>621</v>
      </c>
      <c r="H310" t="str">
        <f>VLOOKUP(D310,'DETALLE PRECIO INGREDIENTES'!B:B,1,0)</f>
        <v>ZANAHORIA</v>
      </c>
    </row>
    <row r="311" spans="2:8" ht="15.5" hidden="1" x14ac:dyDescent="0.35">
      <c r="B311" s="75" t="s">
        <v>199</v>
      </c>
      <c r="C311" s="75" t="s">
        <v>182</v>
      </c>
      <c r="D311" s="73" t="s">
        <v>707</v>
      </c>
      <c r="E311" s="74">
        <v>0.3</v>
      </c>
      <c r="F311" s="76" t="s">
        <v>259</v>
      </c>
      <c r="G311" s="77" t="s">
        <v>621</v>
      </c>
      <c r="H311" t="str">
        <f>VLOOKUP(D311,'DETALLE PRECIO INGREDIENTES'!B:B,1,0)</f>
        <v>PUERROS</v>
      </c>
    </row>
    <row r="312" spans="2:8" ht="15.5" hidden="1" x14ac:dyDescent="0.35">
      <c r="B312" s="75" t="s">
        <v>199</v>
      </c>
      <c r="C312" s="75" t="s">
        <v>182</v>
      </c>
      <c r="D312" s="73" t="s">
        <v>748</v>
      </c>
      <c r="E312" s="74">
        <v>0.3</v>
      </c>
      <c r="F312" s="76" t="s">
        <v>222</v>
      </c>
      <c r="G312" s="77" t="s">
        <v>736</v>
      </c>
      <c r="H312" t="str">
        <f>VLOOKUP(D312,'DETALLE PRECIO INGREDIENTES'!B:B,1,0)</f>
        <v>LECHE ENTERA</v>
      </c>
    </row>
    <row r="313" spans="2:8" ht="15.5" hidden="1" x14ac:dyDescent="0.35">
      <c r="B313" s="75" t="s">
        <v>199</v>
      </c>
      <c r="C313" s="75" t="s">
        <v>182</v>
      </c>
      <c r="D313" s="73" t="s">
        <v>651</v>
      </c>
      <c r="E313" s="74">
        <v>0.06</v>
      </c>
      <c r="F313" s="76" t="s">
        <v>237</v>
      </c>
      <c r="G313" s="77" t="s">
        <v>621</v>
      </c>
      <c r="H313" t="str">
        <f>VLOOKUP(D313,'DETALLE PRECIO INGREDIENTES'!B:B,1,0)</f>
        <v>CHAMPIÑON PARIS</v>
      </c>
    </row>
    <row r="314" spans="2:8" ht="15.5" hidden="1" x14ac:dyDescent="0.35">
      <c r="B314" s="75" t="s">
        <v>199</v>
      </c>
      <c r="C314" s="75" t="s">
        <v>182</v>
      </c>
      <c r="D314" s="73" t="s">
        <v>413</v>
      </c>
      <c r="E314" s="74">
        <v>1E-3</v>
      </c>
      <c r="F314" s="76" t="s">
        <v>237</v>
      </c>
      <c r="G314" s="77" t="s">
        <v>220</v>
      </c>
      <c r="H314" t="str">
        <f>VLOOKUP(D314,'DETALLE PRECIO INGREDIENTES'!B:B,1,0)</f>
        <v>PAPRIKA</v>
      </c>
    </row>
    <row r="315" spans="2:8" ht="15.5" hidden="1" x14ac:dyDescent="0.35">
      <c r="B315" s="75" t="s">
        <v>199</v>
      </c>
      <c r="C315" s="75" t="s">
        <v>182</v>
      </c>
      <c r="D315" s="73" t="s">
        <v>254</v>
      </c>
      <c r="E315" s="74">
        <v>1E-3</v>
      </c>
      <c r="F315" s="76" t="s">
        <v>237</v>
      </c>
      <c r="G315" s="77" t="s">
        <v>220</v>
      </c>
      <c r="H315" t="str">
        <f>VLOOKUP(D315,'DETALLE PRECIO INGREDIENTES'!B:B,1,0)</f>
        <v>AJO EN POLVO</v>
      </c>
    </row>
    <row r="316" spans="2:8" ht="15.5" hidden="1" x14ac:dyDescent="0.35">
      <c r="B316" s="75" t="s">
        <v>199</v>
      </c>
      <c r="C316" s="75" t="s">
        <v>182</v>
      </c>
      <c r="D316" s="73" t="s">
        <v>354</v>
      </c>
      <c r="E316" s="74">
        <v>1.4999999999999999E-2</v>
      </c>
      <c r="F316" s="76" t="s">
        <v>237</v>
      </c>
      <c r="G316" s="77" t="s">
        <v>220</v>
      </c>
      <c r="H316" t="str">
        <f>VLOOKUP(D316,'DETALLE PRECIO INGREDIENTES'!B:B,1,0)</f>
        <v>HARINA BIZCOCHERA</v>
      </c>
    </row>
    <row r="317" spans="2:8" ht="15.5" hidden="1" x14ac:dyDescent="0.35">
      <c r="B317" s="75" t="s">
        <v>199</v>
      </c>
      <c r="C317" s="75" t="s">
        <v>182</v>
      </c>
      <c r="D317" s="73" t="s">
        <v>748</v>
      </c>
      <c r="E317" s="74">
        <v>0.14000000000000001</v>
      </c>
      <c r="F317" s="76" t="s">
        <v>222</v>
      </c>
      <c r="G317" s="77" t="s">
        <v>736</v>
      </c>
      <c r="H317" t="str">
        <f>VLOOKUP(D317,'DETALLE PRECIO INGREDIENTES'!B:B,1,0)</f>
        <v>LECHE ENTERA</v>
      </c>
    </row>
    <row r="318" spans="2:8" ht="15.5" hidden="1" x14ac:dyDescent="0.35">
      <c r="B318" s="75" t="s">
        <v>199</v>
      </c>
      <c r="C318" s="75" t="s">
        <v>182</v>
      </c>
      <c r="D318" s="73" t="s">
        <v>769</v>
      </c>
      <c r="E318" s="74">
        <v>0.06</v>
      </c>
      <c r="F318" s="76" t="s">
        <v>237</v>
      </c>
      <c r="G318" s="77" t="s">
        <v>736</v>
      </c>
      <c r="H318" t="str">
        <f>VLOOKUP(D318,'DETALLE PRECIO INGREDIENTES'!B:B,1,0)</f>
        <v>QUESO PARMESANO</v>
      </c>
    </row>
    <row r="319" spans="2:8" ht="15.5" hidden="1" x14ac:dyDescent="0.35">
      <c r="B319" s="75" t="s">
        <v>199</v>
      </c>
      <c r="C319" s="75" t="s">
        <v>182</v>
      </c>
      <c r="D319" s="73" t="s">
        <v>764</v>
      </c>
      <c r="E319" s="74">
        <v>0.03</v>
      </c>
      <c r="F319" s="76" t="s">
        <v>237</v>
      </c>
      <c r="G319" s="77" t="s">
        <v>736</v>
      </c>
      <c r="H319" t="str">
        <f>VLOOKUP(D319,'DETALLE PRECIO INGREDIENTES'!B:B,1,0)</f>
        <v>QUESO GRUYERE</v>
      </c>
    </row>
    <row r="320" spans="2:8" ht="15.5" hidden="1" x14ac:dyDescent="0.35">
      <c r="B320" s="75" t="s">
        <v>199</v>
      </c>
      <c r="C320" s="75" t="s">
        <v>182</v>
      </c>
      <c r="D320" s="73" t="s">
        <v>230</v>
      </c>
      <c r="E320" s="74">
        <v>2.1999999999999999E-2</v>
      </c>
      <c r="F320" s="76" t="s">
        <v>222</v>
      </c>
      <c r="G320" s="77" t="s">
        <v>220</v>
      </c>
      <c r="H320" t="str">
        <f>VLOOKUP(D320,'DETALLE PRECIO INGREDIENTES'!B:B,1,0)</f>
        <v>ACEITE DE OLIVA</v>
      </c>
    </row>
    <row r="321" spans="2:8" ht="15.5" hidden="1" x14ac:dyDescent="0.35">
      <c r="B321" s="75" t="s">
        <v>199</v>
      </c>
      <c r="C321" s="75" t="s">
        <v>182</v>
      </c>
      <c r="D321" s="73" t="s">
        <v>409</v>
      </c>
      <c r="E321" s="74">
        <v>2.1999999999999999E-2</v>
      </c>
      <c r="F321" s="76" t="s">
        <v>237</v>
      </c>
      <c r="G321" s="77" t="s">
        <v>220</v>
      </c>
      <c r="H321" t="str">
        <f>VLOOKUP(D321,'DETALLE PRECIO INGREDIENTES'!B:B,1,0)</f>
        <v>PAN RALLADO</v>
      </c>
    </row>
    <row r="322" spans="2:8" ht="15.5" hidden="1" x14ac:dyDescent="0.35">
      <c r="B322" s="75" t="s">
        <v>199</v>
      </c>
      <c r="C322" s="75" t="s">
        <v>182</v>
      </c>
      <c r="D322" s="73" t="s">
        <v>628</v>
      </c>
      <c r="E322" s="74">
        <v>0.1</v>
      </c>
      <c r="F322" s="76" t="s">
        <v>259</v>
      </c>
      <c r="G322" s="77" t="s">
        <v>621</v>
      </c>
      <c r="H322" t="str">
        <f>VLOOKUP(D322,'DETALLE PRECIO INGREDIENTES'!B:B,1,0)</f>
        <v>AJO CABEZA</v>
      </c>
    </row>
    <row r="323" spans="2:8" ht="15.5" hidden="1" x14ac:dyDescent="0.35">
      <c r="B323" s="75" t="s">
        <v>199</v>
      </c>
      <c r="C323" s="75" t="s">
        <v>182</v>
      </c>
      <c r="D323" s="73" t="s">
        <v>723</v>
      </c>
      <c r="E323" s="74">
        <v>0.5</v>
      </c>
      <c r="F323" s="76" t="s">
        <v>259</v>
      </c>
      <c r="G323" s="77" t="s">
        <v>621</v>
      </c>
      <c r="H323" t="str">
        <f>VLOOKUP(D323,'DETALLE PRECIO INGREDIENTES'!B:B,1,0)</f>
        <v>ZAPALLO ITALIANO</v>
      </c>
    </row>
    <row r="324" spans="2:8" ht="15.5" hidden="1" x14ac:dyDescent="0.35">
      <c r="B324" s="75" t="s">
        <v>199</v>
      </c>
      <c r="C324" s="75" t="s">
        <v>182</v>
      </c>
      <c r="D324" s="73" t="s">
        <v>407</v>
      </c>
      <c r="E324" s="74">
        <v>2E-3</v>
      </c>
      <c r="F324" s="76" t="s">
        <v>237</v>
      </c>
      <c r="G324" s="77" t="s">
        <v>220</v>
      </c>
      <c r="H324" t="str">
        <f>VLOOKUP(D324,'DETALLE PRECIO INGREDIENTES'!B:B,1,0)</f>
        <v>OREGANO SECO</v>
      </c>
    </row>
    <row r="325" spans="2:8" ht="15.5" hidden="1" x14ac:dyDescent="0.35">
      <c r="B325" s="75" t="s">
        <v>199</v>
      </c>
      <c r="C325" s="75" t="s">
        <v>182</v>
      </c>
      <c r="D325" s="73" t="s">
        <v>630</v>
      </c>
      <c r="E325" s="74">
        <v>1E-3</v>
      </c>
      <c r="F325" s="76" t="s">
        <v>237</v>
      </c>
      <c r="G325" s="77" t="s">
        <v>621</v>
      </c>
      <c r="H325" t="str">
        <f>VLOOKUP(D325,'DETALLE PRECIO INGREDIENTES'!B:B,1,0)</f>
        <v>ALBAHACA SECA</v>
      </c>
    </row>
    <row r="326" spans="2:8" ht="15.5" hidden="1" x14ac:dyDescent="0.35">
      <c r="B326" s="75" t="s">
        <v>199</v>
      </c>
      <c r="C326" s="75" t="s">
        <v>182</v>
      </c>
      <c r="D326" s="73" t="s">
        <v>803</v>
      </c>
      <c r="E326" s="74">
        <v>1.5</v>
      </c>
      <c r="F326" s="76" t="s">
        <v>259</v>
      </c>
      <c r="G326" s="77" t="s">
        <v>795</v>
      </c>
      <c r="H326" t="str">
        <f>VLOOKUP(D326,'DETALLE PRECIO INGREDIENTES'!B:B,1,0)</f>
        <v>PAN MOLDE BLANCO LAMINA</v>
      </c>
    </row>
    <row r="327" spans="2:8" ht="15.5" hidden="1" x14ac:dyDescent="0.35">
      <c r="B327" s="75" t="s">
        <v>199</v>
      </c>
      <c r="C327" s="75" t="s">
        <v>182</v>
      </c>
      <c r="D327" s="73" t="s">
        <v>766</v>
      </c>
      <c r="E327" s="74">
        <v>2.4E-2</v>
      </c>
      <c r="F327" s="76" t="s">
        <v>237</v>
      </c>
      <c r="G327" s="77" t="s">
        <v>736</v>
      </c>
      <c r="H327" t="str">
        <f>VLOOKUP(D327,'DETALLE PRECIO INGREDIENTES'!B:B,1,0)</f>
        <v>QUESO MANTECOSO PIEZA</v>
      </c>
    </row>
    <row r="328" spans="2:8" ht="15.5" hidden="1" x14ac:dyDescent="0.35">
      <c r="B328" s="75" t="s">
        <v>199</v>
      </c>
      <c r="C328" s="75" t="s">
        <v>182</v>
      </c>
      <c r="D328" s="73" t="s">
        <v>622</v>
      </c>
      <c r="E328" s="74">
        <v>7.0000000000000007E-2</v>
      </c>
      <c r="F328" s="76" t="s">
        <v>237</v>
      </c>
      <c r="G328" s="77" t="s">
        <v>621</v>
      </c>
      <c r="H328" t="str">
        <f>VLOOKUP(D328,'DETALLE PRECIO INGREDIENTES'!B:B,1,0)</f>
        <v>ACELGA</v>
      </c>
    </row>
    <row r="329" spans="2:8" ht="15.5" hidden="1" x14ac:dyDescent="0.35">
      <c r="B329" s="75" t="s">
        <v>199</v>
      </c>
      <c r="C329" s="75" t="s">
        <v>182</v>
      </c>
      <c r="D329" s="73" t="s">
        <v>411</v>
      </c>
      <c r="E329" s="74">
        <v>7.0000000000000007E-2</v>
      </c>
      <c r="F329" s="76" t="s">
        <v>222</v>
      </c>
      <c r="G329" s="77" t="s">
        <v>220</v>
      </c>
      <c r="H329" t="str">
        <f>VLOOKUP(D329,'DETALLE PRECIO INGREDIENTES'!B:B,1,0)</f>
        <v>PAPAS</v>
      </c>
    </row>
    <row r="330" spans="2:8" ht="15.5" hidden="1" x14ac:dyDescent="0.35">
      <c r="B330" s="75" t="s">
        <v>199</v>
      </c>
      <c r="C330" s="75" t="s">
        <v>181</v>
      </c>
      <c r="D330" s="73" t="s">
        <v>644</v>
      </c>
      <c r="E330" s="74">
        <v>0.1</v>
      </c>
      <c r="F330" s="76" t="s">
        <v>237</v>
      </c>
      <c r="G330" s="77" t="s">
        <v>621</v>
      </c>
      <c r="H330" t="str">
        <f>VLOOKUP(D330,'DETALLE PRECIO INGREDIENTES'!B:B,1,0)</f>
        <v>CEBOLLA BLANCA</v>
      </c>
    </row>
    <row r="331" spans="2:8" ht="15.5" hidden="1" x14ac:dyDescent="0.35">
      <c r="B331" s="75" t="s">
        <v>199</v>
      </c>
      <c r="C331" s="75" t="s">
        <v>181</v>
      </c>
      <c r="D331" s="73" t="s">
        <v>628</v>
      </c>
      <c r="E331" s="74">
        <v>0.2</v>
      </c>
      <c r="F331" s="76" t="s">
        <v>259</v>
      </c>
      <c r="G331" s="77" t="s">
        <v>621</v>
      </c>
      <c r="H331" t="str">
        <f>VLOOKUP(D331,'DETALLE PRECIO INGREDIENTES'!B:B,1,0)</f>
        <v>AJO CABEZA</v>
      </c>
    </row>
    <row r="332" spans="2:8" ht="15.5" hidden="1" x14ac:dyDescent="0.35">
      <c r="B332" s="75" t="s">
        <v>199</v>
      </c>
      <c r="C332" s="75" t="s">
        <v>181</v>
      </c>
      <c r="D332" s="73" t="s">
        <v>750</v>
      </c>
      <c r="E332" s="74">
        <v>1.4999999999999999E-2</v>
      </c>
      <c r="F332" s="76" t="s">
        <v>237</v>
      </c>
      <c r="G332" s="77" t="s">
        <v>736</v>
      </c>
      <c r="H332" t="str">
        <f>VLOOKUP(D332,'DETALLE PRECIO INGREDIENTES'!B:B,1,0)</f>
        <v>MANTEQUILLA CON SAL</v>
      </c>
    </row>
    <row r="333" spans="2:8" ht="15.5" hidden="1" x14ac:dyDescent="0.35">
      <c r="B333" s="75" t="s">
        <v>199</v>
      </c>
      <c r="C333" s="75" t="s">
        <v>181</v>
      </c>
      <c r="D333" s="73" t="s">
        <v>723</v>
      </c>
      <c r="E333" s="74">
        <v>1</v>
      </c>
      <c r="F333" s="76" t="s">
        <v>259</v>
      </c>
      <c r="G333" s="77" t="s">
        <v>621</v>
      </c>
      <c r="H333" t="str">
        <f>VLOOKUP(D333,'DETALLE PRECIO INGREDIENTES'!B:B,1,0)</f>
        <v>ZAPALLO ITALIANO</v>
      </c>
    </row>
    <row r="334" spans="2:8" ht="15.5" hidden="1" x14ac:dyDescent="0.35">
      <c r="B334" s="75" t="s">
        <v>199</v>
      </c>
      <c r="C334" s="75" t="s">
        <v>181</v>
      </c>
      <c r="D334" s="73" t="s">
        <v>407</v>
      </c>
      <c r="E334" s="74">
        <v>2E-3</v>
      </c>
      <c r="F334" s="76" t="s">
        <v>237</v>
      </c>
      <c r="G334" s="77" t="s">
        <v>220</v>
      </c>
      <c r="H334" t="str">
        <f>VLOOKUP(D334,'DETALLE PRECIO INGREDIENTES'!B:B,1,0)</f>
        <v>OREGANO SECO</v>
      </c>
    </row>
    <row r="335" spans="2:8" ht="15.5" hidden="1" x14ac:dyDescent="0.35">
      <c r="B335" s="75" t="s">
        <v>199</v>
      </c>
      <c r="C335" s="75" t="s">
        <v>181</v>
      </c>
      <c r="D335" s="73" t="s">
        <v>445</v>
      </c>
      <c r="E335" s="74">
        <v>0.01</v>
      </c>
      <c r="F335" s="76" t="s">
        <v>237</v>
      </c>
      <c r="G335" s="77" t="s">
        <v>220</v>
      </c>
      <c r="H335" t="str">
        <f>VLOOKUP(D335,'DETALLE PRECIO INGREDIENTES'!B:B,1,0)</f>
        <v>SAL DE MESA LOBOS</v>
      </c>
    </row>
    <row r="336" spans="2:8" ht="15.5" hidden="1" x14ac:dyDescent="0.35">
      <c r="B336" s="75" t="s">
        <v>199</v>
      </c>
      <c r="C336" s="75" t="s">
        <v>181</v>
      </c>
      <c r="D336" s="73" t="s">
        <v>428</v>
      </c>
      <c r="E336" s="74">
        <v>1E-3</v>
      </c>
      <c r="F336" s="76" t="s">
        <v>237</v>
      </c>
      <c r="G336" s="77" t="s">
        <v>220</v>
      </c>
      <c r="H336" t="str">
        <f>VLOOKUP(D336,'DETALLE PRECIO INGREDIENTES'!B:B,1,0)</f>
        <v>PIMIENTA NEGRA MOLIDA</v>
      </c>
    </row>
    <row r="337" spans="2:8" ht="15.5" hidden="1" x14ac:dyDescent="0.35">
      <c r="B337" s="75" t="s">
        <v>199</v>
      </c>
      <c r="C337" s="75" t="s">
        <v>181</v>
      </c>
      <c r="D337" s="73" t="s">
        <v>630</v>
      </c>
      <c r="E337" s="74">
        <v>1E-3</v>
      </c>
      <c r="F337" s="76" t="s">
        <v>237</v>
      </c>
      <c r="G337" s="77" t="s">
        <v>621</v>
      </c>
      <c r="H337" t="str">
        <f>VLOOKUP(D337,'DETALLE PRECIO INGREDIENTES'!B:B,1,0)</f>
        <v>ALBAHACA SECA</v>
      </c>
    </row>
    <row r="338" spans="2:8" ht="15.5" hidden="1" x14ac:dyDescent="0.35">
      <c r="B338" s="75" t="s">
        <v>199</v>
      </c>
      <c r="C338" s="75" t="s">
        <v>181</v>
      </c>
      <c r="D338" s="73" t="s">
        <v>803</v>
      </c>
      <c r="E338" s="74">
        <v>2</v>
      </c>
      <c r="F338" s="76" t="s">
        <v>259</v>
      </c>
      <c r="G338" s="77" t="s">
        <v>795</v>
      </c>
      <c r="H338" t="str">
        <f>VLOOKUP(D338,'DETALLE PRECIO INGREDIENTES'!B:B,1,0)</f>
        <v>PAN MOLDE BLANCO LAMINA</v>
      </c>
    </row>
    <row r="339" spans="2:8" ht="15.5" hidden="1" x14ac:dyDescent="0.35">
      <c r="B339" s="75" t="s">
        <v>199</v>
      </c>
      <c r="C339" s="75" t="s">
        <v>181</v>
      </c>
      <c r="D339" s="73" t="s">
        <v>748</v>
      </c>
      <c r="E339" s="74">
        <v>0.25</v>
      </c>
      <c r="F339" s="76" t="s">
        <v>222</v>
      </c>
      <c r="G339" s="77" t="s">
        <v>736</v>
      </c>
      <c r="H339" t="str">
        <f>VLOOKUP(D339,'DETALLE PRECIO INGREDIENTES'!B:B,1,0)</f>
        <v>LECHE ENTERA</v>
      </c>
    </row>
    <row r="340" spans="2:8" ht="15.5" hidden="1" x14ac:dyDescent="0.35">
      <c r="B340" s="75" t="s">
        <v>199</v>
      </c>
      <c r="C340" s="75" t="s">
        <v>181</v>
      </c>
      <c r="D340" s="73" t="s">
        <v>729</v>
      </c>
      <c r="E340" s="74">
        <v>1</v>
      </c>
      <c r="F340" s="76" t="s">
        <v>259</v>
      </c>
      <c r="G340" s="77" t="s">
        <v>728</v>
      </c>
      <c r="H340" t="str">
        <f>VLOOKUP(D340,'DETALLE PRECIO INGREDIENTES'!B:B,1,0)</f>
        <v>HUEVO EXTRA BLANCO</v>
      </c>
    </row>
    <row r="341" spans="2:8" ht="15.5" hidden="1" x14ac:dyDescent="0.35">
      <c r="B341" s="75" t="s">
        <v>199</v>
      </c>
      <c r="C341" s="75" t="s">
        <v>181</v>
      </c>
      <c r="D341" s="73" t="s">
        <v>769</v>
      </c>
      <c r="E341" s="74">
        <v>7.4999999999999997E-2</v>
      </c>
      <c r="F341" s="76" t="s">
        <v>237</v>
      </c>
      <c r="G341" s="77" t="s">
        <v>736</v>
      </c>
      <c r="H341" t="str">
        <f>VLOOKUP(D341,'DETALLE PRECIO INGREDIENTES'!B:B,1,0)</f>
        <v>QUESO PARMESANO</v>
      </c>
    </row>
    <row r="342" spans="2:8" ht="15.5" hidden="1" x14ac:dyDescent="0.35">
      <c r="B342" s="75" t="s">
        <v>199</v>
      </c>
      <c r="C342" s="75" t="s">
        <v>181</v>
      </c>
      <c r="D342" s="73" t="s">
        <v>765</v>
      </c>
      <c r="E342" s="74">
        <v>0.05</v>
      </c>
      <c r="F342" s="76" t="s">
        <v>237</v>
      </c>
      <c r="G342" s="77" t="s">
        <v>736</v>
      </c>
      <c r="H342" t="str">
        <f>VLOOKUP(D342,'DETALLE PRECIO INGREDIENTES'!B:B,1,0)</f>
        <v>QUESO MANTECOSO LAMINADO</v>
      </c>
    </row>
    <row r="343" spans="2:8" ht="15.5" hidden="1" x14ac:dyDescent="0.35">
      <c r="B343" s="75" t="s">
        <v>199</v>
      </c>
      <c r="C343" s="75" t="s">
        <v>181</v>
      </c>
      <c r="D343" s="73" t="s">
        <v>269</v>
      </c>
      <c r="E343" s="74">
        <v>0.1</v>
      </c>
      <c r="F343" s="76" t="s">
        <v>237</v>
      </c>
      <c r="G343" s="77" t="s">
        <v>220</v>
      </c>
      <c r="H343" t="str">
        <f>VLOOKUP(D343,'DETALLE PRECIO INGREDIENTES'!B:B,1,0)</f>
        <v>ARROZ GRANO LARGO GRADO 2</v>
      </c>
    </row>
    <row r="344" spans="2:8" ht="15.5" hidden="1" x14ac:dyDescent="0.35">
      <c r="B344" s="75" t="s">
        <v>199</v>
      </c>
      <c r="C344" s="75" t="s">
        <v>181</v>
      </c>
      <c r="D344" s="73" t="s">
        <v>665</v>
      </c>
      <c r="E344" s="74">
        <v>0.04</v>
      </c>
      <c r="F344" s="76" t="s">
        <v>237</v>
      </c>
      <c r="G344" s="77" t="s">
        <v>621</v>
      </c>
      <c r="H344" t="str">
        <f>VLOOKUP(D344,'DETALLE PRECIO INGREDIENTES'!B:B,1,0)</f>
        <v>ESPINACA</v>
      </c>
    </row>
    <row r="345" spans="2:8" ht="15.5" hidden="1" x14ac:dyDescent="0.35">
      <c r="B345" s="75" t="s">
        <v>199</v>
      </c>
      <c r="C345" s="75" t="s">
        <v>181</v>
      </c>
      <c r="D345" s="73" t="s">
        <v>230</v>
      </c>
      <c r="E345" s="74">
        <v>0.04</v>
      </c>
      <c r="F345" s="76" t="s">
        <v>222</v>
      </c>
      <c r="G345" s="77" t="s">
        <v>220</v>
      </c>
      <c r="H345" t="str">
        <f>VLOOKUP(D345,'DETALLE PRECIO INGREDIENTES'!B:B,1,0)</f>
        <v>ACEITE DE OLIVA</v>
      </c>
    </row>
    <row r="346" spans="2:8" ht="15.5" hidden="1" x14ac:dyDescent="0.35">
      <c r="B346" s="75" t="s">
        <v>199</v>
      </c>
      <c r="C346" s="75" t="s">
        <v>181</v>
      </c>
      <c r="D346" s="73" t="s">
        <v>411</v>
      </c>
      <c r="E346" s="74">
        <v>0.15</v>
      </c>
      <c r="F346" s="76" t="s">
        <v>237</v>
      </c>
      <c r="G346" s="77" t="s">
        <v>621</v>
      </c>
      <c r="H346" t="str">
        <f>VLOOKUP(D346,'DETALLE PRECIO INGREDIENTES'!B:B,1,0)</f>
        <v>PAPAS</v>
      </c>
    </row>
    <row r="347" spans="2:8" ht="15.5" hidden="1" x14ac:dyDescent="0.35">
      <c r="B347" s="75" t="s">
        <v>199</v>
      </c>
      <c r="C347" s="75" t="s">
        <v>181</v>
      </c>
      <c r="D347" s="73" t="s">
        <v>233</v>
      </c>
      <c r="E347" s="74">
        <v>0.3</v>
      </c>
      <c r="F347" s="76" t="s">
        <v>222</v>
      </c>
      <c r="G347" s="77" t="s">
        <v>220</v>
      </c>
      <c r="H347" t="str">
        <f>VLOOKUP(D347,'DETALLE PRECIO INGREDIENTES'!B:B,1,0)</f>
        <v>ACEITE PARA FREIR</v>
      </c>
    </row>
    <row r="348" spans="2:8" ht="15.5" x14ac:dyDescent="0.35">
      <c r="B348" s="75" t="s">
        <v>199</v>
      </c>
      <c r="C348" s="75" t="s">
        <v>180</v>
      </c>
      <c r="D348" s="73" t="s">
        <v>904</v>
      </c>
      <c r="E348" s="74">
        <v>0.5</v>
      </c>
      <c r="F348" s="76" t="s">
        <v>259</v>
      </c>
      <c r="G348" s="77" t="s">
        <v>839</v>
      </c>
      <c r="H348" t="e">
        <f>VLOOKUP(D348,'DETALLE PRECIO INGREDIENTES'!B:B,1,0)</f>
        <v>#N/A</v>
      </c>
    </row>
    <row r="349" spans="2:8" ht="15.5" hidden="1" x14ac:dyDescent="0.35">
      <c r="B349" s="75" t="s">
        <v>199</v>
      </c>
      <c r="C349" s="75" t="s">
        <v>180</v>
      </c>
      <c r="D349" s="73" t="s">
        <v>233</v>
      </c>
      <c r="E349" s="74">
        <v>0.12</v>
      </c>
      <c r="F349" s="76" t="e">
        <v>#REF!</v>
      </c>
      <c r="G349" s="77" t="e">
        <v>#REF!</v>
      </c>
      <c r="H349" t="str">
        <f>VLOOKUP(D349,'DETALLE PRECIO INGREDIENTES'!B:B,1,0)</f>
        <v>ACEITE PARA FREIR</v>
      </c>
    </row>
    <row r="350" spans="2:8" ht="15.5" hidden="1" x14ac:dyDescent="0.35">
      <c r="B350" s="75" t="s">
        <v>199</v>
      </c>
      <c r="C350" s="75" t="s">
        <v>180</v>
      </c>
      <c r="D350" s="73" t="s">
        <v>844</v>
      </c>
      <c r="E350" s="74">
        <v>0.12</v>
      </c>
      <c r="F350" s="76" t="s">
        <v>237</v>
      </c>
      <c r="G350" s="77" t="s">
        <v>839</v>
      </c>
      <c r="H350" t="str">
        <f>VLOOKUP(D350,'DETALLE PRECIO INGREDIENTES'!B:B,1,0)</f>
        <v>POLLO TRUTRO ALA</v>
      </c>
    </row>
    <row r="351" spans="2:8" ht="15.5" hidden="1" x14ac:dyDescent="0.35">
      <c r="B351" s="75" t="s">
        <v>199</v>
      </c>
      <c r="C351" s="75" t="s">
        <v>180</v>
      </c>
      <c r="D351" s="73" t="s">
        <v>254</v>
      </c>
      <c r="E351" s="74">
        <v>1E-3</v>
      </c>
      <c r="F351" s="76" t="s">
        <v>237</v>
      </c>
      <c r="G351" s="77" t="s">
        <v>220</v>
      </c>
      <c r="H351" t="str">
        <f>VLOOKUP(D351,'DETALLE PRECIO INGREDIENTES'!B:B,1,0)</f>
        <v>AJO EN POLVO</v>
      </c>
    </row>
    <row r="352" spans="2:8" ht="15.5" hidden="1" x14ac:dyDescent="0.35">
      <c r="B352" s="75" t="s">
        <v>199</v>
      </c>
      <c r="C352" s="75" t="s">
        <v>180</v>
      </c>
      <c r="D352" s="73" t="s">
        <v>426</v>
      </c>
      <c r="E352" s="74">
        <v>2E-3</v>
      </c>
      <c r="F352" s="76" t="s">
        <v>237</v>
      </c>
      <c r="G352" s="77" t="s">
        <v>220</v>
      </c>
      <c r="H352" t="str">
        <f>VLOOKUP(D352,'DETALLE PRECIO INGREDIENTES'!B:B,1,0)</f>
        <v>PIMIENTA CAYENA</v>
      </c>
    </row>
    <row r="353" spans="2:8" ht="15.5" hidden="1" x14ac:dyDescent="0.35">
      <c r="B353" s="75" t="s">
        <v>199</v>
      </c>
      <c r="C353" s="75" t="s">
        <v>180</v>
      </c>
      <c r="D353" s="73" t="s">
        <v>252</v>
      </c>
      <c r="E353" s="74">
        <v>4.0000000000000001E-3</v>
      </c>
      <c r="F353" s="76" t="s">
        <v>222</v>
      </c>
      <c r="G353" s="77" t="s">
        <v>220</v>
      </c>
      <c r="H353" t="str">
        <f>VLOOKUP(D353,'DETALLE PRECIO INGREDIENTES'!B:B,1,0)</f>
        <v>AJI TABASCO ROJO</v>
      </c>
    </row>
    <row r="354" spans="2:8" ht="15.5" hidden="1" x14ac:dyDescent="0.35">
      <c r="B354" s="75" t="s">
        <v>199</v>
      </c>
      <c r="C354" s="75" t="s">
        <v>180</v>
      </c>
      <c r="D354" s="73" t="s">
        <v>451</v>
      </c>
      <c r="E354" s="74">
        <v>3.0000000000000001E-3</v>
      </c>
      <c r="F354" s="76" t="s">
        <v>222</v>
      </c>
      <c r="G354" s="77" t="s">
        <v>220</v>
      </c>
      <c r="H354" t="str">
        <f>VLOOKUP(D354,'DETALLE PRECIO INGREDIENTES'!B:B,1,0)</f>
        <v>SALSA INGLESA</v>
      </c>
    </row>
    <row r="355" spans="2:8" ht="15.5" hidden="1" x14ac:dyDescent="0.35">
      <c r="B355" s="75" t="s">
        <v>199</v>
      </c>
      <c r="C355" s="75" t="s">
        <v>180</v>
      </c>
      <c r="D355" s="73" t="s">
        <v>750</v>
      </c>
      <c r="E355" s="74">
        <v>0.04</v>
      </c>
      <c r="F355" s="76" t="s">
        <v>237</v>
      </c>
      <c r="G355" s="77" t="s">
        <v>736</v>
      </c>
      <c r="H355" t="str">
        <f>VLOOKUP(D355,'DETALLE PRECIO INGREDIENTES'!B:B,1,0)</f>
        <v>MANTEQUILLA CON SAL</v>
      </c>
    </row>
    <row r="356" spans="2:8" ht="15.5" hidden="1" x14ac:dyDescent="0.35">
      <c r="B356" s="75" t="s">
        <v>199</v>
      </c>
      <c r="C356" s="75" t="s">
        <v>180</v>
      </c>
      <c r="D356" s="73" t="s">
        <v>472</v>
      </c>
      <c r="E356" s="74">
        <v>1.2E-2</v>
      </c>
      <c r="F356" s="76" t="s">
        <v>222</v>
      </c>
      <c r="G356" s="77" t="s">
        <v>220</v>
      </c>
      <c r="H356" t="str">
        <f>VLOOKUP(D356,'DETALLE PRECIO INGREDIENTES'!B:B,1,0)</f>
        <v>VINAGRE BLANCO</v>
      </c>
    </row>
    <row r="357" spans="2:8" ht="15.5" hidden="1" x14ac:dyDescent="0.35">
      <c r="B357" s="75" t="s">
        <v>199</v>
      </c>
      <c r="C357" s="75" t="s">
        <v>180</v>
      </c>
      <c r="D357" s="73" t="s">
        <v>251</v>
      </c>
      <c r="E357" s="74">
        <v>2.3E-2</v>
      </c>
      <c r="F357" s="76" t="s">
        <v>237</v>
      </c>
      <c r="G357" s="77" t="s">
        <v>220</v>
      </c>
      <c r="H357" t="str">
        <f>VLOOKUP(D357,'DETALLE PRECIO INGREDIENTES'!B:B,1,0)</f>
        <v>AJI SRIRACHA</v>
      </c>
    </row>
    <row r="358" spans="2:8" ht="15.5" hidden="1" x14ac:dyDescent="0.35">
      <c r="B358" s="75" t="s">
        <v>199</v>
      </c>
      <c r="C358" s="75" t="s">
        <v>180</v>
      </c>
      <c r="D358" s="73" t="s">
        <v>277</v>
      </c>
      <c r="E358" s="74">
        <v>0.02</v>
      </c>
      <c r="F358" s="76" t="s">
        <v>237</v>
      </c>
      <c r="G358" s="77" t="s">
        <v>220</v>
      </c>
      <c r="H358" t="str">
        <f>VLOOKUP(D358,'DETALLE PRECIO INGREDIENTES'!B:B,1,0)</f>
        <v>AZUCAR BLANCA GRANULADA</v>
      </c>
    </row>
    <row r="359" spans="2:8" ht="15.5" hidden="1" x14ac:dyDescent="0.35">
      <c r="B359" s="75" t="s">
        <v>199</v>
      </c>
      <c r="C359" s="75" t="s">
        <v>180</v>
      </c>
      <c r="D359" s="73" t="s">
        <v>354</v>
      </c>
      <c r="E359" s="74">
        <v>0.05</v>
      </c>
      <c r="F359" s="76" t="s">
        <v>237</v>
      </c>
      <c r="G359" s="77" t="s">
        <v>220</v>
      </c>
      <c r="H359" t="str">
        <f>VLOOKUP(D359,'DETALLE PRECIO INGREDIENTES'!B:B,1,0)</f>
        <v>HARINA BIZCOCHERA</v>
      </c>
    </row>
    <row r="360" spans="2:8" ht="15.5" hidden="1" x14ac:dyDescent="0.35">
      <c r="B360" s="75" t="s">
        <v>199</v>
      </c>
      <c r="C360" s="75" t="s">
        <v>180</v>
      </c>
      <c r="D360" s="73" t="s">
        <v>375</v>
      </c>
      <c r="E360" s="74">
        <v>2.5000000000000001E-2</v>
      </c>
      <c r="F360" s="76" t="s">
        <v>237</v>
      </c>
      <c r="G360" s="77" t="s">
        <v>220</v>
      </c>
      <c r="H360" t="str">
        <f>VLOOKUP(D360,'DETALLE PRECIO INGREDIENTES'!B:B,1,0)</f>
        <v>MAICENA</v>
      </c>
    </row>
    <row r="361" spans="2:8" ht="15.5" hidden="1" x14ac:dyDescent="0.35">
      <c r="B361" s="75" t="s">
        <v>199</v>
      </c>
      <c r="C361" s="75" t="s">
        <v>180</v>
      </c>
      <c r="D361" s="73" t="s">
        <v>413</v>
      </c>
      <c r="E361" s="74">
        <v>1E-3</v>
      </c>
      <c r="F361" s="76" t="s">
        <v>237</v>
      </c>
      <c r="G361" s="77" t="s">
        <v>220</v>
      </c>
      <c r="H361" t="str">
        <f>VLOOKUP(D361,'DETALLE PRECIO INGREDIENTES'!B:B,1,0)</f>
        <v>PAPRIKA</v>
      </c>
    </row>
    <row r="362" spans="2:8" ht="15.5" hidden="1" x14ac:dyDescent="0.35">
      <c r="B362" s="75" t="s">
        <v>199</v>
      </c>
      <c r="C362" s="75" t="s">
        <v>180</v>
      </c>
      <c r="D362" s="73" t="s">
        <v>644</v>
      </c>
      <c r="E362" s="74">
        <v>0.06</v>
      </c>
      <c r="F362" s="76" t="s">
        <v>237</v>
      </c>
      <c r="G362" s="77" t="s">
        <v>621</v>
      </c>
      <c r="H362" t="str">
        <f>VLOOKUP(D362,'DETALLE PRECIO INGREDIENTES'!B:B,1,0)</f>
        <v>CEBOLLA BLANCA</v>
      </c>
    </row>
    <row r="363" spans="2:8" ht="15.5" hidden="1" x14ac:dyDescent="0.35">
      <c r="B363" s="75" t="s">
        <v>199</v>
      </c>
      <c r="C363" s="75" t="s">
        <v>180</v>
      </c>
      <c r="D363" s="73" t="s">
        <v>720</v>
      </c>
      <c r="E363" s="74">
        <v>0.04</v>
      </c>
      <c r="F363" s="76" t="s">
        <v>237</v>
      </c>
      <c r="G363" s="77" t="s">
        <v>621</v>
      </c>
      <c r="H363" t="str">
        <f>VLOOKUP(D363,'DETALLE PRECIO INGREDIENTES'!B:B,1,0)</f>
        <v>ZANAHORIA</v>
      </c>
    </row>
    <row r="364" spans="2:8" ht="15.5" hidden="1" x14ac:dyDescent="0.35">
      <c r="B364" s="75" t="s">
        <v>199</v>
      </c>
      <c r="C364" s="75" t="s">
        <v>180</v>
      </c>
      <c r="D364" s="73" t="s">
        <v>228</v>
      </c>
      <c r="E364" s="74">
        <v>0.02</v>
      </c>
      <c r="F364" s="76" t="s">
        <v>222</v>
      </c>
      <c r="G364" s="77" t="s">
        <v>220</v>
      </c>
      <c r="H364" t="str">
        <f>VLOOKUP(D364,'DETALLE PRECIO INGREDIENTES'!B:B,1,0)</f>
        <v>ACEITE DE MARAVILLA</v>
      </c>
    </row>
    <row r="365" spans="2:8" ht="15.5" hidden="1" x14ac:dyDescent="0.35">
      <c r="B365" s="75" t="s">
        <v>199</v>
      </c>
      <c r="C365" s="75" t="s">
        <v>180</v>
      </c>
      <c r="D365" s="73" t="s">
        <v>628</v>
      </c>
      <c r="E365" s="74">
        <v>0.1</v>
      </c>
      <c r="F365" s="76" t="s">
        <v>259</v>
      </c>
      <c r="G365" s="77" t="s">
        <v>621</v>
      </c>
      <c r="H365" t="str">
        <f>VLOOKUP(D365,'DETALLE PRECIO INGREDIENTES'!B:B,1,0)</f>
        <v>AJO CABEZA</v>
      </c>
    </row>
    <row r="366" spans="2:8" ht="15.5" hidden="1" x14ac:dyDescent="0.35">
      <c r="B366" s="75" t="s">
        <v>199</v>
      </c>
      <c r="C366" s="75" t="s">
        <v>180</v>
      </c>
      <c r="D366" s="73" t="s">
        <v>845</v>
      </c>
      <c r="E366" s="74">
        <v>0.15</v>
      </c>
      <c r="F366" s="76" t="s">
        <v>237</v>
      </c>
      <c r="G366" s="77" t="s">
        <v>839</v>
      </c>
      <c r="H366" t="str">
        <f>VLOOKUP(D366,'DETALLE PRECIO INGREDIENTES'!B:B,1,0)</f>
        <v>POLLO TRUTRO CORTO</v>
      </c>
    </row>
    <row r="367" spans="2:8" ht="15.5" hidden="1" x14ac:dyDescent="0.35">
      <c r="B367" s="75" t="s">
        <v>199</v>
      </c>
      <c r="C367" s="75" t="s">
        <v>180</v>
      </c>
      <c r="D367" s="73" t="s">
        <v>878</v>
      </c>
      <c r="E367" s="74">
        <v>0.03</v>
      </c>
      <c r="F367" s="76" t="s">
        <v>222</v>
      </c>
      <c r="G367" s="77" t="s">
        <v>876</v>
      </c>
      <c r="H367" t="str">
        <f>VLOOKUP(D367,'DETALLE PRECIO INGREDIENTES'!B:B,1,0)</f>
        <v>VINO BLANCO TETRA PACK</v>
      </c>
    </row>
    <row r="368" spans="2:8" ht="15.5" hidden="1" x14ac:dyDescent="0.35">
      <c r="B368" s="75" t="s">
        <v>199</v>
      </c>
      <c r="C368" s="75" t="s">
        <v>180</v>
      </c>
      <c r="D368" s="73" t="s">
        <v>370</v>
      </c>
      <c r="E368" s="74">
        <v>1E-3</v>
      </c>
      <c r="F368" s="76" t="s">
        <v>237</v>
      </c>
      <c r="G368" s="77" t="s">
        <v>220</v>
      </c>
      <c r="H368" t="str">
        <f>VLOOKUP(D368,'DETALLE PRECIO INGREDIENTES'!B:B,1,0)</f>
        <v>LAUREL</v>
      </c>
    </row>
    <row r="369" spans="2:8" ht="15.5" hidden="1" x14ac:dyDescent="0.35">
      <c r="B369" s="75" t="s">
        <v>199</v>
      </c>
      <c r="C369" s="75" t="s">
        <v>180</v>
      </c>
      <c r="D369" s="73" t="s">
        <v>406</v>
      </c>
      <c r="E369" s="74">
        <v>1E-3</v>
      </c>
      <c r="F369" s="76" t="s">
        <v>237</v>
      </c>
      <c r="G369" s="77" t="s">
        <v>220</v>
      </c>
      <c r="H369" t="str">
        <f>VLOOKUP(D369,'DETALLE PRECIO INGREDIENTES'!B:B,1,0)</f>
        <v>OREGANO FRESCO</v>
      </c>
    </row>
    <row r="370" spans="2:8" ht="15.5" hidden="1" x14ac:dyDescent="0.35">
      <c r="B370" s="75" t="s">
        <v>199</v>
      </c>
      <c r="C370" s="75" t="s">
        <v>180</v>
      </c>
      <c r="D370" s="73" t="s">
        <v>635</v>
      </c>
      <c r="E370" s="74">
        <v>0.05</v>
      </c>
      <c r="F370" s="76" t="s">
        <v>237</v>
      </c>
      <c r="G370" s="77" t="s">
        <v>621</v>
      </c>
      <c r="H370" t="str">
        <f>VLOOKUP(D370,'DETALLE PRECIO INGREDIENTES'!B:B,1,0)</f>
        <v>ARVEJAS CONGELADAS</v>
      </c>
    </row>
    <row r="371" spans="2:8" ht="15.5" hidden="1" x14ac:dyDescent="0.35">
      <c r="B371" s="75" t="s">
        <v>199</v>
      </c>
      <c r="C371" s="75" t="s">
        <v>180</v>
      </c>
      <c r="D371" s="73" t="s">
        <v>445</v>
      </c>
      <c r="E371" s="74">
        <v>0.03</v>
      </c>
      <c r="F371" s="76" t="s">
        <v>237</v>
      </c>
      <c r="G371" s="77" t="s">
        <v>220</v>
      </c>
      <c r="H371" t="str">
        <f>VLOOKUP(D371,'DETALLE PRECIO INGREDIENTES'!B:B,1,0)</f>
        <v>SAL DE MESA LOBOS</v>
      </c>
    </row>
    <row r="372" spans="2:8" ht="15.5" hidden="1" x14ac:dyDescent="0.35">
      <c r="B372" s="75" t="s">
        <v>199</v>
      </c>
      <c r="C372" s="75" t="s">
        <v>180</v>
      </c>
      <c r="D372" s="73" t="s">
        <v>428</v>
      </c>
      <c r="E372" s="74">
        <v>1E-3</v>
      </c>
      <c r="F372" s="76" t="s">
        <v>237</v>
      </c>
      <c r="G372" s="77" t="s">
        <v>220</v>
      </c>
      <c r="H372" t="str">
        <f>VLOOKUP(D372,'DETALLE PRECIO INGREDIENTES'!B:B,1,0)</f>
        <v>PIMIENTA NEGRA MOLIDA</v>
      </c>
    </row>
    <row r="373" spans="2:8" ht="15.5" x14ac:dyDescent="0.35">
      <c r="B373" s="75" t="s">
        <v>199</v>
      </c>
      <c r="C373" s="75" t="s">
        <v>179</v>
      </c>
      <c r="D373" s="73" t="s">
        <v>904</v>
      </c>
      <c r="E373" s="74">
        <v>0.5</v>
      </c>
      <c r="F373" s="76" t="s">
        <v>259</v>
      </c>
      <c r="G373" s="77" t="s">
        <v>839</v>
      </c>
      <c r="H373" t="e">
        <f>VLOOKUP(D373,'DETALLE PRECIO INGREDIENTES'!B:B,1,0)</f>
        <v>#N/A</v>
      </c>
    </row>
    <row r="374" spans="2:8" ht="15.5" hidden="1" x14ac:dyDescent="0.35">
      <c r="B374" s="75" t="s">
        <v>199</v>
      </c>
      <c r="C374" s="75" t="s">
        <v>179</v>
      </c>
      <c r="D374" s="73" t="s">
        <v>757</v>
      </c>
      <c r="E374" s="74">
        <v>0.08</v>
      </c>
      <c r="F374" s="76" t="s">
        <v>237</v>
      </c>
      <c r="G374" s="77" t="s">
        <v>736</v>
      </c>
      <c r="H374" t="str">
        <f>VLOOKUP(D374,'DETALLE PRECIO INGREDIENTES'!B:B,1,0)</f>
        <v>QUESO CHANCO LAMINADO</v>
      </c>
    </row>
    <row r="375" spans="2:8" ht="15.5" hidden="1" x14ac:dyDescent="0.35">
      <c r="B375" s="75" t="s">
        <v>199</v>
      </c>
      <c r="C375" s="75" t="s">
        <v>179</v>
      </c>
      <c r="D375" s="73" t="s">
        <v>733</v>
      </c>
      <c r="E375" s="74">
        <v>0.08</v>
      </c>
      <c r="F375" s="76" t="s">
        <v>237</v>
      </c>
      <c r="G375" s="77" t="s">
        <v>731</v>
      </c>
      <c r="H375" t="str">
        <f>VLOOKUP(D375,'DETALLE PRECIO INGREDIENTES'!B:B,1,0)</f>
        <v>JAMON PIERNA LAMINADO</v>
      </c>
    </row>
    <row r="376" spans="2:8" ht="15.5" hidden="1" x14ac:dyDescent="0.35">
      <c r="B376" s="75" t="s">
        <v>199</v>
      </c>
      <c r="C376" s="75" t="s">
        <v>179</v>
      </c>
      <c r="D376" s="73" t="s">
        <v>729</v>
      </c>
      <c r="E376" s="74">
        <v>1</v>
      </c>
      <c r="F376" s="76" t="s">
        <v>259</v>
      </c>
      <c r="G376" s="77" t="s">
        <v>728</v>
      </c>
      <c r="H376" t="str">
        <f>VLOOKUP(D376,'DETALLE PRECIO INGREDIENTES'!B:B,1,0)</f>
        <v>HUEVO EXTRA BLANCO</v>
      </c>
    </row>
    <row r="377" spans="2:8" ht="15.5" hidden="1" x14ac:dyDescent="0.35">
      <c r="B377" s="75" t="s">
        <v>199</v>
      </c>
      <c r="C377" s="75" t="s">
        <v>179</v>
      </c>
      <c r="D377" s="73" t="s">
        <v>354</v>
      </c>
      <c r="E377" s="74">
        <v>0.06</v>
      </c>
      <c r="F377" s="76" t="s">
        <v>237</v>
      </c>
      <c r="G377" s="77" t="s">
        <v>220</v>
      </c>
      <c r="H377" t="str">
        <f>VLOOKUP(D377,'DETALLE PRECIO INGREDIENTES'!B:B,1,0)</f>
        <v>HARINA BIZCOCHERA</v>
      </c>
    </row>
    <row r="378" spans="2:8" ht="15.5" hidden="1" x14ac:dyDescent="0.35">
      <c r="B378" s="75" t="s">
        <v>199</v>
      </c>
      <c r="C378" s="75" t="s">
        <v>179</v>
      </c>
      <c r="D378" s="73" t="s">
        <v>409</v>
      </c>
      <c r="E378" s="74">
        <v>0.06</v>
      </c>
      <c r="F378" s="76" t="s">
        <v>237</v>
      </c>
      <c r="G378" s="77" t="s">
        <v>220</v>
      </c>
      <c r="H378" t="str">
        <f>VLOOKUP(D378,'DETALLE PRECIO INGREDIENTES'!B:B,1,0)</f>
        <v>PAN RALLADO</v>
      </c>
    </row>
    <row r="379" spans="2:8" ht="15.5" hidden="1" x14ac:dyDescent="0.35">
      <c r="B379" s="75" t="s">
        <v>199</v>
      </c>
      <c r="C379" s="75" t="s">
        <v>179</v>
      </c>
      <c r="D379" s="73" t="s">
        <v>233</v>
      </c>
      <c r="E379" s="74">
        <v>0.2</v>
      </c>
      <c r="F379" s="76" t="s">
        <v>222</v>
      </c>
      <c r="G379" s="77" t="s">
        <v>220</v>
      </c>
      <c r="H379" t="str">
        <f>VLOOKUP(D379,'DETALLE PRECIO INGREDIENTES'!B:B,1,0)</f>
        <v>ACEITE PARA FREIR</v>
      </c>
    </row>
    <row r="380" spans="2:8" ht="15.5" hidden="1" x14ac:dyDescent="0.35">
      <c r="B380" s="75" t="s">
        <v>199</v>
      </c>
      <c r="C380" s="75" t="s">
        <v>179</v>
      </c>
      <c r="D380" s="73" t="s">
        <v>845</v>
      </c>
      <c r="E380" s="74">
        <v>0.1</v>
      </c>
      <c r="F380" s="76" t="s">
        <v>237</v>
      </c>
      <c r="G380" s="77" t="s">
        <v>839</v>
      </c>
      <c r="H380" t="str">
        <f>VLOOKUP(D380,'DETALLE PRECIO INGREDIENTES'!B:B,1,0)</f>
        <v>POLLO TRUTRO CORTO</v>
      </c>
    </row>
    <row r="381" spans="2:8" ht="15.5" hidden="1" x14ac:dyDescent="0.35">
      <c r="B381" s="75" t="s">
        <v>199</v>
      </c>
      <c r="C381" s="75" t="s">
        <v>179</v>
      </c>
      <c r="D381" s="73" t="s">
        <v>803</v>
      </c>
      <c r="E381" s="74">
        <v>2</v>
      </c>
      <c r="F381" s="76" t="s">
        <v>259</v>
      </c>
      <c r="G381" s="77" t="s">
        <v>795</v>
      </c>
      <c r="H381" t="str">
        <f>VLOOKUP(D381,'DETALLE PRECIO INGREDIENTES'!B:B,1,0)</f>
        <v>PAN MOLDE BLANCO LAMINA</v>
      </c>
    </row>
    <row r="382" spans="2:8" ht="15.5" hidden="1" x14ac:dyDescent="0.35">
      <c r="B382" s="75" t="s">
        <v>199</v>
      </c>
      <c r="C382" s="75" t="s">
        <v>179</v>
      </c>
      <c r="D382" s="73" t="s">
        <v>739</v>
      </c>
      <c r="E382" s="74">
        <v>0.01</v>
      </c>
      <c r="F382" s="76" t="s">
        <v>222</v>
      </c>
      <c r="G382" s="77" t="s">
        <v>736</v>
      </c>
      <c r="H382" t="str">
        <f>VLOOKUP(D382,'DETALLE PRECIO INGREDIENTES'!B:B,1,0)</f>
        <v>CREMA DE LECHE</v>
      </c>
    </row>
    <row r="383" spans="2:8" ht="15.5" hidden="1" x14ac:dyDescent="0.35">
      <c r="B383" s="75" t="s">
        <v>199</v>
      </c>
      <c r="C383" s="75" t="s">
        <v>179</v>
      </c>
      <c r="D383" s="73" t="s">
        <v>748</v>
      </c>
      <c r="E383" s="74">
        <v>7.0000000000000007E-2</v>
      </c>
      <c r="F383" s="76" t="s">
        <v>222</v>
      </c>
      <c r="G383" s="77" t="s">
        <v>736</v>
      </c>
      <c r="H383" t="str">
        <f>VLOOKUP(D383,'DETALLE PRECIO INGREDIENTES'!B:B,1,0)</f>
        <v>LECHE ENTERA</v>
      </c>
    </row>
    <row r="384" spans="2:8" ht="15.5" hidden="1" x14ac:dyDescent="0.35">
      <c r="B384" s="75" t="s">
        <v>199</v>
      </c>
      <c r="C384" s="75" t="s">
        <v>179</v>
      </c>
      <c r="D384" s="73" t="s">
        <v>545</v>
      </c>
      <c r="E384" s="74">
        <v>0.01</v>
      </c>
      <c r="F384" s="76" t="s">
        <v>237</v>
      </c>
      <c r="G384" s="77" t="s">
        <v>525</v>
      </c>
      <c r="H384" t="str">
        <f>VLOOKUP(D384,'DETALLE PRECIO INGREDIENTES'!B:B,1,0)</f>
        <v>TOCINO AHUMADO LAMINADO</v>
      </c>
    </row>
    <row r="385" spans="2:8" ht="15.5" hidden="1" x14ac:dyDescent="0.35">
      <c r="B385" s="75" t="s">
        <v>199</v>
      </c>
      <c r="C385" s="75" t="s">
        <v>179</v>
      </c>
      <c r="D385" s="73" t="s">
        <v>649</v>
      </c>
      <c r="E385" s="74">
        <v>0.5</v>
      </c>
      <c r="F385" s="76" t="s">
        <v>259</v>
      </c>
      <c r="G385" s="77" t="s">
        <v>621</v>
      </c>
      <c r="H385" t="str">
        <f>VLOOKUP(D385,'DETALLE PRECIO INGREDIENTES'!B:B,1,0)</f>
        <v>CHALOTA</v>
      </c>
    </row>
    <row r="386" spans="2:8" ht="15.5" hidden="1" x14ac:dyDescent="0.35">
      <c r="B386" s="75" t="s">
        <v>199</v>
      </c>
      <c r="C386" s="75" t="s">
        <v>179</v>
      </c>
      <c r="D386" s="73" t="s">
        <v>651</v>
      </c>
      <c r="E386" s="74">
        <v>1.2999999999999999E-2</v>
      </c>
      <c r="F386" s="76" t="s">
        <v>237</v>
      </c>
      <c r="G386" s="77" t="s">
        <v>621</v>
      </c>
      <c r="H386" t="str">
        <f>VLOOKUP(D386,'DETALLE PRECIO INGREDIENTES'!B:B,1,0)</f>
        <v>CHAMPIÑON PARIS</v>
      </c>
    </row>
    <row r="387" spans="2:8" ht="15.5" hidden="1" x14ac:dyDescent="0.35">
      <c r="B387" s="75" t="s">
        <v>199</v>
      </c>
      <c r="C387" s="75" t="s">
        <v>179</v>
      </c>
      <c r="D387" s="73" t="s">
        <v>698</v>
      </c>
      <c r="E387" s="74">
        <v>6.0000000000000001E-3</v>
      </c>
      <c r="F387" s="76" t="s">
        <v>237</v>
      </c>
      <c r="G387" s="77" t="s">
        <v>621</v>
      </c>
      <c r="H387" t="str">
        <f>VLOOKUP(D387,'DETALLE PRECIO INGREDIENTES'!B:B,1,0)</f>
        <v>PEREJIL</v>
      </c>
    </row>
    <row r="388" spans="2:8" ht="15.5" hidden="1" x14ac:dyDescent="0.35">
      <c r="B388" s="75" t="s">
        <v>199</v>
      </c>
      <c r="C388" s="75" t="s">
        <v>179</v>
      </c>
      <c r="D388" s="73" t="s">
        <v>718</v>
      </c>
      <c r="E388" s="74">
        <v>2E-3</v>
      </c>
      <c r="F388" s="76" t="s">
        <v>237</v>
      </c>
      <c r="G388" s="77" t="s">
        <v>621</v>
      </c>
      <c r="H388" t="str">
        <f>VLOOKUP(D388,'DETALLE PRECIO INGREDIENTES'!B:B,1,0)</f>
        <v>TOMILLO FRESCO</v>
      </c>
    </row>
    <row r="389" spans="2:8" ht="15.5" hidden="1" x14ac:dyDescent="0.35">
      <c r="B389" s="75" t="s">
        <v>199</v>
      </c>
      <c r="C389" s="75" t="s">
        <v>179</v>
      </c>
      <c r="D389" s="73" t="s">
        <v>750</v>
      </c>
      <c r="E389" s="74">
        <v>0.04</v>
      </c>
      <c r="F389" s="76" t="s">
        <v>237</v>
      </c>
      <c r="G389" s="77" t="s">
        <v>736</v>
      </c>
      <c r="H389" t="str">
        <f>VLOOKUP(D389,'DETALLE PRECIO INGREDIENTES'!B:B,1,0)</f>
        <v>MANTEQUILLA CON SAL</v>
      </c>
    </row>
    <row r="390" spans="2:8" ht="15.5" hidden="1" x14ac:dyDescent="0.35">
      <c r="B390" s="75" t="s">
        <v>199</v>
      </c>
      <c r="C390" s="75" t="s">
        <v>179</v>
      </c>
      <c r="D390" s="73" t="s">
        <v>514</v>
      </c>
      <c r="E390" s="74">
        <v>0.06</v>
      </c>
      <c r="F390" s="76" t="s">
        <v>259</v>
      </c>
      <c r="G390" s="77" t="s">
        <v>485</v>
      </c>
      <c r="H390" t="str">
        <f>VLOOKUP(D390,'DETALLE PRECIO INGREDIENTES'!B:B,1,0)</f>
        <v>ROLLO PITILLA/HILO DE COCINA</v>
      </c>
    </row>
    <row r="391" spans="2:8" ht="15.5" hidden="1" x14ac:dyDescent="0.35">
      <c r="B391" s="75" t="s">
        <v>199</v>
      </c>
      <c r="C391" s="75" t="s">
        <v>179</v>
      </c>
      <c r="D391" s="73" t="s">
        <v>707</v>
      </c>
      <c r="E391" s="74">
        <v>0.12</v>
      </c>
      <c r="F391" s="76" t="s">
        <v>259</v>
      </c>
      <c r="G391" s="77" t="s">
        <v>621</v>
      </c>
      <c r="H391" t="str">
        <f>VLOOKUP(D391,'DETALLE PRECIO INGREDIENTES'!B:B,1,0)</f>
        <v>PUERROS</v>
      </c>
    </row>
    <row r="392" spans="2:8" ht="15.5" hidden="1" x14ac:dyDescent="0.35">
      <c r="B392" s="75" t="s">
        <v>199</v>
      </c>
      <c r="C392" s="75" t="s">
        <v>179</v>
      </c>
      <c r="D392" s="73" t="s">
        <v>644</v>
      </c>
      <c r="E392" s="74">
        <v>0.05</v>
      </c>
      <c r="F392" s="76" t="s">
        <v>237</v>
      </c>
      <c r="G392" s="77" t="s">
        <v>621</v>
      </c>
      <c r="H392" t="str">
        <f>VLOOKUP(D392,'DETALLE PRECIO INGREDIENTES'!B:B,1,0)</f>
        <v>CEBOLLA BLANCA</v>
      </c>
    </row>
    <row r="393" spans="2:8" ht="15.5" hidden="1" x14ac:dyDescent="0.35">
      <c r="B393" s="75" t="s">
        <v>199</v>
      </c>
      <c r="C393" s="75" t="s">
        <v>179</v>
      </c>
      <c r="D393" s="73" t="s">
        <v>720</v>
      </c>
      <c r="E393" s="74">
        <v>0.05</v>
      </c>
      <c r="F393" s="76" t="s">
        <v>237</v>
      </c>
      <c r="G393" s="77" t="s">
        <v>621</v>
      </c>
      <c r="H393" t="str">
        <f>VLOOKUP(D393,'DETALLE PRECIO INGREDIENTES'!B:B,1,0)</f>
        <v>ZANAHORIA</v>
      </c>
    </row>
    <row r="394" spans="2:8" ht="15.5" hidden="1" x14ac:dyDescent="0.35">
      <c r="B394" s="75" t="s">
        <v>199</v>
      </c>
      <c r="C394" s="75" t="s">
        <v>179</v>
      </c>
      <c r="D394" s="73" t="s">
        <v>628</v>
      </c>
      <c r="E394" s="74">
        <v>0.1</v>
      </c>
      <c r="F394" s="76" t="s">
        <v>259</v>
      </c>
      <c r="G394" s="77" t="s">
        <v>621</v>
      </c>
      <c r="H394" t="str">
        <f>VLOOKUP(D394,'DETALLE PRECIO INGREDIENTES'!B:B,1,0)</f>
        <v>AJO CABEZA</v>
      </c>
    </row>
    <row r="395" spans="2:8" ht="15.5" hidden="1" x14ac:dyDescent="0.35">
      <c r="B395" s="75" t="s">
        <v>199</v>
      </c>
      <c r="C395" s="75" t="s">
        <v>179</v>
      </c>
      <c r="D395" s="73" t="s">
        <v>370</v>
      </c>
      <c r="E395" s="74">
        <v>1E-3</v>
      </c>
      <c r="F395" s="76" t="s">
        <v>237</v>
      </c>
      <c r="G395" s="77" t="s">
        <v>220</v>
      </c>
      <c r="H395" t="str">
        <f>VLOOKUP(D395,'DETALLE PRECIO INGREDIENTES'!B:B,1,0)</f>
        <v>LAUREL</v>
      </c>
    </row>
    <row r="396" spans="2:8" ht="15.5" x14ac:dyDescent="0.35">
      <c r="B396" s="75" t="s">
        <v>199</v>
      </c>
      <c r="C396" s="75" t="s">
        <v>179</v>
      </c>
      <c r="D396" s="73" t="s">
        <v>903</v>
      </c>
      <c r="E396" s="74">
        <v>0.2</v>
      </c>
      <c r="F396" s="76" t="s">
        <v>259</v>
      </c>
      <c r="G396" s="77" t="s">
        <v>621</v>
      </c>
      <c r="H396" t="e">
        <f>VLOOKUP(D396,'DETALLE PRECIO INGREDIENTES'!B:B,1,0)</f>
        <v>#N/A</v>
      </c>
    </row>
    <row r="397" spans="2:8" ht="15.5" hidden="1" x14ac:dyDescent="0.35">
      <c r="B397" s="75" t="s">
        <v>199</v>
      </c>
      <c r="C397" s="75" t="s">
        <v>179</v>
      </c>
      <c r="D397" s="73" t="s">
        <v>427</v>
      </c>
      <c r="E397" s="74">
        <v>2E-3</v>
      </c>
      <c r="F397" s="76" t="s">
        <v>237</v>
      </c>
      <c r="G397" s="77" t="s">
        <v>220</v>
      </c>
      <c r="H397" t="str">
        <f>VLOOKUP(D397,'DETALLE PRECIO INGREDIENTES'!B:B,1,0)</f>
        <v>PIMIENTA NEGRA ENTERA</v>
      </c>
    </row>
    <row r="398" spans="2:8" ht="15.5" hidden="1" x14ac:dyDescent="0.35">
      <c r="B398" s="75" t="s">
        <v>199</v>
      </c>
      <c r="C398" s="75" t="s">
        <v>179</v>
      </c>
      <c r="D398" s="73" t="s">
        <v>718</v>
      </c>
      <c r="E398" s="74">
        <v>2E-3</v>
      </c>
      <c r="F398" s="76" t="s">
        <v>237</v>
      </c>
      <c r="G398" s="77" t="s">
        <v>621</v>
      </c>
      <c r="H398" t="str">
        <f>VLOOKUP(D398,'DETALLE PRECIO INGREDIENTES'!B:B,1,0)</f>
        <v>TOMILLO FRESCO</v>
      </c>
    </row>
    <row r="399" spans="2:8" ht="15.5" hidden="1" x14ac:dyDescent="0.35">
      <c r="B399" s="75" t="s">
        <v>199</v>
      </c>
      <c r="C399" s="75" t="s">
        <v>179</v>
      </c>
      <c r="D399" s="73" t="s">
        <v>711</v>
      </c>
      <c r="E399" s="74">
        <v>2E-3</v>
      </c>
      <c r="F399" s="76" t="s">
        <v>237</v>
      </c>
      <c r="G399" s="77" t="s">
        <v>621</v>
      </c>
      <c r="H399" t="str">
        <f>VLOOKUP(D399,'DETALLE PRECIO INGREDIENTES'!B:B,1,0)</f>
        <v>ROMERO FRESCO EN RAMA</v>
      </c>
    </row>
    <row r="400" spans="2:8" ht="15.5" hidden="1" x14ac:dyDescent="0.35">
      <c r="B400" s="75" t="s">
        <v>199</v>
      </c>
      <c r="C400" s="75" t="s">
        <v>179</v>
      </c>
      <c r="D400" s="73" t="s">
        <v>310</v>
      </c>
      <c r="E400" s="74">
        <v>0.01</v>
      </c>
      <c r="F400" s="76" t="s">
        <v>237</v>
      </c>
      <c r="G400" s="77" t="s">
        <v>220</v>
      </c>
      <c r="H400" t="str">
        <f>VLOOKUP(D400,'DETALLE PRECIO INGREDIENTES'!B:B,1,0)</f>
        <v>CONCENTRADO DE TOMATE</v>
      </c>
    </row>
    <row r="401" spans="2:8" ht="15.5" hidden="1" x14ac:dyDescent="0.35">
      <c r="B401" s="75" t="s">
        <v>199</v>
      </c>
      <c r="C401" s="75" t="s">
        <v>179</v>
      </c>
      <c r="D401" s="73" t="s">
        <v>882</v>
      </c>
      <c r="E401" s="74">
        <v>0.06</v>
      </c>
      <c r="F401" s="76" t="s">
        <v>222</v>
      </c>
      <c r="G401" s="77" t="s">
        <v>876</v>
      </c>
      <c r="H401" t="str">
        <f>VLOOKUP(D401,'DETALLE PRECIO INGREDIENTES'!B:B,1,0)</f>
        <v>VINO TINTO TETRA</v>
      </c>
    </row>
    <row r="402" spans="2:8" ht="15.5" hidden="1" x14ac:dyDescent="0.35">
      <c r="B402" s="75" t="s">
        <v>199</v>
      </c>
      <c r="C402" s="75" t="s">
        <v>179</v>
      </c>
      <c r="D402" s="73" t="s">
        <v>878</v>
      </c>
      <c r="E402" s="74">
        <v>0.03</v>
      </c>
      <c r="F402" s="76" t="s">
        <v>222</v>
      </c>
      <c r="G402" s="77" t="s">
        <v>876</v>
      </c>
      <c r="H402" t="str">
        <f>VLOOKUP(D402,'DETALLE PRECIO INGREDIENTES'!B:B,1,0)</f>
        <v>VINO BLANCO TETRA PACK</v>
      </c>
    </row>
    <row r="403" spans="2:8" ht="15.5" hidden="1" x14ac:dyDescent="0.35">
      <c r="B403" s="75" t="s">
        <v>199</v>
      </c>
      <c r="C403" s="75" t="s">
        <v>179</v>
      </c>
      <c r="D403" s="73" t="s">
        <v>739</v>
      </c>
      <c r="E403" s="74">
        <v>0.03</v>
      </c>
      <c r="F403" s="76" t="s">
        <v>222</v>
      </c>
      <c r="G403" s="77" t="s">
        <v>736</v>
      </c>
      <c r="H403" t="str">
        <f>VLOOKUP(D403,'DETALLE PRECIO INGREDIENTES'!B:B,1,0)</f>
        <v>CREMA DE LECHE</v>
      </c>
    </row>
    <row r="404" spans="2:8" ht="15.5" hidden="1" x14ac:dyDescent="0.35">
      <c r="B404" s="75" t="s">
        <v>199</v>
      </c>
      <c r="C404" s="75" t="s">
        <v>179</v>
      </c>
      <c r="D404" s="73" t="s">
        <v>228</v>
      </c>
      <c r="E404" s="74">
        <v>0.06</v>
      </c>
      <c r="F404" s="76" t="s">
        <v>222</v>
      </c>
      <c r="G404" s="77" t="s">
        <v>220</v>
      </c>
      <c r="H404" t="str">
        <f>VLOOKUP(D404,'DETALLE PRECIO INGREDIENTES'!B:B,1,0)</f>
        <v>ACEITE DE MARAVILLA</v>
      </c>
    </row>
    <row r="405" spans="2:8" ht="15.5" hidden="1" x14ac:dyDescent="0.35">
      <c r="B405" s="75" t="s">
        <v>199</v>
      </c>
      <c r="C405" s="75" t="s">
        <v>179</v>
      </c>
      <c r="D405" s="73" t="s">
        <v>723</v>
      </c>
      <c r="E405" s="74">
        <v>0.12</v>
      </c>
      <c r="F405" s="76" t="s">
        <v>259</v>
      </c>
      <c r="G405" s="77" t="s">
        <v>621</v>
      </c>
      <c r="H405" t="str">
        <f>VLOOKUP(D405,'DETALLE PRECIO INGREDIENTES'!B:B,1,0)</f>
        <v>ZAPALLO ITALIANO</v>
      </c>
    </row>
    <row r="406" spans="2:8" ht="15.5" hidden="1" x14ac:dyDescent="0.35">
      <c r="B406" s="75" t="s">
        <v>199</v>
      </c>
      <c r="C406" s="75" t="s">
        <v>179</v>
      </c>
      <c r="D406" s="73" t="s">
        <v>641</v>
      </c>
      <c r="E406" s="74">
        <v>0.06</v>
      </c>
      <c r="F406" s="76" t="s">
        <v>259</v>
      </c>
      <c r="G406" s="77" t="s">
        <v>621</v>
      </c>
      <c r="H406" t="str">
        <f>VLOOKUP(D406,'DETALLE PRECIO INGREDIENTES'!B:B,1,0)</f>
        <v>BROCOLI</v>
      </c>
    </row>
    <row r="407" spans="2:8" ht="15.5" hidden="1" x14ac:dyDescent="0.35">
      <c r="B407" s="75" t="s">
        <v>199</v>
      </c>
      <c r="C407" s="75" t="s">
        <v>179</v>
      </c>
      <c r="D407" s="73" t="s">
        <v>659</v>
      </c>
      <c r="E407" s="74">
        <v>0.06</v>
      </c>
      <c r="F407" s="76" t="s">
        <v>259</v>
      </c>
      <c r="G407" s="77" t="s">
        <v>621</v>
      </c>
      <c r="H407" t="str">
        <f>VLOOKUP(D407,'DETALLE PRECIO INGREDIENTES'!B:B,1,0)</f>
        <v>COLIFLOR</v>
      </c>
    </row>
    <row r="408" spans="2:8" ht="15.5" hidden="1" x14ac:dyDescent="0.35">
      <c r="B408" s="75" t="s">
        <v>199</v>
      </c>
      <c r="C408" s="75" t="s">
        <v>179</v>
      </c>
      <c r="D408" s="73" t="s">
        <v>702</v>
      </c>
      <c r="E408" s="74">
        <v>0.125</v>
      </c>
      <c r="F408" s="76" t="s">
        <v>259</v>
      </c>
      <c r="G408" s="77" t="s">
        <v>621</v>
      </c>
      <c r="H408" t="str">
        <f>VLOOKUP(D408,'DETALLE PRECIO INGREDIENTES'!B:B,1,0)</f>
        <v>PIMIENTO ROJO</v>
      </c>
    </row>
    <row r="409" spans="2:8" ht="15.5" hidden="1" x14ac:dyDescent="0.35">
      <c r="B409" s="75" t="s">
        <v>199</v>
      </c>
      <c r="C409" s="75" t="s">
        <v>179</v>
      </c>
      <c r="D409" s="73" t="s">
        <v>653</v>
      </c>
      <c r="E409" s="74">
        <v>0.02</v>
      </c>
      <c r="F409" s="76" t="s">
        <v>237</v>
      </c>
      <c r="G409" s="77" t="s">
        <v>621</v>
      </c>
      <c r="H409" t="str">
        <f>VLOOKUP(D409,'DETALLE PRECIO INGREDIENTES'!B:B,1,0)</f>
        <v>CHOCLO GRANO CONGELADO</v>
      </c>
    </row>
    <row r="410" spans="2:8" ht="15.5" hidden="1" x14ac:dyDescent="0.35">
      <c r="B410" s="75" t="s">
        <v>199</v>
      </c>
      <c r="C410" s="75" t="s">
        <v>178</v>
      </c>
      <c r="D410" s="73" t="s">
        <v>534</v>
      </c>
      <c r="E410" s="74">
        <v>0.06</v>
      </c>
      <c r="F410" s="76" t="s">
        <v>237</v>
      </c>
      <c r="G410" s="77" t="s">
        <v>525</v>
      </c>
      <c r="H410" t="str">
        <f>VLOOKUP(D410,'DETALLE PRECIO INGREDIENTES'!B:B,1,0)</f>
        <v>CERDO LOMO TUNGO</v>
      </c>
    </row>
    <row r="411" spans="2:8" ht="15.5" hidden="1" x14ac:dyDescent="0.35">
      <c r="B411" s="75" t="s">
        <v>199</v>
      </c>
      <c r="C411" s="75" t="s">
        <v>178</v>
      </c>
      <c r="D411" s="73" t="s">
        <v>531</v>
      </c>
      <c r="E411" s="74">
        <v>0.03</v>
      </c>
      <c r="F411" s="76" t="s">
        <v>237</v>
      </c>
      <c r="G411" s="77" t="s">
        <v>525</v>
      </c>
      <c r="H411" t="str">
        <f>VLOOKUP(D411,'DETALLE PRECIO INGREDIENTES'!B:B,1,0)</f>
        <v>CERDO CUERO</v>
      </c>
    </row>
    <row r="412" spans="2:8" ht="15.5" hidden="1" x14ac:dyDescent="0.35">
      <c r="B412" s="75" t="s">
        <v>199</v>
      </c>
      <c r="C412" s="75" t="s">
        <v>178</v>
      </c>
      <c r="D412" s="73" t="s">
        <v>472</v>
      </c>
      <c r="E412" s="74">
        <v>0.06</v>
      </c>
      <c r="F412" s="76" t="s">
        <v>222</v>
      </c>
      <c r="G412" s="77" t="s">
        <v>220</v>
      </c>
      <c r="H412" t="str">
        <f>VLOOKUP(D412,'DETALLE PRECIO INGREDIENTES'!B:B,1,0)</f>
        <v>VINAGRE BLANCO</v>
      </c>
    </row>
    <row r="413" spans="2:8" ht="15.5" hidden="1" x14ac:dyDescent="0.35">
      <c r="B413" s="75" t="s">
        <v>199</v>
      </c>
      <c r="C413" s="75" t="s">
        <v>178</v>
      </c>
      <c r="D413" s="73" t="s">
        <v>628</v>
      </c>
      <c r="E413" s="74">
        <v>0.3</v>
      </c>
      <c r="F413" s="76" t="s">
        <v>259</v>
      </c>
      <c r="G413" s="77" t="s">
        <v>621</v>
      </c>
      <c r="H413" t="str">
        <f>VLOOKUP(D413,'DETALLE PRECIO INGREDIENTES'!B:B,1,0)</f>
        <v>AJO CABEZA</v>
      </c>
    </row>
    <row r="414" spans="2:8" ht="15.5" hidden="1" x14ac:dyDescent="0.35">
      <c r="B414" s="75" t="s">
        <v>199</v>
      </c>
      <c r="C414" s="75" t="s">
        <v>178</v>
      </c>
      <c r="D414" s="73" t="s">
        <v>249</v>
      </c>
      <c r="E414" s="74">
        <v>0.06</v>
      </c>
      <c r="F414" s="76" t="s">
        <v>237</v>
      </c>
      <c r="G414" s="77" t="s">
        <v>220</v>
      </c>
      <c r="H414" t="str">
        <f>VLOOKUP(D414,'DETALLE PRECIO INGREDIENTES'!B:B,1,0)</f>
        <v>AJI EN PASTA</v>
      </c>
    </row>
    <row r="415" spans="2:8" ht="15.5" hidden="1" x14ac:dyDescent="0.35">
      <c r="B415" s="75" t="s">
        <v>199</v>
      </c>
      <c r="C415" s="75" t="s">
        <v>178</v>
      </c>
      <c r="D415" s="73" t="s">
        <v>309</v>
      </c>
      <c r="E415" s="74">
        <v>3.0000000000000001E-3</v>
      </c>
      <c r="F415" s="76" t="s">
        <v>237</v>
      </c>
      <c r="G415" s="77" t="s">
        <v>220</v>
      </c>
      <c r="H415" t="str">
        <f>VLOOKUP(D415,'DETALLE PRECIO INGREDIENTES'!B:B,1,0)</f>
        <v>COMINO MOLIDO</v>
      </c>
    </row>
    <row r="416" spans="2:8" ht="15.5" hidden="1" x14ac:dyDescent="0.35">
      <c r="B416" s="75" t="s">
        <v>199</v>
      </c>
      <c r="C416" s="75" t="s">
        <v>178</v>
      </c>
      <c r="D416" s="73" t="s">
        <v>407</v>
      </c>
      <c r="E416" s="74">
        <v>4.0000000000000001E-3</v>
      </c>
      <c r="F416" s="76" t="s">
        <v>237</v>
      </c>
      <c r="G416" s="77" t="s">
        <v>220</v>
      </c>
      <c r="H416" t="str">
        <f>VLOOKUP(D416,'DETALLE PRECIO INGREDIENTES'!B:B,1,0)</f>
        <v>OREGANO SECO</v>
      </c>
    </row>
    <row r="417" spans="2:8" ht="15.5" x14ac:dyDescent="0.35">
      <c r="B417" s="75" t="s">
        <v>199</v>
      </c>
      <c r="C417" s="75" t="s">
        <v>178</v>
      </c>
      <c r="D417" s="73" t="s">
        <v>903</v>
      </c>
      <c r="E417" s="74">
        <v>0.24</v>
      </c>
      <c r="F417" s="76" t="s">
        <v>259</v>
      </c>
      <c r="G417" s="77" t="s">
        <v>621</v>
      </c>
      <c r="H417" t="e">
        <f>VLOOKUP(D417,'DETALLE PRECIO INGREDIENTES'!B:B,1,0)</f>
        <v>#N/A</v>
      </c>
    </row>
    <row r="418" spans="2:8" ht="15.5" hidden="1" x14ac:dyDescent="0.35">
      <c r="B418" s="75" t="s">
        <v>199</v>
      </c>
      <c r="C418" s="75" t="s">
        <v>178</v>
      </c>
      <c r="D418" s="73" t="s">
        <v>644</v>
      </c>
      <c r="E418" s="74">
        <v>0.12</v>
      </c>
      <c r="F418" s="76" t="s">
        <v>237</v>
      </c>
      <c r="G418" s="77" t="s">
        <v>621</v>
      </c>
      <c r="H418" t="str">
        <f>VLOOKUP(D418,'DETALLE PRECIO INGREDIENTES'!B:B,1,0)</f>
        <v>CEBOLLA BLANCA</v>
      </c>
    </row>
    <row r="419" spans="2:8" ht="15.5" hidden="1" x14ac:dyDescent="0.35">
      <c r="B419" s="75" t="s">
        <v>199</v>
      </c>
      <c r="C419" s="75" t="s">
        <v>178</v>
      </c>
      <c r="D419" s="73" t="s">
        <v>707</v>
      </c>
      <c r="E419" s="74">
        <v>0.25</v>
      </c>
      <c r="F419" s="76" t="s">
        <v>259</v>
      </c>
      <c r="G419" s="77" t="s">
        <v>621</v>
      </c>
      <c r="H419" t="str">
        <f>VLOOKUP(D419,'DETALLE PRECIO INGREDIENTES'!B:B,1,0)</f>
        <v>PUERROS</v>
      </c>
    </row>
    <row r="420" spans="2:8" ht="15.5" hidden="1" x14ac:dyDescent="0.35">
      <c r="B420" s="75" t="s">
        <v>199</v>
      </c>
      <c r="C420" s="75" t="s">
        <v>178</v>
      </c>
      <c r="D420" s="73" t="s">
        <v>720</v>
      </c>
      <c r="E420" s="74">
        <v>0.06</v>
      </c>
      <c r="F420" s="76" t="s">
        <v>237</v>
      </c>
      <c r="G420" s="77" t="s">
        <v>621</v>
      </c>
      <c r="H420" t="str">
        <f>VLOOKUP(D420,'DETALLE PRECIO INGREDIENTES'!B:B,1,0)</f>
        <v>ZANAHORIA</v>
      </c>
    </row>
    <row r="421" spans="2:8" ht="15.5" hidden="1" x14ac:dyDescent="0.35">
      <c r="B421" s="75" t="s">
        <v>199</v>
      </c>
      <c r="C421" s="75" t="s">
        <v>178</v>
      </c>
      <c r="D421" s="73" t="s">
        <v>302</v>
      </c>
      <c r="E421" s="74">
        <v>1E-3</v>
      </c>
      <c r="F421" s="76" t="s">
        <v>237</v>
      </c>
      <c r="G421" s="77" t="s">
        <v>220</v>
      </c>
      <c r="H421" t="str">
        <f>VLOOKUP(D421,'DETALLE PRECIO INGREDIENTES'!B:B,1,0)</f>
        <v>CLAVO DE OLOR ENTERO</v>
      </c>
    </row>
    <row r="422" spans="2:8" ht="15.5" hidden="1" x14ac:dyDescent="0.35">
      <c r="B422" s="75" t="s">
        <v>199</v>
      </c>
      <c r="C422" s="75" t="s">
        <v>178</v>
      </c>
      <c r="D422" s="73" t="s">
        <v>370</v>
      </c>
      <c r="E422" s="74">
        <v>1E-3</v>
      </c>
      <c r="F422" s="76" t="s">
        <v>237</v>
      </c>
      <c r="G422" s="77" t="s">
        <v>220</v>
      </c>
      <c r="H422" t="str">
        <f>VLOOKUP(D422,'DETALLE PRECIO INGREDIENTES'!B:B,1,0)</f>
        <v>LAUREL</v>
      </c>
    </row>
    <row r="423" spans="2:8" ht="15.5" hidden="1" x14ac:dyDescent="0.35">
      <c r="B423" s="75" t="s">
        <v>199</v>
      </c>
      <c r="C423" s="75" t="s">
        <v>178</v>
      </c>
      <c r="D423" s="73" t="s">
        <v>538</v>
      </c>
      <c r="E423" s="74">
        <v>0.2</v>
      </c>
      <c r="F423" s="76" t="s">
        <v>237</v>
      </c>
      <c r="G423" s="77" t="s">
        <v>525</v>
      </c>
      <c r="H423" t="str">
        <f>VLOOKUP(D423,'DETALLE PRECIO INGREDIENTES'!B:B,1,0)</f>
        <v>CERDO PERNIL DE MANO</v>
      </c>
    </row>
    <row r="424" spans="2:8" ht="15.5" hidden="1" x14ac:dyDescent="0.35">
      <c r="B424" s="75" t="s">
        <v>199</v>
      </c>
      <c r="C424" s="75" t="s">
        <v>178</v>
      </c>
      <c r="D424" s="73" t="s">
        <v>248</v>
      </c>
      <c r="E424" s="74">
        <v>2E-3</v>
      </c>
      <c r="F424" s="76" t="s">
        <v>237</v>
      </c>
      <c r="G424" s="77" t="s">
        <v>220</v>
      </c>
      <c r="H424" t="str">
        <f>VLOOKUP(D424,'DETALLE PRECIO INGREDIENTES'!B:B,1,0)</f>
        <v>AJI DE COLOR</v>
      </c>
    </row>
    <row r="425" spans="2:8" ht="15.5" hidden="1" x14ac:dyDescent="0.35">
      <c r="B425" s="75" t="s">
        <v>199</v>
      </c>
      <c r="C425" s="75" t="s">
        <v>178</v>
      </c>
      <c r="D425" s="73" t="s">
        <v>445</v>
      </c>
      <c r="E425" s="74">
        <v>0.03</v>
      </c>
      <c r="F425" s="76" t="s">
        <v>237</v>
      </c>
      <c r="G425" s="77" t="s">
        <v>220</v>
      </c>
      <c r="H425" t="str">
        <f>VLOOKUP(D425,'DETALLE PRECIO INGREDIENTES'!B:B,1,0)</f>
        <v>SAL DE MESA LOBOS</v>
      </c>
    </row>
    <row r="426" spans="2:8" ht="15.5" hidden="1" x14ac:dyDescent="0.35">
      <c r="B426" s="75" t="s">
        <v>199</v>
      </c>
      <c r="C426" s="75" t="s">
        <v>178</v>
      </c>
      <c r="D426" s="73" t="s">
        <v>428</v>
      </c>
      <c r="E426" s="74">
        <v>5.0000000000000001E-3</v>
      </c>
      <c r="F426" s="76" t="s">
        <v>237</v>
      </c>
      <c r="G426" s="77" t="s">
        <v>220</v>
      </c>
      <c r="H426" t="str">
        <f>VLOOKUP(D426,'DETALLE PRECIO INGREDIENTES'!B:B,1,0)</f>
        <v>PIMIENTA NEGRA MOLIDA</v>
      </c>
    </row>
    <row r="427" spans="2:8" ht="15.5" hidden="1" x14ac:dyDescent="0.35">
      <c r="B427" s="75" t="s">
        <v>199</v>
      </c>
      <c r="C427" s="75" t="s">
        <v>178</v>
      </c>
      <c r="D427" s="73" t="s">
        <v>715</v>
      </c>
      <c r="E427" s="74">
        <v>0.05</v>
      </c>
      <c r="F427" s="76" t="s">
        <v>237</v>
      </c>
      <c r="G427" s="77" t="s">
        <v>621</v>
      </c>
      <c r="H427" t="str">
        <f>VLOOKUP(D427,'DETALLE PRECIO INGREDIENTES'!B:B,1,0)</f>
        <v>TOMATE CHERRY</v>
      </c>
    </row>
    <row r="428" spans="2:8" ht="15.5" hidden="1" x14ac:dyDescent="0.35">
      <c r="B428" s="75" t="s">
        <v>199</v>
      </c>
      <c r="C428" s="75" t="s">
        <v>178</v>
      </c>
      <c r="D428" s="73" t="s">
        <v>657</v>
      </c>
      <c r="E428" s="74">
        <v>0.01</v>
      </c>
      <c r="F428" s="76" t="s">
        <v>237</v>
      </c>
      <c r="G428" s="77" t="s">
        <v>621</v>
      </c>
      <c r="H428" t="str">
        <f>VLOOKUP(D428,'DETALLE PRECIO INGREDIENTES'!B:B,1,0)</f>
        <v>CILANTRO</v>
      </c>
    </row>
    <row r="429" spans="2:8" ht="15.5" hidden="1" x14ac:dyDescent="0.35">
      <c r="B429" s="75" t="s">
        <v>199</v>
      </c>
      <c r="C429" s="75" t="s">
        <v>178</v>
      </c>
      <c r="D429" s="73" t="s">
        <v>296</v>
      </c>
      <c r="E429" s="74">
        <v>0.06</v>
      </c>
      <c r="F429" s="76" t="s">
        <v>237</v>
      </c>
      <c r="G429" s="77" t="s">
        <v>220</v>
      </c>
      <c r="H429" t="str">
        <f>VLOOKUP(D429,'DETALLE PRECIO INGREDIENTES'!B:B,1,0)</f>
        <v>CEBOLLAS EN ESCABECHE</v>
      </c>
    </row>
    <row r="430" spans="2:8" ht="15.5" hidden="1" x14ac:dyDescent="0.35">
      <c r="B430" s="75" t="s">
        <v>199</v>
      </c>
      <c r="C430" s="75" t="s">
        <v>178</v>
      </c>
      <c r="D430" s="73" t="s">
        <v>627</v>
      </c>
      <c r="E430" s="74">
        <v>0.02</v>
      </c>
      <c r="F430" s="76" t="s">
        <v>237</v>
      </c>
      <c r="G430" s="77" t="s">
        <v>621</v>
      </c>
      <c r="H430" t="str">
        <f>VLOOKUP(D430,'DETALLE PRECIO INGREDIENTES'!B:B,1,0)</f>
        <v>AJI VERDE</v>
      </c>
    </row>
    <row r="431" spans="2:8" ht="15.5" hidden="1" x14ac:dyDescent="0.35">
      <c r="B431" s="75" t="s">
        <v>199</v>
      </c>
      <c r="C431" s="75" t="s">
        <v>178</v>
      </c>
      <c r="D431" s="73" t="s">
        <v>680</v>
      </c>
      <c r="E431" s="74">
        <v>0.12</v>
      </c>
      <c r="F431" s="76" t="s">
        <v>237</v>
      </c>
      <c r="G431" s="77" t="s">
        <v>621</v>
      </c>
      <c r="H431" t="str">
        <f>VLOOKUP(D431,'DETALLE PRECIO INGREDIENTES'!B:B,1,0)</f>
        <v>LIMON DE JUGO</v>
      </c>
    </row>
    <row r="432" spans="2:8" ht="15.5" hidden="1" x14ac:dyDescent="0.35">
      <c r="B432" s="75" t="s">
        <v>199</v>
      </c>
      <c r="C432" s="75" t="s">
        <v>178</v>
      </c>
      <c r="D432" s="73" t="s">
        <v>230</v>
      </c>
      <c r="E432" s="74">
        <v>0.03</v>
      </c>
      <c r="F432" s="76" t="s">
        <v>222</v>
      </c>
      <c r="G432" s="77" t="s">
        <v>220</v>
      </c>
      <c r="H432" t="str">
        <f>VLOOKUP(D432,'DETALLE PRECIO INGREDIENTES'!B:B,1,0)</f>
        <v>ACEITE DE OLIVA</v>
      </c>
    </row>
    <row r="433" spans="2:8" ht="15.5" hidden="1" x14ac:dyDescent="0.35">
      <c r="B433" s="75" t="s">
        <v>199</v>
      </c>
      <c r="C433" s="75" t="s">
        <v>178</v>
      </c>
      <c r="D433" s="73" t="s">
        <v>797</v>
      </c>
      <c r="E433" s="74">
        <v>0.06</v>
      </c>
      <c r="F433" s="76" t="s">
        <v>259</v>
      </c>
      <c r="G433" s="77" t="s">
        <v>795</v>
      </c>
      <c r="H433" t="str">
        <f>VLOOKUP(D433,'DETALLE PRECIO INGREDIENTES'!B:B,1,0)</f>
        <v>PAN BAGUETTE NORMAL</v>
      </c>
    </row>
    <row r="434" spans="2:8" ht="15.5" hidden="1" x14ac:dyDescent="0.35">
      <c r="B434" s="75" t="s">
        <v>199</v>
      </c>
      <c r="C434" s="75" t="s">
        <v>178</v>
      </c>
      <c r="D434" s="73" t="s">
        <v>537</v>
      </c>
      <c r="E434" s="74">
        <v>0.5</v>
      </c>
      <c r="F434" s="76" t="s">
        <v>259</v>
      </c>
      <c r="G434" s="77" t="s">
        <v>525</v>
      </c>
      <c r="H434" t="str">
        <f>VLOOKUP(D434,'DETALLE PRECIO INGREDIENTES'!B:B,1,0)</f>
        <v>CERDO PATAS</v>
      </c>
    </row>
    <row r="435" spans="2:8" ht="15.5" hidden="1" x14ac:dyDescent="0.35">
      <c r="B435" s="75" t="s">
        <v>199</v>
      </c>
      <c r="C435" s="75" t="s">
        <v>178</v>
      </c>
      <c r="D435" s="73" t="s">
        <v>878</v>
      </c>
      <c r="E435" s="74">
        <v>0.03</v>
      </c>
      <c r="F435" s="76" t="s">
        <v>222</v>
      </c>
      <c r="G435" s="77" t="s">
        <v>876</v>
      </c>
      <c r="H435" t="str">
        <f>VLOOKUP(D435,'DETALLE PRECIO INGREDIENTES'!B:B,1,0)</f>
        <v>VINO BLANCO TETRA PACK</v>
      </c>
    </row>
    <row r="436" spans="2:8" ht="15.5" hidden="1" x14ac:dyDescent="0.35">
      <c r="B436" s="75" t="s">
        <v>199</v>
      </c>
      <c r="C436" s="75" t="s">
        <v>178</v>
      </c>
      <c r="D436" s="73" t="s">
        <v>698</v>
      </c>
      <c r="E436" s="74">
        <v>0.01</v>
      </c>
      <c r="F436" s="76" t="s">
        <v>237</v>
      </c>
      <c r="G436" s="77" t="s">
        <v>621</v>
      </c>
      <c r="H436" t="str">
        <f>VLOOKUP(D436,'DETALLE PRECIO INGREDIENTES'!B:B,1,0)</f>
        <v>PEREJIL</v>
      </c>
    </row>
    <row r="437" spans="2:8" ht="15.5" hidden="1" x14ac:dyDescent="0.35">
      <c r="B437" s="75" t="s">
        <v>199</v>
      </c>
      <c r="C437" s="75" t="s">
        <v>178</v>
      </c>
      <c r="D437" s="73" t="s">
        <v>283</v>
      </c>
      <c r="E437" s="74">
        <v>0.06</v>
      </c>
      <c r="F437" s="76" t="s">
        <v>237</v>
      </c>
      <c r="G437" s="77" t="s">
        <v>220</v>
      </c>
      <c r="H437" t="str">
        <f>VLOOKUP(D437,'DETALLE PRECIO INGREDIENTES'!B:B,1,0)</f>
        <v>AZUCAR RUBIA</v>
      </c>
    </row>
    <row r="438" spans="2:8" ht="15.5" hidden="1" x14ac:dyDescent="0.35">
      <c r="B438" s="75" t="s">
        <v>199</v>
      </c>
      <c r="C438" s="75" t="s">
        <v>178</v>
      </c>
      <c r="D438" s="73" t="s">
        <v>476</v>
      </c>
      <c r="E438" s="74">
        <v>0.06</v>
      </c>
      <c r="F438" s="76" t="s">
        <v>222</v>
      </c>
      <c r="G438" s="77" t="s">
        <v>220</v>
      </c>
      <c r="H438" t="str">
        <f>VLOOKUP(D438,'DETALLE PRECIO INGREDIENTES'!B:B,1,0)</f>
        <v>VINAGRE DE MANZANA</v>
      </c>
    </row>
    <row r="439" spans="2:8" ht="15.5" hidden="1" x14ac:dyDescent="0.35">
      <c r="B439" s="75" t="s">
        <v>199</v>
      </c>
      <c r="C439" s="75" t="s">
        <v>178</v>
      </c>
      <c r="D439" s="73" t="s">
        <v>369</v>
      </c>
      <c r="E439" s="74">
        <v>7.0000000000000007E-2</v>
      </c>
      <c r="F439" s="76" t="s">
        <v>237</v>
      </c>
      <c r="G439" s="77" t="s">
        <v>220</v>
      </c>
      <c r="H439" t="str">
        <f>VLOOKUP(D439,'DETALLE PRECIO INGREDIENTES'!B:B,1,0)</f>
        <v>KETCHUP HELLMANS</v>
      </c>
    </row>
    <row r="440" spans="2:8" ht="15.5" hidden="1" x14ac:dyDescent="0.35">
      <c r="B440" s="75" t="s">
        <v>199</v>
      </c>
      <c r="C440" s="75" t="s">
        <v>178</v>
      </c>
      <c r="D440" s="73" t="s">
        <v>451</v>
      </c>
      <c r="E440" s="74">
        <v>0.01</v>
      </c>
      <c r="F440" s="76" t="s">
        <v>222</v>
      </c>
      <c r="G440" s="77" t="s">
        <v>220</v>
      </c>
      <c r="H440" t="str">
        <f>VLOOKUP(D440,'DETALLE PRECIO INGREDIENTES'!B:B,1,0)</f>
        <v>SALSA INGLESA</v>
      </c>
    </row>
    <row r="441" spans="2:8" ht="15.5" hidden="1" x14ac:dyDescent="0.35">
      <c r="B441" s="75" t="s">
        <v>199</v>
      </c>
      <c r="C441" s="75" t="s">
        <v>178</v>
      </c>
      <c r="D441" s="73" t="s">
        <v>449</v>
      </c>
      <c r="E441" s="74">
        <v>1.2999999999999999E-2</v>
      </c>
      <c r="F441" s="76" t="s">
        <v>222</v>
      </c>
      <c r="G441" s="77" t="s">
        <v>220</v>
      </c>
      <c r="H441" t="str">
        <f>VLOOKUP(D441,'DETALLE PRECIO INGREDIENTES'!B:B,1,0)</f>
        <v>SALSA DE SOYA</v>
      </c>
    </row>
    <row r="442" spans="2:8" ht="15.5" hidden="1" x14ac:dyDescent="0.35">
      <c r="B442" s="75" t="s">
        <v>199</v>
      </c>
      <c r="C442" s="75" t="s">
        <v>178</v>
      </c>
      <c r="D442" s="73" t="s">
        <v>690</v>
      </c>
      <c r="E442" s="74">
        <v>0.05</v>
      </c>
      <c r="F442" s="76" t="s">
        <v>237</v>
      </c>
      <c r="G442" s="77" t="s">
        <v>621</v>
      </c>
      <c r="H442" t="str">
        <f>VLOOKUP(D442,'DETALLE PRECIO INGREDIENTES'!B:B,1,0)</f>
        <v>NARANJA DE JUGO</v>
      </c>
    </row>
    <row r="443" spans="2:8" ht="15.5" hidden="1" x14ac:dyDescent="0.35">
      <c r="B443" s="75" t="s">
        <v>199</v>
      </c>
      <c r="C443" s="75" t="s">
        <v>178</v>
      </c>
      <c r="D443" s="73" t="s">
        <v>364</v>
      </c>
      <c r="E443" s="74">
        <v>3.0000000000000001E-3</v>
      </c>
      <c r="F443" s="76" t="s">
        <v>222</v>
      </c>
      <c r="G443" s="77" t="s">
        <v>220</v>
      </c>
      <c r="H443" t="str">
        <f>VLOOKUP(D443,'DETALLE PRECIO INGREDIENTES'!B:B,1,0)</f>
        <v>HUMO LIQUIDO</v>
      </c>
    </row>
    <row r="444" spans="2:8" ht="15.5" hidden="1" x14ac:dyDescent="0.35">
      <c r="B444" s="75" t="s">
        <v>199</v>
      </c>
      <c r="C444" s="75" t="s">
        <v>178</v>
      </c>
      <c r="D444" s="73" t="s">
        <v>398</v>
      </c>
      <c r="E444" s="74">
        <v>0.01</v>
      </c>
      <c r="F444" s="76" t="s">
        <v>237</v>
      </c>
      <c r="G444" s="77" t="s">
        <v>220</v>
      </c>
      <c r="H444" t="str">
        <f>VLOOKUP(D444,'DETALLE PRECIO INGREDIENTES'!B:B,1,0)</f>
        <v>MOSTAZA DIJON</v>
      </c>
    </row>
    <row r="445" spans="2:8" ht="15.5" hidden="1" x14ac:dyDescent="0.35">
      <c r="B445" s="75" t="s">
        <v>199</v>
      </c>
      <c r="C445" s="75" t="s">
        <v>178</v>
      </c>
      <c r="D445" s="73" t="s">
        <v>413</v>
      </c>
      <c r="E445" s="74">
        <v>2E-3</v>
      </c>
      <c r="F445" s="76" t="s">
        <v>237</v>
      </c>
      <c r="G445" s="77" t="s">
        <v>220</v>
      </c>
      <c r="H445" t="str">
        <f>VLOOKUP(D445,'DETALLE PRECIO INGREDIENTES'!B:B,1,0)</f>
        <v>PAPRIKA</v>
      </c>
    </row>
    <row r="446" spans="2:8" ht="15.5" hidden="1" x14ac:dyDescent="0.35">
      <c r="B446" s="75" t="s">
        <v>199</v>
      </c>
      <c r="C446" s="75" t="s">
        <v>178</v>
      </c>
      <c r="D446" s="73" t="s">
        <v>254</v>
      </c>
      <c r="E446" s="74">
        <v>3.0000000000000001E-3</v>
      </c>
      <c r="F446" s="76" t="s">
        <v>237</v>
      </c>
      <c r="G446" s="77" t="s">
        <v>220</v>
      </c>
      <c r="H446" t="str">
        <f>VLOOKUP(D446,'DETALLE PRECIO INGREDIENTES'!B:B,1,0)</f>
        <v>AJO EN POLVO</v>
      </c>
    </row>
    <row r="447" spans="2:8" ht="15.5" hidden="1" x14ac:dyDescent="0.35">
      <c r="B447" s="75" t="s">
        <v>199</v>
      </c>
      <c r="C447" s="75" t="s">
        <v>178</v>
      </c>
      <c r="D447" s="73" t="s">
        <v>368</v>
      </c>
      <c r="E447" s="74">
        <v>3.0000000000000001E-3</v>
      </c>
      <c r="F447" s="76" t="s">
        <v>237</v>
      </c>
      <c r="G447" s="77" t="s">
        <v>220</v>
      </c>
      <c r="H447" t="str">
        <f>VLOOKUP(D447,'DETALLE PRECIO INGREDIENTES'!B:B,1,0)</f>
        <v>JENGIBRE MOLIDO</v>
      </c>
    </row>
    <row r="448" spans="2:8" ht="15.5" hidden="1" x14ac:dyDescent="0.35">
      <c r="B448" s="75" t="s">
        <v>199</v>
      </c>
      <c r="C448" s="75" t="s">
        <v>178</v>
      </c>
      <c r="D448" s="73" t="s">
        <v>387</v>
      </c>
      <c r="E448" s="74">
        <v>2E-3</v>
      </c>
      <c r="F448" s="76" t="s">
        <v>237</v>
      </c>
      <c r="G448" s="77" t="s">
        <v>220</v>
      </c>
      <c r="H448" t="str">
        <f>VLOOKUP(D448,'DETALLE PRECIO INGREDIENTES'!B:B,1,0)</f>
        <v>MERKEN</v>
      </c>
    </row>
    <row r="449" spans="2:8" ht="15.5" hidden="1" x14ac:dyDescent="0.35">
      <c r="B449" s="75" t="s">
        <v>199</v>
      </c>
      <c r="C449" s="75" t="s">
        <v>178</v>
      </c>
      <c r="D449" s="73" t="s">
        <v>530</v>
      </c>
      <c r="E449" s="74">
        <v>0.1</v>
      </c>
      <c r="F449" s="76" t="s">
        <v>237</v>
      </c>
      <c r="G449" s="77" t="s">
        <v>525</v>
      </c>
      <c r="H449" t="str">
        <f>VLOOKUP(D449,'DETALLE PRECIO INGREDIENTES'!B:B,1,0)</f>
        <v>CERDO COSTILLAR</v>
      </c>
    </row>
    <row r="450" spans="2:8" ht="15.5" hidden="1" x14ac:dyDescent="0.35">
      <c r="B450" s="75" t="s">
        <v>199</v>
      </c>
      <c r="C450" s="75" t="s">
        <v>177</v>
      </c>
      <c r="D450" s="73" t="s">
        <v>644</v>
      </c>
      <c r="E450" s="74">
        <v>0.06</v>
      </c>
      <c r="F450" s="76" t="s">
        <v>237</v>
      </c>
      <c r="G450" s="77" t="s">
        <v>621</v>
      </c>
      <c r="H450" t="str">
        <f>VLOOKUP(D450,'DETALLE PRECIO INGREDIENTES'!B:B,1,0)</f>
        <v>CEBOLLA BLANCA</v>
      </c>
    </row>
    <row r="451" spans="2:8" ht="15.5" hidden="1" x14ac:dyDescent="0.35">
      <c r="B451" s="75" t="s">
        <v>199</v>
      </c>
      <c r="C451" s="75" t="s">
        <v>177</v>
      </c>
      <c r="D451" s="73" t="s">
        <v>370</v>
      </c>
      <c r="E451" s="74">
        <v>1E-3</v>
      </c>
      <c r="F451" s="76" t="s">
        <v>237</v>
      </c>
      <c r="G451" s="77" t="s">
        <v>220</v>
      </c>
      <c r="H451" t="str">
        <f>VLOOKUP(D451,'DETALLE PRECIO INGREDIENTES'!B:B,1,0)</f>
        <v>LAUREL</v>
      </c>
    </row>
    <row r="452" spans="2:8" ht="15.5" x14ac:dyDescent="0.35">
      <c r="B452" s="75" t="s">
        <v>199</v>
      </c>
      <c r="C452" s="75" t="s">
        <v>177</v>
      </c>
      <c r="D452" s="73" t="s">
        <v>903</v>
      </c>
      <c r="E452" s="74">
        <v>0.1</v>
      </c>
      <c r="F452" s="76" t="s">
        <v>259</v>
      </c>
      <c r="G452" s="77" t="s">
        <v>621</v>
      </c>
      <c r="H452" t="e">
        <f>VLOOKUP(D452,'DETALLE PRECIO INGREDIENTES'!B:B,1,0)</f>
        <v>#N/A</v>
      </c>
    </row>
    <row r="453" spans="2:8" ht="15.5" hidden="1" x14ac:dyDescent="0.35">
      <c r="B453" s="75" t="s">
        <v>199</v>
      </c>
      <c r="C453" s="75" t="s">
        <v>177</v>
      </c>
      <c r="D453" s="73" t="s">
        <v>690</v>
      </c>
      <c r="E453" s="74">
        <v>0.12</v>
      </c>
      <c r="F453" s="76" t="s">
        <v>237</v>
      </c>
      <c r="G453" s="77" t="s">
        <v>621</v>
      </c>
      <c r="H453" t="str">
        <f>VLOOKUP(D453,'DETALLE PRECIO INGREDIENTES'!B:B,1,0)</f>
        <v>NARANJA DE JUGO</v>
      </c>
    </row>
    <row r="454" spans="2:8" ht="15.5" hidden="1" x14ac:dyDescent="0.35">
      <c r="B454" s="75" t="s">
        <v>199</v>
      </c>
      <c r="C454" s="75" t="s">
        <v>177</v>
      </c>
      <c r="D454" s="73" t="s">
        <v>540</v>
      </c>
      <c r="E454" s="74">
        <v>0.15</v>
      </c>
      <c r="F454" s="76" t="s">
        <v>237</v>
      </c>
      <c r="G454" s="77" t="s">
        <v>525</v>
      </c>
      <c r="H454" t="str">
        <f>VLOOKUP(D454,'DETALLE PRECIO INGREDIENTES'!B:B,1,0)</f>
        <v>CERDO SOLOMILLO</v>
      </c>
    </row>
    <row r="455" spans="2:8" ht="15.5" hidden="1" x14ac:dyDescent="0.35">
      <c r="B455" s="75" t="s">
        <v>199</v>
      </c>
      <c r="C455" s="75" t="s">
        <v>177</v>
      </c>
      <c r="D455" s="73" t="s">
        <v>230</v>
      </c>
      <c r="E455" s="74">
        <v>0.03</v>
      </c>
      <c r="F455" s="76" t="s">
        <v>222</v>
      </c>
      <c r="G455" s="77" t="s">
        <v>220</v>
      </c>
      <c r="H455" t="str">
        <f>VLOOKUP(D455,'DETALLE PRECIO INGREDIENTES'!B:B,1,0)</f>
        <v>ACEITE DE OLIVA</v>
      </c>
    </row>
    <row r="456" spans="2:8" ht="15.5" hidden="1" x14ac:dyDescent="0.35">
      <c r="B456" s="75" t="s">
        <v>199</v>
      </c>
      <c r="C456" s="75" t="s">
        <v>177</v>
      </c>
      <c r="D456" s="73" t="s">
        <v>698</v>
      </c>
      <c r="E456" s="74">
        <v>0.03</v>
      </c>
      <c r="F456" s="76" t="s">
        <v>237</v>
      </c>
      <c r="G456" s="77" t="s">
        <v>621</v>
      </c>
      <c r="H456" t="str">
        <f>VLOOKUP(D456,'DETALLE PRECIO INGREDIENTES'!B:B,1,0)</f>
        <v>PEREJIL</v>
      </c>
    </row>
    <row r="457" spans="2:8" ht="15.5" hidden="1" x14ac:dyDescent="0.35">
      <c r="B457" s="75" t="s">
        <v>199</v>
      </c>
      <c r="C457" s="75" t="s">
        <v>177</v>
      </c>
      <c r="D457" s="73" t="s">
        <v>628</v>
      </c>
      <c r="E457" s="74">
        <v>0.18</v>
      </c>
      <c r="F457" s="76" t="s">
        <v>259</v>
      </c>
      <c r="G457" s="77" t="s">
        <v>621</v>
      </c>
      <c r="H457" t="str">
        <f>VLOOKUP(D457,'DETALLE PRECIO INGREDIENTES'!B:B,1,0)</f>
        <v>AJO CABEZA</v>
      </c>
    </row>
    <row r="458" spans="2:8" ht="15.5" hidden="1" x14ac:dyDescent="0.35">
      <c r="B458" s="75" t="s">
        <v>199</v>
      </c>
      <c r="C458" s="75" t="s">
        <v>177</v>
      </c>
      <c r="D458" s="73" t="s">
        <v>409</v>
      </c>
      <c r="E458" s="74">
        <v>0.04</v>
      </c>
      <c r="F458" s="76" t="s">
        <v>237</v>
      </c>
      <c r="G458" s="77" t="s">
        <v>220</v>
      </c>
      <c r="H458" t="str">
        <f>VLOOKUP(D458,'DETALLE PRECIO INGREDIENTES'!B:B,1,0)</f>
        <v>PAN RALLADO</v>
      </c>
    </row>
    <row r="459" spans="2:8" ht="15.5" hidden="1" x14ac:dyDescent="0.35">
      <c r="B459" s="75" t="s">
        <v>199</v>
      </c>
      <c r="C459" s="75" t="s">
        <v>177</v>
      </c>
      <c r="D459" s="73" t="s">
        <v>769</v>
      </c>
      <c r="E459" s="74">
        <v>1.2E-2</v>
      </c>
      <c r="F459" s="76" t="s">
        <v>237</v>
      </c>
      <c r="G459" s="77" t="s">
        <v>736</v>
      </c>
      <c r="H459" t="str">
        <f>VLOOKUP(D459,'DETALLE PRECIO INGREDIENTES'!B:B,1,0)</f>
        <v>QUESO PARMESANO</v>
      </c>
    </row>
    <row r="460" spans="2:8" ht="15.5" hidden="1" x14ac:dyDescent="0.35">
      <c r="B460" s="75" t="s">
        <v>199</v>
      </c>
      <c r="C460" s="75" t="s">
        <v>177</v>
      </c>
      <c r="D460" s="73" t="s">
        <v>750</v>
      </c>
      <c r="E460" s="74">
        <v>0.01</v>
      </c>
      <c r="F460" s="76" t="s">
        <v>237</v>
      </c>
      <c r="G460" s="77" t="s">
        <v>736</v>
      </c>
      <c r="H460" t="str">
        <f>VLOOKUP(D460,'DETALLE PRECIO INGREDIENTES'!B:B,1,0)</f>
        <v>MANTEQUILLA CON SAL</v>
      </c>
    </row>
    <row r="461" spans="2:8" ht="15.5" hidden="1" x14ac:dyDescent="0.35">
      <c r="B461" s="75" t="s">
        <v>199</v>
      </c>
      <c r="C461" s="75" t="s">
        <v>177</v>
      </c>
      <c r="D461" s="73" t="s">
        <v>718</v>
      </c>
      <c r="E461" s="74">
        <v>4.0000000000000001E-3</v>
      </c>
      <c r="F461" s="76" t="s">
        <v>237</v>
      </c>
      <c r="G461" s="77" t="s">
        <v>621</v>
      </c>
      <c r="H461" t="str">
        <f>VLOOKUP(D461,'DETALLE PRECIO INGREDIENTES'!B:B,1,0)</f>
        <v>TOMILLO FRESCO</v>
      </c>
    </row>
    <row r="462" spans="2:8" ht="15.5" hidden="1" x14ac:dyDescent="0.35">
      <c r="B462" s="75" t="s">
        <v>199</v>
      </c>
      <c r="C462" s="75" t="s">
        <v>177</v>
      </c>
      <c r="D462" s="73" t="s">
        <v>711</v>
      </c>
      <c r="E462" s="74">
        <v>4.0000000000000001E-3</v>
      </c>
      <c r="F462" s="76" t="s">
        <v>237</v>
      </c>
      <c r="G462" s="77" t="s">
        <v>621</v>
      </c>
      <c r="H462" t="str">
        <f>VLOOKUP(D462,'DETALLE PRECIO INGREDIENTES'!B:B,1,0)</f>
        <v>ROMERO FRESCO EN RAMA</v>
      </c>
    </row>
    <row r="463" spans="2:8" ht="15.5" hidden="1" x14ac:dyDescent="0.35">
      <c r="B463" s="75" t="s">
        <v>199</v>
      </c>
      <c r="C463" s="75" t="s">
        <v>177</v>
      </c>
      <c r="D463" s="73" t="s">
        <v>529</v>
      </c>
      <c r="E463" s="74">
        <v>0.5</v>
      </c>
      <c r="F463" s="76" t="s">
        <v>259</v>
      </c>
      <c r="G463" s="77" t="s">
        <v>525</v>
      </c>
      <c r="H463" t="str">
        <f>VLOOKUP(D463,'DETALLE PRECIO INGREDIENTES'!B:B,1,0)</f>
        <v>CERDO CHULETA CENTRO TRES CM</v>
      </c>
    </row>
    <row r="464" spans="2:8" ht="15.5" hidden="1" x14ac:dyDescent="0.35">
      <c r="B464" s="75" t="s">
        <v>199</v>
      </c>
      <c r="C464" s="75" t="s">
        <v>177</v>
      </c>
      <c r="D464" s="73" t="s">
        <v>651</v>
      </c>
      <c r="E464" s="74">
        <v>7.0000000000000001E-3</v>
      </c>
      <c r="F464" s="76" t="s">
        <v>237</v>
      </c>
      <c r="G464" s="77" t="s">
        <v>621</v>
      </c>
      <c r="H464" t="str">
        <f>VLOOKUP(D464,'DETALLE PRECIO INGREDIENTES'!B:B,1,0)</f>
        <v>CHAMPIÑON PARIS</v>
      </c>
    </row>
    <row r="465" spans="2:8" ht="15.5" hidden="1" x14ac:dyDescent="0.35">
      <c r="B465" s="75" t="s">
        <v>199</v>
      </c>
      <c r="C465" s="75" t="s">
        <v>177</v>
      </c>
      <c r="D465" s="73" t="s">
        <v>650</v>
      </c>
      <c r="E465" s="74">
        <v>7.0000000000000001E-3</v>
      </c>
      <c r="F465" s="76" t="s">
        <v>237</v>
      </c>
      <c r="G465" s="77" t="s">
        <v>621</v>
      </c>
      <c r="H465" t="str">
        <f>VLOOKUP(D465,'DETALLE PRECIO INGREDIENTES'!B:B,1,0)</f>
        <v>CHAMPIÑON OSTRA</v>
      </c>
    </row>
    <row r="466" spans="2:8" ht="15.5" hidden="1" x14ac:dyDescent="0.35">
      <c r="B466" s="75" t="s">
        <v>199</v>
      </c>
      <c r="C466" s="75" t="s">
        <v>177</v>
      </c>
      <c r="D466" s="73" t="s">
        <v>652</v>
      </c>
      <c r="E466" s="74">
        <v>7.0000000000000001E-3</v>
      </c>
      <c r="F466" s="76" t="s">
        <v>237</v>
      </c>
      <c r="G466" s="77" t="s">
        <v>621</v>
      </c>
      <c r="H466" t="str">
        <f>VLOOKUP(D466,'DETALLE PRECIO INGREDIENTES'!B:B,1,0)</f>
        <v>CHAMPIÑON PORTOBELLO</v>
      </c>
    </row>
    <row r="467" spans="2:8" ht="15.5" hidden="1" x14ac:dyDescent="0.35">
      <c r="B467" s="75" t="s">
        <v>199</v>
      </c>
      <c r="C467" s="75" t="s">
        <v>177</v>
      </c>
      <c r="D467" s="73" t="s">
        <v>649</v>
      </c>
      <c r="E467" s="74">
        <v>0.23</v>
      </c>
      <c r="F467" s="76" t="s">
        <v>259</v>
      </c>
      <c r="G467" s="77" t="s">
        <v>621</v>
      </c>
      <c r="H467" t="str">
        <f>VLOOKUP(D467,'DETALLE PRECIO INGREDIENTES'!B:B,1,0)</f>
        <v>CHALOTA</v>
      </c>
    </row>
    <row r="468" spans="2:8" ht="15.5" hidden="1" x14ac:dyDescent="0.35">
      <c r="B468" s="75" t="s">
        <v>199</v>
      </c>
      <c r="C468" s="75" t="s">
        <v>177</v>
      </c>
      <c r="D468" s="73" t="s">
        <v>779</v>
      </c>
      <c r="E468" s="74">
        <v>0.01</v>
      </c>
      <c r="F468" s="76" t="s">
        <v>259</v>
      </c>
      <c r="G468" s="77" t="s">
        <v>776</v>
      </c>
      <c r="H468" t="str">
        <f>VLOOKUP(D468,'DETALLE PRECIO INGREDIENTES'!B:B,1,0)</f>
        <v>COÑAC TRES PALOS</v>
      </c>
    </row>
    <row r="469" spans="2:8" ht="15.5" hidden="1" x14ac:dyDescent="0.35">
      <c r="B469" s="75" t="s">
        <v>199</v>
      </c>
      <c r="C469" s="75" t="s">
        <v>177</v>
      </c>
      <c r="D469" s="73" t="s">
        <v>759</v>
      </c>
      <c r="E469" s="74">
        <v>6.0000000000000001E-3</v>
      </c>
      <c r="F469" s="76" t="s">
        <v>237</v>
      </c>
      <c r="G469" s="77" t="s">
        <v>736</v>
      </c>
      <c r="H469" t="str">
        <f>VLOOKUP(D469,'DETALLE PRECIO INGREDIENTES'!B:B,1,0)</f>
        <v>QUESO CREMA</v>
      </c>
    </row>
    <row r="470" spans="2:8" ht="15.5" hidden="1" x14ac:dyDescent="0.35">
      <c r="B470" s="75" t="s">
        <v>199</v>
      </c>
      <c r="C470" s="75" t="s">
        <v>177</v>
      </c>
      <c r="D470" s="73" t="s">
        <v>766</v>
      </c>
      <c r="E470" s="74">
        <v>6.0000000000000001E-3</v>
      </c>
      <c r="F470" s="76" t="s">
        <v>237</v>
      </c>
      <c r="G470" s="77" t="s">
        <v>736</v>
      </c>
      <c r="H470" t="str">
        <f>VLOOKUP(D470,'DETALLE PRECIO INGREDIENTES'!B:B,1,0)</f>
        <v>QUESO MANTECOSO PIEZA</v>
      </c>
    </row>
    <row r="471" spans="2:8" ht="15.5" hidden="1" x14ac:dyDescent="0.35">
      <c r="B471" s="75" t="s">
        <v>199</v>
      </c>
      <c r="C471" s="75" t="s">
        <v>177</v>
      </c>
      <c r="D471" s="73" t="s">
        <v>354</v>
      </c>
      <c r="E471" s="74">
        <v>0.03</v>
      </c>
      <c r="F471" s="76" t="s">
        <v>237</v>
      </c>
      <c r="G471" s="77" t="s">
        <v>220</v>
      </c>
      <c r="H471" t="str">
        <f>VLOOKUP(D471,'DETALLE PRECIO INGREDIENTES'!B:B,1,0)</f>
        <v>HARINA BIZCOCHERA</v>
      </c>
    </row>
    <row r="472" spans="2:8" ht="15.5" hidden="1" x14ac:dyDescent="0.35">
      <c r="B472" s="75" t="s">
        <v>199</v>
      </c>
      <c r="C472" s="75" t="s">
        <v>177</v>
      </c>
      <c r="D472" s="73" t="s">
        <v>729</v>
      </c>
      <c r="E472" s="74">
        <v>0.3</v>
      </c>
      <c r="F472" s="78" t="s">
        <v>259</v>
      </c>
      <c r="G472" s="77" t="s">
        <v>728</v>
      </c>
      <c r="H472" t="str">
        <f>VLOOKUP(D472,'DETALLE PRECIO INGREDIENTES'!B:B,1,0)</f>
        <v>HUEVO EXTRA BLANCO</v>
      </c>
    </row>
    <row r="473" spans="2:8" ht="15.5" hidden="1" x14ac:dyDescent="0.35">
      <c r="B473" s="75" t="s">
        <v>199</v>
      </c>
      <c r="C473" s="75" t="s">
        <v>177</v>
      </c>
      <c r="D473" s="73" t="s">
        <v>476</v>
      </c>
      <c r="E473" s="74">
        <v>6.0000000000000001E-3</v>
      </c>
      <c r="F473" s="78" t="s">
        <v>222</v>
      </c>
      <c r="G473" s="77" t="s">
        <v>220</v>
      </c>
      <c r="H473" t="str">
        <f>VLOOKUP(D473,'DETALLE PRECIO INGREDIENTES'!B:B,1,0)</f>
        <v>VINAGRE DE MANZANA</v>
      </c>
    </row>
    <row r="474" spans="2:8" ht="15.5" hidden="1" x14ac:dyDescent="0.35">
      <c r="B474" s="75" t="s">
        <v>199</v>
      </c>
      <c r="C474" s="75" t="s">
        <v>177</v>
      </c>
      <c r="D474" s="73" t="s">
        <v>277</v>
      </c>
      <c r="E474" s="74">
        <v>0.06</v>
      </c>
      <c r="F474" s="78" t="s">
        <v>237</v>
      </c>
      <c r="G474" s="77" t="s">
        <v>220</v>
      </c>
      <c r="H474" t="str">
        <f>VLOOKUP(D474,'DETALLE PRECIO INGREDIENTES'!B:B,1,0)</f>
        <v>AZUCAR BLANCA GRANULADA</v>
      </c>
    </row>
    <row r="475" spans="2:8" ht="15.5" hidden="1" x14ac:dyDescent="0.35">
      <c r="B475" s="75" t="s">
        <v>199</v>
      </c>
      <c r="C475" s="75" t="s">
        <v>177</v>
      </c>
      <c r="D475" s="73" t="s">
        <v>882</v>
      </c>
      <c r="E475" s="74">
        <v>0.03</v>
      </c>
      <c r="F475" s="78" t="s">
        <v>222</v>
      </c>
      <c r="G475" s="77" t="s">
        <v>876</v>
      </c>
      <c r="H475" t="str">
        <f>VLOOKUP(D475,'DETALLE PRECIO INGREDIENTES'!B:B,1,0)</f>
        <v>VINO TINTO TETRA</v>
      </c>
    </row>
    <row r="476" spans="2:8" ht="15.5" hidden="1" x14ac:dyDescent="0.35">
      <c r="B476" s="75" t="s">
        <v>199</v>
      </c>
      <c r="C476" s="75" t="s">
        <v>177</v>
      </c>
      <c r="D476" s="73" t="s">
        <v>477</v>
      </c>
      <c r="E476" s="74">
        <v>0.03</v>
      </c>
      <c r="F476" s="78" t="s">
        <v>222</v>
      </c>
      <c r="G476" s="77" t="s">
        <v>220</v>
      </c>
      <c r="H476" t="str">
        <f>VLOOKUP(D476,'DETALLE PRECIO INGREDIENTES'!B:B,1,0)</f>
        <v>VINAGRE TINTO</v>
      </c>
    </row>
    <row r="477" spans="2:8" ht="15.5" hidden="1" x14ac:dyDescent="0.35">
      <c r="B477" s="75" t="s">
        <v>199</v>
      </c>
      <c r="C477" s="75" t="s">
        <v>176</v>
      </c>
      <c r="D477" s="73" t="s">
        <v>867</v>
      </c>
      <c r="E477" s="74">
        <v>0.06</v>
      </c>
      <c r="F477" s="78" t="s">
        <v>237</v>
      </c>
      <c r="G477" s="77" t="s">
        <v>852</v>
      </c>
      <c r="H477" t="str">
        <f>VLOOKUP(D477,'DETALLE PRECIO INGREDIENTES'!B:B,1,0)</f>
        <v>VACUNO LOMO VETADO</v>
      </c>
    </row>
    <row r="478" spans="2:8" ht="15.5" hidden="1" x14ac:dyDescent="0.35">
      <c r="B478" s="75" t="s">
        <v>199</v>
      </c>
      <c r="C478" s="75" t="s">
        <v>176</v>
      </c>
      <c r="D478" s="73" t="s">
        <v>862</v>
      </c>
      <c r="E478" s="74">
        <v>0.06</v>
      </c>
      <c r="F478" s="78" t="s">
        <v>237</v>
      </c>
      <c r="G478" s="77" t="s">
        <v>852</v>
      </c>
      <c r="H478" t="str">
        <f>VLOOKUP(D478,'DETALLE PRECIO INGREDIENTES'!B:B,1,0)</f>
        <v>VACUNO FILETE ENTERO</v>
      </c>
    </row>
    <row r="479" spans="2:8" ht="15.5" hidden="1" x14ac:dyDescent="0.35">
      <c r="B479" s="75" t="s">
        <v>199</v>
      </c>
      <c r="C479" s="75" t="s">
        <v>176</v>
      </c>
      <c r="D479" s="73" t="s">
        <v>870</v>
      </c>
      <c r="E479" s="74">
        <v>0.06</v>
      </c>
      <c r="F479" s="78" t="s">
        <v>237</v>
      </c>
      <c r="G479" s="77" t="s">
        <v>852</v>
      </c>
      <c r="H479" t="str">
        <f>VLOOKUP(D479,'DETALLE PRECIO INGREDIENTES'!B:B,1,0)</f>
        <v>VACUNO PALANCA</v>
      </c>
    </row>
    <row r="480" spans="2:8" ht="15.5" hidden="1" x14ac:dyDescent="0.35">
      <c r="B480" s="75" t="s">
        <v>199</v>
      </c>
      <c r="C480" s="75" t="s">
        <v>176</v>
      </c>
      <c r="D480" s="73" t="s">
        <v>874</v>
      </c>
      <c r="E480" s="74">
        <v>0.06</v>
      </c>
      <c r="F480" s="78" t="s">
        <v>237</v>
      </c>
      <c r="G480" s="77" t="s">
        <v>852</v>
      </c>
      <c r="H480" t="str">
        <f>VLOOKUP(D480,'DETALLE PRECIO INGREDIENTES'!B:B,1,0)</f>
        <v>VACUNO PUNTA PALETA</v>
      </c>
    </row>
    <row r="481" spans="2:8" ht="15.5" hidden="1" x14ac:dyDescent="0.35">
      <c r="B481" s="75" t="s">
        <v>199</v>
      </c>
      <c r="C481" s="75" t="s">
        <v>176</v>
      </c>
      <c r="D481" s="73" t="s">
        <v>228</v>
      </c>
      <c r="E481" s="74">
        <v>0.03</v>
      </c>
      <c r="F481" s="78" t="s">
        <v>222</v>
      </c>
      <c r="G481" s="77" t="s">
        <v>220</v>
      </c>
      <c r="H481" t="str">
        <f>VLOOKUP(D481,'DETALLE PRECIO INGREDIENTES'!B:B,1,0)</f>
        <v>ACEITE DE MARAVILLA</v>
      </c>
    </row>
    <row r="482" spans="2:8" ht="15.5" hidden="1" x14ac:dyDescent="0.35">
      <c r="B482" s="75" t="s">
        <v>199</v>
      </c>
      <c r="C482" s="75" t="s">
        <v>176</v>
      </c>
      <c r="D482" s="73" t="s">
        <v>628</v>
      </c>
      <c r="E482" s="74">
        <v>0.12</v>
      </c>
      <c r="F482" s="78" t="s">
        <v>259</v>
      </c>
      <c r="G482" s="77" t="s">
        <v>621</v>
      </c>
      <c r="H482" t="str">
        <f>VLOOKUP(D482,'DETALLE PRECIO INGREDIENTES'!B:B,1,0)</f>
        <v>AJO CABEZA</v>
      </c>
    </row>
    <row r="483" spans="2:8" ht="15.5" hidden="1" x14ac:dyDescent="0.35">
      <c r="B483" s="75" t="s">
        <v>199</v>
      </c>
      <c r="C483" s="75" t="s">
        <v>176</v>
      </c>
      <c r="D483" s="73" t="s">
        <v>445</v>
      </c>
      <c r="E483" s="74">
        <v>0.03</v>
      </c>
      <c r="F483" s="78" t="s">
        <v>237</v>
      </c>
      <c r="G483" s="77" t="s">
        <v>220</v>
      </c>
      <c r="H483" t="str">
        <f>VLOOKUP(D483,'DETALLE PRECIO INGREDIENTES'!B:B,1,0)</f>
        <v>SAL DE MESA LOBOS</v>
      </c>
    </row>
    <row r="484" spans="2:8" ht="15.5" hidden="1" x14ac:dyDescent="0.35">
      <c r="B484" s="75" t="s">
        <v>199</v>
      </c>
      <c r="C484" s="75" t="s">
        <v>176</v>
      </c>
      <c r="D484" s="73" t="s">
        <v>428</v>
      </c>
      <c r="E484" s="74">
        <v>3.0000000000000001E-3</v>
      </c>
      <c r="F484" s="78" t="s">
        <v>237</v>
      </c>
      <c r="G484" s="77" t="s">
        <v>220</v>
      </c>
      <c r="H484" t="str">
        <f>VLOOKUP(D484,'DETALLE PRECIO INGREDIENTES'!B:B,1,0)</f>
        <v>PIMIENTA NEGRA MOLIDA</v>
      </c>
    </row>
    <row r="485" spans="2:8" ht="15.5" hidden="1" x14ac:dyDescent="0.35">
      <c r="B485" s="75" t="s">
        <v>199</v>
      </c>
      <c r="C485" s="75" t="s">
        <v>176</v>
      </c>
      <c r="D485" s="73" t="s">
        <v>649</v>
      </c>
      <c r="E485" s="74">
        <v>0.3</v>
      </c>
      <c r="F485" s="78" t="s">
        <v>259</v>
      </c>
      <c r="G485" s="77" t="s">
        <v>621</v>
      </c>
      <c r="H485" t="str">
        <f>VLOOKUP(D485,'DETALLE PRECIO INGREDIENTES'!B:B,1,0)</f>
        <v>CHALOTA</v>
      </c>
    </row>
    <row r="486" spans="2:8" ht="15.5" hidden="1" x14ac:dyDescent="0.35">
      <c r="B486" s="75" t="s">
        <v>199</v>
      </c>
      <c r="C486" s="75" t="s">
        <v>176</v>
      </c>
      <c r="D486" s="73" t="s">
        <v>882</v>
      </c>
      <c r="E486" s="74">
        <v>0.12</v>
      </c>
      <c r="F486" s="78" t="s">
        <v>222</v>
      </c>
      <c r="G486" s="77" t="s">
        <v>876</v>
      </c>
      <c r="H486" t="str">
        <f>VLOOKUP(D486,'DETALLE PRECIO INGREDIENTES'!B:B,1,0)</f>
        <v>VINO TINTO TETRA</v>
      </c>
    </row>
    <row r="487" spans="2:8" ht="15.5" hidden="1" x14ac:dyDescent="0.35">
      <c r="B487" s="75" t="s">
        <v>199</v>
      </c>
      <c r="C487" s="75" t="s">
        <v>176</v>
      </c>
      <c r="D487" s="73" t="s">
        <v>477</v>
      </c>
      <c r="E487" s="74">
        <v>0.03</v>
      </c>
      <c r="F487" s="78" t="s">
        <v>222</v>
      </c>
      <c r="G487" s="77" t="s">
        <v>220</v>
      </c>
      <c r="H487" t="str">
        <f>VLOOKUP(D487,'DETALLE PRECIO INGREDIENTES'!B:B,1,0)</f>
        <v>VINAGRE TINTO</v>
      </c>
    </row>
    <row r="488" spans="2:8" ht="15.5" hidden="1" x14ac:dyDescent="0.35">
      <c r="B488" s="75" t="s">
        <v>199</v>
      </c>
      <c r="C488" s="75" t="s">
        <v>176</v>
      </c>
      <c r="D488" s="73" t="s">
        <v>750</v>
      </c>
      <c r="E488" s="74">
        <v>0.05</v>
      </c>
      <c r="F488" s="78" t="s">
        <v>237</v>
      </c>
      <c r="G488" s="77" t="s">
        <v>736</v>
      </c>
      <c r="H488" t="str">
        <f>VLOOKUP(D488,'DETALLE PRECIO INGREDIENTES'!B:B,1,0)</f>
        <v>MANTEQUILLA CON SAL</v>
      </c>
    </row>
    <row r="489" spans="2:8" ht="15.5" hidden="1" x14ac:dyDescent="0.35">
      <c r="B489" s="75" t="s">
        <v>199</v>
      </c>
      <c r="C489" s="75" t="s">
        <v>176</v>
      </c>
      <c r="D489" s="73" t="s">
        <v>864</v>
      </c>
      <c r="E489" s="74">
        <v>0.06</v>
      </c>
      <c r="F489" s="78" t="s">
        <v>237</v>
      </c>
      <c r="G489" s="77" t="s">
        <v>852</v>
      </c>
      <c r="H489" t="str">
        <f>VLOOKUP(D489,'DETALLE PRECIO INGREDIENTES'!B:B,1,0)</f>
        <v>VACUNO HUESOS</v>
      </c>
    </row>
    <row r="490" spans="2:8" ht="15.5" hidden="1" x14ac:dyDescent="0.35">
      <c r="B490" s="75" t="s">
        <v>199</v>
      </c>
      <c r="C490" s="75" t="s">
        <v>176</v>
      </c>
      <c r="D490" s="73" t="s">
        <v>644</v>
      </c>
      <c r="E490" s="74">
        <v>0.06</v>
      </c>
      <c r="F490" s="78" t="s">
        <v>237</v>
      </c>
      <c r="G490" s="77" t="s">
        <v>621</v>
      </c>
      <c r="H490" t="str">
        <f>VLOOKUP(D490,'DETALLE PRECIO INGREDIENTES'!B:B,1,0)</f>
        <v>CEBOLLA BLANCA</v>
      </c>
    </row>
    <row r="491" spans="2:8" ht="15.5" hidden="1" x14ac:dyDescent="0.35">
      <c r="B491" s="75" t="s">
        <v>199</v>
      </c>
      <c r="C491" s="75" t="s">
        <v>176</v>
      </c>
      <c r="D491" s="73" t="s">
        <v>720</v>
      </c>
      <c r="E491" s="74">
        <v>0.03</v>
      </c>
      <c r="F491" s="78" t="s">
        <v>237</v>
      </c>
      <c r="G491" s="77" t="s">
        <v>621</v>
      </c>
      <c r="H491" t="str">
        <f>VLOOKUP(D491,'DETALLE PRECIO INGREDIENTES'!B:B,1,0)</f>
        <v>ZANAHORIA</v>
      </c>
    </row>
    <row r="492" spans="2:8" ht="15.5" hidden="1" x14ac:dyDescent="0.35">
      <c r="B492" s="75" t="s">
        <v>199</v>
      </c>
      <c r="C492" s="75" t="s">
        <v>176</v>
      </c>
      <c r="D492" s="73" t="s">
        <v>707</v>
      </c>
      <c r="E492" s="74">
        <v>0.12</v>
      </c>
      <c r="F492" s="78" t="s">
        <v>259</v>
      </c>
      <c r="G492" s="77" t="s">
        <v>621</v>
      </c>
      <c r="H492" t="str">
        <f>VLOOKUP(D492,'DETALLE PRECIO INGREDIENTES'!B:B,1,0)</f>
        <v>PUERROS</v>
      </c>
    </row>
    <row r="493" spans="2:8" ht="15.5" hidden="1" x14ac:dyDescent="0.35">
      <c r="B493" s="75" t="s">
        <v>199</v>
      </c>
      <c r="C493" s="75" t="s">
        <v>176</v>
      </c>
      <c r="D493" s="73" t="s">
        <v>427</v>
      </c>
      <c r="E493" s="74">
        <v>2E-3</v>
      </c>
      <c r="F493" s="78" t="s">
        <v>237</v>
      </c>
      <c r="G493" s="77" t="s">
        <v>220</v>
      </c>
      <c r="H493" t="str">
        <f>VLOOKUP(D493,'DETALLE PRECIO INGREDIENTES'!B:B,1,0)</f>
        <v>PIMIENTA NEGRA ENTERA</v>
      </c>
    </row>
    <row r="494" spans="2:8" ht="15.5" hidden="1" x14ac:dyDescent="0.35">
      <c r="B494" s="75" t="s">
        <v>199</v>
      </c>
      <c r="C494" s="75" t="s">
        <v>176</v>
      </c>
      <c r="D494" s="73" t="s">
        <v>370</v>
      </c>
      <c r="E494" s="74">
        <v>1E-3</v>
      </c>
      <c r="F494" s="78" t="s">
        <v>237</v>
      </c>
      <c r="G494" s="77" t="s">
        <v>220</v>
      </c>
      <c r="H494" t="str">
        <f>VLOOKUP(D494,'DETALLE PRECIO INGREDIENTES'!B:B,1,0)</f>
        <v>LAUREL</v>
      </c>
    </row>
    <row r="495" spans="2:8" ht="15.5" hidden="1" x14ac:dyDescent="0.35">
      <c r="B495" s="75" t="s">
        <v>199</v>
      </c>
      <c r="C495" s="75" t="s">
        <v>176</v>
      </c>
      <c r="D495" s="73" t="s">
        <v>718</v>
      </c>
      <c r="E495" s="74">
        <v>2E-3</v>
      </c>
      <c r="F495" s="78" t="s">
        <v>237</v>
      </c>
      <c r="G495" s="77" t="s">
        <v>621</v>
      </c>
      <c r="H495" t="str">
        <f>VLOOKUP(D495,'DETALLE PRECIO INGREDIENTES'!B:B,1,0)</f>
        <v>TOMILLO FRESCO</v>
      </c>
    </row>
    <row r="496" spans="2:8" ht="15.5" hidden="1" x14ac:dyDescent="0.35">
      <c r="B496" s="75" t="s">
        <v>199</v>
      </c>
      <c r="C496" s="75" t="s">
        <v>176</v>
      </c>
      <c r="D496" s="73" t="s">
        <v>310</v>
      </c>
      <c r="E496" s="74">
        <v>0.02</v>
      </c>
      <c r="F496" s="78" t="s">
        <v>237</v>
      </c>
      <c r="G496" s="77" t="s">
        <v>220</v>
      </c>
      <c r="H496" t="str">
        <f>VLOOKUP(D496,'DETALLE PRECIO INGREDIENTES'!B:B,1,0)</f>
        <v>CONCENTRADO DE TOMATE</v>
      </c>
    </row>
    <row r="497" spans="2:8" ht="15.5" hidden="1" x14ac:dyDescent="0.35">
      <c r="B497" s="75" t="s">
        <v>199</v>
      </c>
      <c r="C497" s="75" t="s">
        <v>175</v>
      </c>
      <c r="D497" s="73" t="s">
        <v>354</v>
      </c>
      <c r="E497" s="74">
        <v>0.02</v>
      </c>
      <c r="F497" s="78" t="s">
        <v>237</v>
      </c>
      <c r="G497" s="77" t="s">
        <v>220</v>
      </c>
      <c r="H497" t="str">
        <f>VLOOKUP(D497,'DETALLE PRECIO INGREDIENTES'!B:B,1,0)</f>
        <v>HARINA BIZCOCHERA</v>
      </c>
    </row>
    <row r="498" spans="2:8" ht="15.5" hidden="1" x14ac:dyDescent="0.35">
      <c r="B498" s="75" t="s">
        <v>199</v>
      </c>
      <c r="C498" s="75" t="s">
        <v>175</v>
      </c>
      <c r="D498" s="73" t="s">
        <v>413</v>
      </c>
      <c r="E498" s="74">
        <v>1E-3</v>
      </c>
      <c r="F498" s="78" t="s">
        <v>237</v>
      </c>
      <c r="G498" s="77" t="s">
        <v>220</v>
      </c>
      <c r="H498" t="str">
        <f>VLOOKUP(D498,'DETALLE PRECIO INGREDIENTES'!B:B,1,0)</f>
        <v>PAPRIKA</v>
      </c>
    </row>
    <row r="499" spans="2:8" ht="15.5" hidden="1" x14ac:dyDescent="0.35">
      <c r="B499" s="75" t="s">
        <v>199</v>
      </c>
      <c r="C499" s="75" t="s">
        <v>175</v>
      </c>
      <c r="D499" s="73" t="s">
        <v>875</v>
      </c>
      <c r="E499" s="74">
        <v>0.12</v>
      </c>
      <c r="F499" s="78" t="s">
        <v>237</v>
      </c>
      <c r="G499" s="77" t="s">
        <v>852</v>
      </c>
      <c r="H499" t="str">
        <f>VLOOKUP(D499,'DETALLE PRECIO INGREDIENTES'!B:B,1,0)</f>
        <v>VACUNO SOBRECOSTILLA</v>
      </c>
    </row>
    <row r="500" spans="2:8" ht="15.5" hidden="1" x14ac:dyDescent="0.35">
      <c r="B500" s="75" t="s">
        <v>199</v>
      </c>
      <c r="C500" s="75" t="s">
        <v>175</v>
      </c>
      <c r="D500" s="73" t="s">
        <v>544</v>
      </c>
      <c r="E500" s="74">
        <v>3.5000000000000003E-2</v>
      </c>
      <c r="F500" s="78" t="s">
        <v>237</v>
      </c>
      <c r="G500" s="77" t="s">
        <v>525</v>
      </c>
      <c r="H500" t="str">
        <f>VLOOKUP(D500,'DETALLE PRECIO INGREDIENTES'!B:B,1,0)</f>
        <v>TOCINO AHUMADO ENTERO</v>
      </c>
    </row>
    <row r="501" spans="2:8" ht="15.5" hidden="1" x14ac:dyDescent="0.35">
      <c r="B501" s="75" t="s">
        <v>199</v>
      </c>
      <c r="C501" s="75" t="s">
        <v>175</v>
      </c>
      <c r="D501" s="73" t="s">
        <v>228</v>
      </c>
      <c r="E501" s="74">
        <v>0.05</v>
      </c>
      <c r="F501" s="78" t="s">
        <v>222</v>
      </c>
      <c r="G501" s="77" t="s">
        <v>220</v>
      </c>
      <c r="H501" t="str">
        <f>VLOOKUP(D501,'DETALLE PRECIO INGREDIENTES'!B:B,1,0)</f>
        <v>ACEITE DE MARAVILLA</v>
      </c>
    </row>
    <row r="502" spans="2:8" ht="15.5" hidden="1" x14ac:dyDescent="0.35">
      <c r="B502" s="75" t="s">
        <v>199</v>
      </c>
      <c r="C502" s="75" t="s">
        <v>175</v>
      </c>
      <c r="D502" s="73" t="s">
        <v>644</v>
      </c>
      <c r="E502" s="74">
        <v>0.15</v>
      </c>
      <c r="F502" s="78" t="s">
        <v>237</v>
      </c>
      <c r="G502" s="77" t="s">
        <v>621</v>
      </c>
      <c r="H502" t="str">
        <f>VLOOKUP(D502,'DETALLE PRECIO INGREDIENTES'!B:B,1,0)</f>
        <v>CEBOLLA BLANCA</v>
      </c>
    </row>
    <row r="503" spans="2:8" ht="15.5" hidden="1" x14ac:dyDescent="0.35">
      <c r="B503" s="75" t="s">
        <v>199</v>
      </c>
      <c r="C503" s="75" t="s">
        <v>175</v>
      </c>
      <c r="D503" s="73" t="s">
        <v>720</v>
      </c>
      <c r="E503" s="74">
        <v>0.08</v>
      </c>
      <c r="F503" s="78" t="s">
        <v>237</v>
      </c>
      <c r="G503" s="77" t="s">
        <v>621</v>
      </c>
      <c r="H503" t="str">
        <f>VLOOKUP(D503,'DETALLE PRECIO INGREDIENTES'!B:B,1,0)</f>
        <v>ZANAHORIA</v>
      </c>
    </row>
    <row r="504" spans="2:8" ht="15.5" hidden="1" x14ac:dyDescent="0.35">
      <c r="B504" s="75" t="s">
        <v>199</v>
      </c>
      <c r="C504" s="75" t="s">
        <v>175</v>
      </c>
      <c r="D504" s="73" t="s">
        <v>297</v>
      </c>
      <c r="E504" s="74">
        <v>0.02</v>
      </c>
      <c r="F504" s="78" t="s">
        <v>237</v>
      </c>
      <c r="G504" s="77" t="s">
        <v>220</v>
      </c>
      <c r="H504" t="str">
        <f>VLOOKUP(D504,'DETALLE PRECIO INGREDIENTES'!B:B,1,0)</f>
        <v>CEBOLLITA PERLA EN VINAGRE</v>
      </c>
    </row>
    <row r="505" spans="2:8" ht="15.5" hidden="1" x14ac:dyDescent="0.35">
      <c r="B505" s="75" t="s">
        <v>199</v>
      </c>
      <c r="C505" s="75" t="s">
        <v>175</v>
      </c>
      <c r="D505" s="73" t="s">
        <v>628</v>
      </c>
      <c r="E505" s="74">
        <v>0.23</v>
      </c>
      <c r="F505" s="78" t="s">
        <v>259</v>
      </c>
      <c r="G505" s="77" t="s">
        <v>621</v>
      </c>
      <c r="H505" t="str">
        <f>VLOOKUP(D505,'DETALLE PRECIO INGREDIENTES'!B:B,1,0)</f>
        <v>AJO CABEZA</v>
      </c>
    </row>
    <row r="506" spans="2:8" ht="15.5" hidden="1" x14ac:dyDescent="0.35">
      <c r="B506" s="75" t="s">
        <v>199</v>
      </c>
      <c r="C506" s="75" t="s">
        <v>175</v>
      </c>
      <c r="D506" s="73" t="s">
        <v>651</v>
      </c>
      <c r="E506" s="74">
        <v>0.04</v>
      </c>
      <c r="F506" s="78" t="s">
        <v>237</v>
      </c>
      <c r="G506" s="77" t="s">
        <v>621</v>
      </c>
      <c r="H506" t="str">
        <f>VLOOKUP(D506,'DETALLE PRECIO INGREDIENTES'!B:B,1,0)</f>
        <v>CHAMPIÑON PARIS</v>
      </c>
    </row>
    <row r="507" spans="2:8" ht="15.5" hidden="1" x14ac:dyDescent="0.35">
      <c r="B507" s="75" t="s">
        <v>199</v>
      </c>
      <c r="C507" s="75" t="s">
        <v>175</v>
      </c>
      <c r="D507" s="73" t="s">
        <v>310</v>
      </c>
      <c r="E507" s="74">
        <v>3.0000000000000001E-3</v>
      </c>
      <c r="F507" s="78" t="s">
        <v>237</v>
      </c>
      <c r="G507" s="77" t="s">
        <v>220</v>
      </c>
      <c r="H507" t="str">
        <f>VLOOKUP(D507,'DETALLE PRECIO INGREDIENTES'!B:B,1,0)</f>
        <v>CONCENTRADO DE TOMATE</v>
      </c>
    </row>
    <row r="508" spans="2:8" ht="15.5" hidden="1" x14ac:dyDescent="0.35">
      <c r="B508" s="75" t="s">
        <v>199</v>
      </c>
      <c r="C508" s="75" t="s">
        <v>175</v>
      </c>
      <c r="D508" s="73" t="s">
        <v>882</v>
      </c>
      <c r="E508" s="74">
        <v>0.18</v>
      </c>
      <c r="F508" s="78" t="s">
        <v>222</v>
      </c>
      <c r="G508" s="77" t="s">
        <v>876</v>
      </c>
      <c r="H508" t="str">
        <f>VLOOKUP(D508,'DETALLE PRECIO INGREDIENTES'!B:B,1,0)</f>
        <v>VINO TINTO TETRA</v>
      </c>
    </row>
    <row r="509" spans="2:8" ht="15.5" hidden="1" x14ac:dyDescent="0.35">
      <c r="B509" s="75" t="s">
        <v>199</v>
      </c>
      <c r="C509" s="75" t="s">
        <v>175</v>
      </c>
      <c r="D509" s="73" t="s">
        <v>370</v>
      </c>
      <c r="E509" s="74">
        <v>2E-3</v>
      </c>
      <c r="F509" s="78" t="s">
        <v>237</v>
      </c>
      <c r="G509" s="77" t="s">
        <v>220</v>
      </c>
      <c r="H509" t="str">
        <f>VLOOKUP(D509,'DETALLE PRECIO INGREDIENTES'!B:B,1,0)</f>
        <v>LAUREL</v>
      </c>
    </row>
    <row r="510" spans="2:8" ht="15.5" hidden="1" x14ac:dyDescent="0.35">
      <c r="B510" s="75" t="s">
        <v>199</v>
      </c>
      <c r="C510" s="75" t="s">
        <v>175</v>
      </c>
      <c r="D510" s="73" t="s">
        <v>718</v>
      </c>
      <c r="E510" s="74">
        <v>2E-3</v>
      </c>
      <c r="F510" s="78" t="s">
        <v>237</v>
      </c>
      <c r="G510" s="77" t="s">
        <v>621</v>
      </c>
      <c r="H510" t="str">
        <f>VLOOKUP(D510,'DETALLE PRECIO INGREDIENTES'!B:B,1,0)</f>
        <v>TOMILLO FRESCO</v>
      </c>
    </row>
    <row r="511" spans="2:8" ht="15.5" hidden="1" x14ac:dyDescent="0.35">
      <c r="B511" s="75" t="s">
        <v>199</v>
      </c>
      <c r="C511" s="75" t="s">
        <v>175</v>
      </c>
      <c r="D511" s="73" t="s">
        <v>871</v>
      </c>
      <c r="E511" s="74">
        <v>0.06</v>
      </c>
      <c r="F511" s="78" t="s">
        <v>237</v>
      </c>
      <c r="G511" s="77" t="s">
        <v>852</v>
      </c>
      <c r="H511" t="str">
        <f>VLOOKUP(D511,'DETALLE PRECIO INGREDIENTES'!B:B,1,0)</f>
        <v>VACUNO POLLO GANSO</v>
      </c>
    </row>
    <row r="512" spans="2:8" ht="15.5" hidden="1" x14ac:dyDescent="0.35">
      <c r="B512" s="75" t="s">
        <v>199</v>
      </c>
      <c r="C512" s="75" t="s">
        <v>175</v>
      </c>
      <c r="D512" s="73" t="s">
        <v>450</v>
      </c>
      <c r="E512" s="74">
        <v>0.05</v>
      </c>
      <c r="F512" s="78" t="s">
        <v>237</v>
      </c>
      <c r="G512" s="77" t="s">
        <v>220</v>
      </c>
      <c r="H512" t="str">
        <f>VLOOKUP(D512,'DETALLE PRECIO INGREDIENTES'!B:B,1,0)</f>
        <v>SALSA DE TOMATES</v>
      </c>
    </row>
    <row r="513" spans="2:8" ht="15.5" hidden="1" x14ac:dyDescent="0.35">
      <c r="B513" s="75" t="s">
        <v>199</v>
      </c>
      <c r="C513" s="75" t="s">
        <v>175</v>
      </c>
      <c r="D513" s="73" t="s">
        <v>878</v>
      </c>
      <c r="E513" s="74">
        <v>0.06</v>
      </c>
      <c r="F513" s="78" t="s">
        <v>222</v>
      </c>
      <c r="G513" s="77" t="s">
        <v>876</v>
      </c>
      <c r="H513" t="str">
        <f>VLOOKUP(D513,'DETALLE PRECIO INGREDIENTES'!B:B,1,0)</f>
        <v>VINO BLANCO TETRA PACK</v>
      </c>
    </row>
    <row r="514" spans="2:8" ht="15.5" hidden="1" x14ac:dyDescent="0.35">
      <c r="B514" s="75" t="s">
        <v>199</v>
      </c>
      <c r="C514" s="75" t="s">
        <v>175</v>
      </c>
      <c r="D514" s="73" t="s">
        <v>869</v>
      </c>
      <c r="E514" s="74">
        <v>7.0000000000000007E-2</v>
      </c>
      <c r="F514" s="78" t="s">
        <v>237</v>
      </c>
      <c r="G514" s="77" t="s">
        <v>852</v>
      </c>
      <c r="H514" t="str">
        <f>VLOOKUP(D514,'DETALLE PRECIO INGREDIENTES'!B:B,1,0)</f>
        <v>VACUNO OSOBUCO PIERNA</v>
      </c>
    </row>
    <row r="515" spans="2:8" ht="15.5" hidden="1" x14ac:dyDescent="0.35">
      <c r="B515" s="75" t="s">
        <v>199</v>
      </c>
      <c r="C515" s="75" t="s">
        <v>175</v>
      </c>
      <c r="D515" s="73" t="s">
        <v>230</v>
      </c>
      <c r="E515" s="74">
        <v>0.02</v>
      </c>
      <c r="F515" s="78" t="s">
        <v>222</v>
      </c>
      <c r="G515" s="77" t="s">
        <v>220</v>
      </c>
      <c r="H515" t="str">
        <f>VLOOKUP(D515,'DETALLE PRECIO INGREDIENTES'!B:B,1,0)</f>
        <v>ACEITE DE OLIVA</v>
      </c>
    </row>
    <row r="516" spans="2:8" ht="15.5" hidden="1" x14ac:dyDescent="0.35">
      <c r="B516" s="75" t="s">
        <v>199</v>
      </c>
      <c r="C516" s="75" t="s">
        <v>175</v>
      </c>
      <c r="D516" s="73" t="s">
        <v>707</v>
      </c>
      <c r="E516" s="74">
        <v>0.06</v>
      </c>
      <c r="F516" s="78" t="s">
        <v>259</v>
      </c>
      <c r="G516" s="77" t="s">
        <v>621</v>
      </c>
      <c r="H516" t="str">
        <f>VLOOKUP(D516,'DETALLE PRECIO INGREDIENTES'!B:B,1,0)</f>
        <v>PUERROS</v>
      </c>
    </row>
    <row r="517" spans="2:8" ht="15.5" hidden="1" x14ac:dyDescent="0.35">
      <c r="B517" s="75" t="s">
        <v>199</v>
      </c>
      <c r="C517" s="75" t="s">
        <v>175</v>
      </c>
      <c r="D517" s="73" t="s">
        <v>427</v>
      </c>
      <c r="E517" s="74">
        <v>1E-3</v>
      </c>
      <c r="F517" s="78" t="s">
        <v>237</v>
      </c>
      <c r="G517" s="77" t="s">
        <v>220</v>
      </c>
      <c r="H517" t="str">
        <f>VLOOKUP(D517,'DETALLE PRECIO INGREDIENTES'!B:B,1,0)</f>
        <v>PIMIENTA NEGRA ENTERA</v>
      </c>
    </row>
    <row r="518" spans="2:8" ht="15.5" hidden="1" x14ac:dyDescent="0.35">
      <c r="B518" s="75" t="s">
        <v>199</v>
      </c>
      <c r="C518" s="75" t="s">
        <v>175</v>
      </c>
      <c r="D518" s="73" t="s">
        <v>718</v>
      </c>
      <c r="E518" s="74">
        <v>1E-3</v>
      </c>
      <c r="F518" s="78" t="s">
        <v>237</v>
      </c>
      <c r="G518" s="77" t="s">
        <v>621</v>
      </c>
      <c r="H518" t="str">
        <f>VLOOKUP(D518,'DETALLE PRECIO INGREDIENTES'!B:B,1,0)</f>
        <v>TOMILLO FRESCO</v>
      </c>
    </row>
    <row r="519" spans="2:8" ht="15.5" hidden="1" x14ac:dyDescent="0.35">
      <c r="B519" s="75" t="s">
        <v>199</v>
      </c>
      <c r="C519" s="75" t="s">
        <v>175</v>
      </c>
      <c r="D519" s="73" t="s">
        <v>711</v>
      </c>
      <c r="E519" s="74">
        <v>1E-3</v>
      </c>
      <c r="F519" s="78" t="s">
        <v>237</v>
      </c>
      <c r="G519" s="77" t="s">
        <v>621</v>
      </c>
      <c r="H519" t="str">
        <f>VLOOKUP(D519,'DETALLE PRECIO INGREDIENTES'!B:B,1,0)</f>
        <v>ROMERO FRESCO EN RAMA</v>
      </c>
    </row>
    <row r="520" spans="2:8" ht="15.5" hidden="1" x14ac:dyDescent="0.35">
      <c r="B520" s="75" t="s">
        <v>199</v>
      </c>
      <c r="C520" s="75" t="s">
        <v>174</v>
      </c>
      <c r="D520" s="73" t="s">
        <v>228</v>
      </c>
      <c r="E520" s="74">
        <v>0.05</v>
      </c>
      <c r="F520" s="78" t="s">
        <v>222</v>
      </c>
      <c r="G520" s="77" t="s">
        <v>220</v>
      </c>
      <c r="H520" t="str">
        <f>VLOOKUP(D520,'DETALLE PRECIO INGREDIENTES'!B:B,1,0)</f>
        <v>ACEITE DE MARAVILLA</v>
      </c>
    </row>
    <row r="521" spans="2:8" ht="15.5" hidden="1" x14ac:dyDescent="0.35">
      <c r="B521" s="75" t="s">
        <v>199</v>
      </c>
      <c r="C521" s="75" t="s">
        <v>174</v>
      </c>
      <c r="D521" s="73" t="s">
        <v>230</v>
      </c>
      <c r="E521" s="74">
        <v>0.02</v>
      </c>
      <c r="F521" s="78" t="s">
        <v>222</v>
      </c>
      <c r="G521" s="77" t="s">
        <v>220</v>
      </c>
      <c r="H521" t="str">
        <f>VLOOKUP(D521,'DETALLE PRECIO INGREDIENTES'!B:B,1,0)</f>
        <v>ACEITE DE OLIVA</v>
      </c>
    </row>
    <row r="522" spans="2:8" ht="15.5" hidden="1" x14ac:dyDescent="0.35">
      <c r="B522" s="75" t="s">
        <v>199</v>
      </c>
      <c r="C522" s="75" t="s">
        <v>174</v>
      </c>
      <c r="D522" s="73" t="s">
        <v>277</v>
      </c>
      <c r="E522" s="74">
        <v>0.1</v>
      </c>
      <c r="F522" s="78" t="s">
        <v>237</v>
      </c>
      <c r="G522" s="77" t="s">
        <v>220</v>
      </c>
      <c r="H522" t="str">
        <f>VLOOKUP(D522,'DETALLE PRECIO INGREDIENTES'!B:B,1,0)</f>
        <v>AZUCAR BLANCA GRANULADA</v>
      </c>
    </row>
    <row r="523" spans="2:8" ht="15.5" hidden="1" x14ac:dyDescent="0.35">
      <c r="B523" s="75" t="s">
        <v>199</v>
      </c>
      <c r="C523" s="75" t="s">
        <v>174</v>
      </c>
      <c r="D523" s="73" t="s">
        <v>644</v>
      </c>
      <c r="E523" s="74">
        <v>0.15</v>
      </c>
      <c r="F523" s="78" t="s">
        <v>237</v>
      </c>
      <c r="G523" s="77" t="s">
        <v>621</v>
      </c>
      <c r="H523" t="str">
        <f>VLOOKUP(D523,'DETALLE PRECIO INGREDIENTES'!B:B,1,0)</f>
        <v>CEBOLLA BLANCA</v>
      </c>
    </row>
    <row r="524" spans="2:8" ht="15.5" hidden="1" x14ac:dyDescent="0.35">
      <c r="B524" s="75" t="s">
        <v>199</v>
      </c>
      <c r="C524" s="75" t="s">
        <v>174</v>
      </c>
      <c r="D524" s="73" t="s">
        <v>628</v>
      </c>
      <c r="E524" s="74">
        <v>0.1</v>
      </c>
      <c r="F524" s="78" t="s">
        <v>259</v>
      </c>
      <c r="G524" s="77" t="s">
        <v>621</v>
      </c>
      <c r="H524" t="str">
        <f>VLOOKUP(D524,'DETALLE PRECIO INGREDIENTES'!B:B,1,0)</f>
        <v>AJO CABEZA</v>
      </c>
    </row>
    <row r="525" spans="2:8" ht="15.5" hidden="1" x14ac:dyDescent="0.35">
      <c r="B525" s="75" t="s">
        <v>199</v>
      </c>
      <c r="C525" s="75" t="s">
        <v>174</v>
      </c>
      <c r="D525" s="73" t="s">
        <v>680</v>
      </c>
      <c r="E525" s="74">
        <v>7.0000000000000007E-2</v>
      </c>
      <c r="F525" s="78" t="s">
        <v>237</v>
      </c>
      <c r="G525" s="77" t="s">
        <v>621</v>
      </c>
      <c r="H525" t="str">
        <f>VLOOKUP(D525,'DETALLE PRECIO INGREDIENTES'!B:B,1,0)</f>
        <v>LIMON DE JUGO</v>
      </c>
    </row>
    <row r="526" spans="2:8" ht="15.5" hidden="1" x14ac:dyDescent="0.35">
      <c r="B526" s="75" t="s">
        <v>199</v>
      </c>
      <c r="C526" s="75" t="s">
        <v>174</v>
      </c>
      <c r="D526" s="73" t="s">
        <v>748</v>
      </c>
      <c r="E526" s="74">
        <v>0.05</v>
      </c>
      <c r="F526" s="78" t="s">
        <v>222</v>
      </c>
      <c r="G526" s="77" t="s">
        <v>736</v>
      </c>
      <c r="H526" t="str">
        <f>VLOOKUP(D526,'DETALLE PRECIO INGREDIENTES'!B:B,1,0)</f>
        <v>LECHE ENTERA</v>
      </c>
    </row>
    <row r="527" spans="2:8" ht="15.5" hidden="1" x14ac:dyDescent="0.35">
      <c r="B527" s="75" t="s">
        <v>199</v>
      </c>
      <c r="C527" s="75" t="s">
        <v>174</v>
      </c>
      <c r="D527" s="73" t="s">
        <v>867</v>
      </c>
      <c r="E527" s="74">
        <v>0.15</v>
      </c>
      <c r="F527" s="78" t="s">
        <v>237</v>
      </c>
      <c r="G527" s="77" t="s">
        <v>852</v>
      </c>
      <c r="H527" t="str">
        <f>VLOOKUP(D527,'DETALLE PRECIO INGREDIENTES'!B:B,1,0)</f>
        <v>VACUNO LOMO VETADO</v>
      </c>
    </row>
    <row r="528" spans="2:8" ht="15.5" hidden="1" x14ac:dyDescent="0.35">
      <c r="B528" s="75" t="s">
        <v>199</v>
      </c>
      <c r="C528" s="75" t="s">
        <v>174</v>
      </c>
      <c r="D528" s="73" t="s">
        <v>750</v>
      </c>
      <c r="E528" s="74">
        <v>7.4999999999999997E-2</v>
      </c>
      <c r="F528" s="78" t="s">
        <v>237</v>
      </c>
      <c r="G528" s="77" t="s">
        <v>736</v>
      </c>
      <c r="H528" t="str">
        <f>VLOOKUP(D528,'DETALLE PRECIO INGREDIENTES'!B:B,1,0)</f>
        <v>MANTEQUILLA CON SAL</v>
      </c>
    </row>
    <row r="529" spans="2:8" ht="15.5" hidden="1" x14ac:dyDescent="0.35">
      <c r="B529" s="75" t="s">
        <v>199</v>
      </c>
      <c r="C529" s="75" t="s">
        <v>174</v>
      </c>
      <c r="D529" s="73" t="s">
        <v>409</v>
      </c>
      <c r="E529" s="74">
        <v>0.05</v>
      </c>
      <c r="F529" s="78" t="s">
        <v>237</v>
      </c>
      <c r="G529" s="77" t="s">
        <v>220</v>
      </c>
      <c r="H529" t="str">
        <f>VLOOKUP(D529,'DETALLE PRECIO INGREDIENTES'!B:B,1,0)</f>
        <v>PAN RALLADO</v>
      </c>
    </row>
    <row r="530" spans="2:8" ht="15.5" hidden="1" x14ac:dyDescent="0.35">
      <c r="B530" s="75" t="s">
        <v>199</v>
      </c>
      <c r="C530" s="75" t="s">
        <v>174</v>
      </c>
      <c r="D530" s="73" t="s">
        <v>411</v>
      </c>
      <c r="E530" s="74">
        <v>0.25</v>
      </c>
      <c r="F530" s="78" t="s">
        <v>237</v>
      </c>
      <c r="G530" s="77" t="s">
        <v>621</v>
      </c>
      <c r="H530" t="str">
        <f>VLOOKUP(D530,'DETALLE PRECIO INGREDIENTES'!B:B,1,0)</f>
        <v>PAPAS</v>
      </c>
    </row>
    <row r="531" spans="2:8" ht="15.5" hidden="1" x14ac:dyDescent="0.35">
      <c r="B531" s="75" t="s">
        <v>199</v>
      </c>
      <c r="C531" s="75" t="s">
        <v>174</v>
      </c>
      <c r="D531" s="73" t="s">
        <v>698</v>
      </c>
      <c r="E531" s="74">
        <v>0.03</v>
      </c>
      <c r="F531" s="78" t="s">
        <v>237</v>
      </c>
      <c r="G531" s="77" t="s">
        <v>621</v>
      </c>
      <c r="H531" t="str">
        <f>VLOOKUP(D531,'DETALLE PRECIO INGREDIENTES'!B:B,1,0)</f>
        <v>PEREJIL</v>
      </c>
    </row>
    <row r="532" spans="2:8" ht="15.5" hidden="1" x14ac:dyDescent="0.35">
      <c r="B532" s="75" t="s">
        <v>199</v>
      </c>
      <c r="C532" s="75" t="s">
        <v>174</v>
      </c>
      <c r="D532" s="73" t="s">
        <v>769</v>
      </c>
      <c r="E532" s="74">
        <v>0.01</v>
      </c>
      <c r="F532" s="78" t="s">
        <v>237</v>
      </c>
      <c r="G532" s="77" t="s">
        <v>736</v>
      </c>
      <c r="H532" t="str">
        <f>VLOOKUP(D532,'DETALLE PRECIO INGREDIENTES'!B:B,1,0)</f>
        <v>QUESO PARMESANO</v>
      </c>
    </row>
    <row r="533" spans="2:8" ht="15.5" hidden="1" x14ac:dyDescent="0.35">
      <c r="B533" s="75" t="s">
        <v>199</v>
      </c>
      <c r="C533" s="75" t="s">
        <v>174</v>
      </c>
      <c r="D533" s="73" t="s">
        <v>445</v>
      </c>
      <c r="E533" s="74">
        <v>0.03</v>
      </c>
      <c r="F533" s="78" t="s">
        <v>237</v>
      </c>
      <c r="G533" s="77" t="s">
        <v>220</v>
      </c>
      <c r="H533" t="str">
        <f>VLOOKUP(D533,'DETALLE PRECIO INGREDIENTES'!B:B,1,0)</f>
        <v>SAL DE MESA LOBOS</v>
      </c>
    </row>
    <row r="534" spans="2:8" ht="15.5" hidden="1" x14ac:dyDescent="0.35">
      <c r="B534" s="75" t="s">
        <v>199</v>
      </c>
      <c r="C534" s="75" t="s">
        <v>174</v>
      </c>
      <c r="D534" s="73" t="s">
        <v>540</v>
      </c>
      <c r="E534" s="74">
        <v>0.2</v>
      </c>
      <c r="F534" s="78" t="s">
        <v>237</v>
      </c>
      <c r="G534" s="77" t="s">
        <v>525</v>
      </c>
      <c r="H534" t="str">
        <f>VLOOKUP(D534,'DETALLE PRECIO INGREDIENTES'!B:B,1,0)</f>
        <v>CERDO SOLOMILLO</v>
      </c>
    </row>
    <row r="535" spans="2:8" ht="15.5" hidden="1" x14ac:dyDescent="0.35">
      <c r="B535" s="75" t="s">
        <v>199</v>
      </c>
      <c r="C535" s="75" t="s">
        <v>174</v>
      </c>
      <c r="D535" s="73" t="s">
        <v>477</v>
      </c>
      <c r="E535" s="74">
        <v>0.05</v>
      </c>
      <c r="F535" s="78" t="s">
        <v>222</v>
      </c>
      <c r="G535" s="77" t="s">
        <v>220</v>
      </c>
      <c r="H535" t="str">
        <f>VLOOKUP(D535,'DETALLE PRECIO INGREDIENTES'!B:B,1,0)</f>
        <v>VINAGRE TINTO</v>
      </c>
    </row>
    <row r="536" spans="2:8" ht="15.5" hidden="1" x14ac:dyDescent="0.35">
      <c r="B536" s="75" t="s">
        <v>199</v>
      </c>
      <c r="C536" s="75" t="s">
        <v>174</v>
      </c>
      <c r="D536" s="73" t="s">
        <v>882</v>
      </c>
      <c r="E536" s="74">
        <v>0.05</v>
      </c>
      <c r="F536" s="78" t="s">
        <v>222</v>
      </c>
      <c r="G536" s="77" t="s">
        <v>876</v>
      </c>
      <c r="H536" t="str">
        <f>VLOOKUP(D536,'DETALLE PRECIO INGREDIENTES'!B:B,1,0)</f>
        <v>VINO TINTO TETRA</v>
      </c>
    </row>
    <row r="537" spans="2:8" ht="15.5" hidden="1" x14ac:dyDescent="0.35">
      <c r="B537" s="75" t="s">
        <v>199</v>
      </c>
      <c r="C537" s="75" t="s">
        <v>174</v>
      </c>
      <c r="D537" s="73" t="s">
        <v>729</v>
      </c>
      <c r="E537" s="74">
        <v>1</v>
      </c>
      <c r="F537" s="78" t="s">
        <v>259</v>
      </c>
      <c r="G537" s="77" t="s">
        <v>728</v>
      </c>
      <c r="H537" t="str">
        <f>VLOOKUP(D537,'DETALLE PRECIO INGREDIENTES'!B:B,1,0)</f>
        <v>HUEVO EXTRA BLANCO</v>
      </c>
    </row>
    <row r="538" spans="2:8" ht="15.5" hidden="1" x14ac:dyDescent="0.35">
      <c r="B538" s="75" t="s">
        <v>199</v>
      </c>
      <c r="C538" s="75" t="s">
        <v>174</v>
      </c>
      <c r="D538" s="73" t="s">
        <v>686</v>
      </c>
      <c r="E538" s="74">
        <v>0.05</v>
      </c>
      <c r="F538" s="78" t="s">
        <v>237</v>
      </c>
      <c r="G538" s="77" t="s">
        <v>621</v>
      </c>
      <c r="H538" t="str">
        <f>VLOOKUP(D538,'DETALLE PRECIO INGREDIENTES'!B:B,1,0)</f>
        <v>MIX DE BERRIES CONGELADO</v>
      </c>
    </row>
    <row r="539" spans="2:8" ht="15.5" hidden="1" x14ac:dyDescent="0.35">
      <c r="B539" s="75" t="s">
        <v>199</v>
      </c>
      <c r="C539" s="75" t="s">
        <v>173</v>
      </c>
      <c r="D539" s="73" t="s">
        <v>680</v>
      </c>
      <c r="E539" s="74">
        <v>0.1</v>
      </c>
      <c r="F539" s="78" t="s">
        <v>237</v>
      </c>
      <c r="G539" s="77" t="s">
        <v>621</v>
      </c>
      <c r="H539" t="str">
        <f>VLOOKUP(D539,'DETALLE PRECIO INGREDIENTES'!B:B,1,0)</f>
        <v>LIMON DE JUGO</v>
      </c>
    </row>
    <row r="540" spans="2:8" ht="15.5" hidden="1" x14ac:dyDescent="0.35">
      <c r="B540" s="75" t="s">
        <v>199</v>
      </c>
      <c r="C540" s="75" t="s">
        <v>173</v>
      </c>
      <c r="D540" s="73" t="s">
        <v>228</v>
      </c>
      <c r="E540" s="74">
        <v>0.03</v>
      </c>
      <c r="F540" s="78" t="s">
        <v>222</v>
      </c>
      <c r="G540" s="77" t="s">
        <v>220</v>
      </c>
      <c r="H540" t="str">
        <f>VLOOKUP(D540,'DETALLE PRECIO INGREDIENTES'!B:B,1,0)</f>
        <v>ACEITE DE MARAVILLA</v>
      </c>
    </row>
    <row r="541" spans="2:8" ht="15.5" hidden="1" x14ac:dyDescent="0.35">
      <c r="B541" s="75" t="s">
        <v>199</v>
      </c>
      <c r="C541" s="75" t="s">
        <v>173</v>
      </c>
      <c r="D541" s="73" t="s">
        <v>829</v>
      </c>
      <c r="E541" s="74">
        <v>1</v>
      </c>
      <c r="F541" s="78" t="s">
        <v>259</v>
      </c>
      <c r="G541" s="77" t="s">
        <v>806</v>
      </c>
      <c r="H541" t="str">
        <f>VLOOKUP(D541,'DETALLE PRECIO INGREDIENTES'!B:B,1,0)</f>
        <v>MERLUZA FRESCA ENTERA</v>
      </c>
    </row>
    <row r="542" spans="2:8" ht="15.5" hidden="1" x14ac:dyDescent="0.35">
      <c r="B542" s="75" t="s">
        <v>199</v>
      </c>
      <c r="C542" s="75" t="s">
        <v>173</v>
      </c>
      <c r="D542" s="73" t="s">
        <v>354</v>
      </c>
      <c r="E542" s="74">
        <v>0.06</v>
      </c>
      <c r="F542" s="78" t="s">
        <v>237</v>
      </c>
      <c r="G542" s="77" t="s">
        <v>220</v>
      </c>
      <c r="H542" t="str">
        <f>VLOOKUP(D542,'DETALLE PRECIO INGREDIENTES'!B:B,1,0)</f>
        <v>HARINA BIZCOCHERA</v>
      </c>
    </row>
    <row r="543" spans="2:8" ht="15.5" hidden="1" x14ac:dyDescent="0.35">
      <c r="B543" s="75" t="s">
        <v>199</v>
      </c>
      <c r="C543" s="75" t="s">
        <v>173</v>
      </c>
      <c r="D543" s="73" t="s">
        <v>375</v>
      </c>
      <c r="E543" s="74">
        <v>1.2E-2</v>
      </c>
      <c r="F543" s="78" t="s">
        <v>237</v>
      </c>
      <c r="G543" s="77" t="s">
        <v>220</v>
      </c>
      <c r="H543" t="str">
        <f>VLOOKUP(D543,'DETALLE PRECIO INGREDIENTES'!B:B,1,0)</f>
        <v>MAICENA</v>
      </c>
    </row>
    <row r="544" spans="2:8" ht="15.5" hidden="1" x14ac:dyDescent="0.35">
      <c r="B544" s="75" t="s">
        <v>199</v>
      </c>
      <c r="C544" s="75" t="s">
        <v>173</v>
      </c>
      <c r="D544" s="73" t="s">
        <v>729</v>
      </c>
      <c r="E544" s="74">
        <v>0.5</v>
      </c>
      <c r="F544" s="78" t="s">
        <v>259</v>
      </c>
      <c r="G544" s="77" t="s">
        <v>728</v>
      </c>
      <c r="H544" t="str">
        <f>VLOOKUP(D544,'DETALLE PRECIO INGREDIENTES'!B:B,1,0)</f>
        <v>HUEVO EXTRA BLANCO</v>
      </c>
    </row>
    <row r="545" spans="2:8" ht="15.5" hidden="1" x14ac:dyDescent="0.35">
      <c r="B545" s="75" t="s">
        <v>199</v>
      </c>
      <c r="C545" s="75" t="s">
        <v>173</v>
      </c>
      <c r="D545" s="73" t="s">
        <v>549</v>
      </c>
      <c r="E545" s="74">
        <v>0.02</v>
      </c>
      <c r="F545" s="78" t="s">
        <v>222</v>
      </c>
      <c r="G545" s="77" t="s">
        <v>548</v>
      </c>
      <c r="H545" t="str">
        <f>VLOOKUP(D545,'DETALLE PRECIO INGREDIENTES'!B:B,1,0)</f>
        <v>CERVEZA CRISTAL</v>
      </c>
    </row>
    <row r="546" spans="2:8" ht="15.5" hidden="1" x14ac:dyDescent="0.35">
      <c r="B546" s="75" t="s">
        <v>199</v>
      </c>
      <c r="C546" s="75" t="s">
        <v>173</v>
      </c>
      <c r="D546" s="73" t="s">
        <v>233</v>
      </c>
      <c r="E546" s="74">
        <v>0.18</v>
      </c>
      <c r="F546" s="78" t="s">
        <v>222</v>
      </c>
      <c r="G546" s="77" t="s">
        <v>220</v>
      </c>
      <c r="H546" t="str">
        <f>VLOOKUP(D546,'DETALLE PRECIO INGREDIENTES'!B:B,1,0)</f>
        <v>ACEITE PARA FREIR</v>
      </c>
    </row>
    <row r="547" spans="2:8" ht="15.5" hidden="1" x14ac:dyDescent="0.35">
      <c r="B547" s="75" t="s">
        <v>199</v>
      </c>
      <c r="C547" s="75" t="s">
        <v>173</v>
      </c>
      <c r="D547" s="73" t="s">
        <v>878</v>
      </c>
      <c r="E547" s="74">
        <v>0.06</v>
      </c>
      <c r="F547" s="78" t="s">
        <v>222</v>
      </c>
      <c r="G547" s="77" t="s">
        <v>876</v>
      </c>
      <c r="H547" t="str">
        <f>VLOOKUP(D547,'DETALLE PRECIO INGREDIENTES'!B:B,1,0)</f>
        <v>VINO BLANCO TETRA PACK</v>
      </c>
    </row>
    <row r="548" spans="2:8" ht="15.5" hidden="1" x14ac:dyDescent="0.35">
      <c r="B548" s="75" t="s">
        <v>199</v>
      </c>
      <c r="C548" s="75" t="s">
        <v>173</v>
      </c>
      <c r="D548" s="73" t="s">
        <v>649</v>
      </c>
      <c r="E548" s="74">
        <v>0.3</v>
      </c>
      <c r="F548" s="78" t="s">
        <v>259</v>
      </c>
      <c r="G548" s="77" t="s">
        <v>621</v>
      </c>
      <c r="H548" t="str">
        <f>VLOOKUP(D548,'DETALLE PRECIO INGREDIENTES'!B:B,1,0)</f>
        <v>CHALOTA</v>
      </c>
    </row>
    <row r="549" spans="2:8" ht="15.5" hidden="1" x14ac:dyDescent="0.35">
      <c r="B549" s="75" t="s">
        <v>199</v>
      </c>
      <c r="C549" s="75" t="s">
        <v>173</v>
      </c>
      <c r="D549" s="73" t="s">
        <v>472</v>
      </c>
      <c r="E549" s="74">
        <v>0.03</v>
      </c>
      <c r="F549" s="78" t="s">
        <v>222</v>
      </c>
      <c r="G549" s="77" t="s">
        <v>220</v>
      </c>
      <c r="H549" t="str">
        <f>VLOOKUP(D549,'DETALLE PRECIO INGREDIENTES'!B:B,1,0)</f>
        <v>VINAGRE BLANCO</v>
      </c>
    </row>
    <row r="550" spans="2:8" ht="15.5" hidden="1" x14ac:dyDescent="0.35">
      <c r="B550" s="75" t="s">
        <v>199</v>
      </c>
      <c r="C550" s="75" t="s">
        <v>173</v>
      </c>
      <c r="D550" s="73" t="s">
        <v>750</v>
      </c>
      <c r="E550" s="74">
        <v>0.06</v>
      </c>
      <c r="F550" s="78" t="s">
        <v>237</v>
      </c>
      <c r="G550" s="77" t="s">
        <v>736</v>
      </c>
      <c r="H550" t="str">
        <f>VLOOKUP(D550,'DETALLE PRECIO INGREDIENTES'!B:B,1,0)</f>
        <v>MANTEQUILLA CON SAL</v>
      </c>
    </row>
    <row r="551" spans="2:8" ht="15.5" hidden="1" x14ac:dyDescent="0.35">
      <c r="B551" s="75" t="s">
        <v>199</v>
      </c>
      <c r="C551" s="75" t="s">
        <v>173</v>
      </c>
      <c r="D551" s="73" t="s">
        <v>824</v>
      </c>
      <c r="E551" s="74">
        <v>0.06</v>
      </c>
      <c r="F551" s="78" t="s">
        <v>237</v>
      </c>
      <c r="G551" s="77" t="s">
        <v>806</v>
      </c>
      <c r="H551" t="str">
        <f>VLOOKUP(D551,'DETALLE PRECIO INGREDIENTES'!B:B,1,0)</f>
        <v>ESPINAS DE PESCADO</v>
      </c>
    </row>
    <row r="552" spans="2:8" ht="15.5" hidden="1" x14ac:dyDescent="0.35">
      <c r="B552" s="75" t="s">
        <v>199</v>
      </c>
      <c r="C552" s="75" t="s">
        <v>173</v>
      </c>
      <c r="D552" s="73" t="s">
        <v>707</v>
      </c>
      <c r="E552" s="74">
        <v>0.06</v>
      </c>
      <c r="F552" s="78" t="s">
        <v>259</v>
      </c>
      <c r="G552" s="77" t="s">
        <v>621</v>
      </c>
      <c r="H552" t="str">
        <f>VLOOKUP(D552,'DETALLE PRECIO INGREDIENTES'!B:B,1,0)</f>
        <v>PUERROS</v>
      </c>
    </row>
    <row r="553" spans="2:8" ht="15.5" hidden="1" x14ac:dyDescent="0.35">
      <c r="B553" s="75" t="s">
        <v>199</v>
      </c>
      <c r="C553" s="75" t="s">
        <v>173</v>
      </c>
      <c r="D553" s="73" t="s">
        <v>427</v>
      </c>
      <c r="E553" s="74">
        <v>1E-3</v>
      </c>
      <c r="F553" s="78" t="s">
        <v>237</v>
      </c>
      <c r="G553" s="77" t="s">
        <v>220</v>
      </c>
      <c r="H553" t="str">
        <f>VLOOKUP(D553,'DETALLE PRECIO INGREDIENTES'!B:B,1,0)</f>
        <v>PIMIENTA NEGRA ENTERA</v>
      </c>
    </row>
    <row r="554" spans="2:8" ht="15.5" hidden="1" x14ac:dyDescent="0.35">
      <c r="B554" s="75" t="s">
        <v>199</v>
      </c>
      <c r="C554" s="75" t="s">
        <v>173</v>
      </c>
      <c r="D554" s="73" t="s">
        <v>644</v>
      </c>
      <c r="E554" s="74">
        <v>0.03</v>
      </c>
      <c r="F554" s="78" t="s">
        <v>237</v>
      </c>
      <c r="G554" s="77" t="s">
        <v>621</v>
      </c>
      <c r="H554" t="str">
        <f>VLOOKUP(D554,'DETALLE PRECIO INGREDIENTES'!B:B,1,0)</f>
        <v>CEBOLLA BLANCA</v>
      </c>
    </row>
    <row r="555" spans="2:8" ht="15.5" hidden="1" x14ac:dyDescent="0.35">
      <c r="B555" s="75" t="s">
        <v>199</v>
      </c>
      <c r="C555" s="75" t="s">
        <v>173</v>
      </c>
      <c r="D555" s="73" t="s">
        <v>720</v>
      </c>
      <c r="E555" s="74">
        <v>0.03</v>
      </c>
      <c r="F555" s="78" t="s">
        <v>237</v>
      </c>
      <c r="G555" s="77" t="s">
        <v>621</v>
      </c>
      <c r="H555" t="str">
        <f>VLOOKUP(D555,'DETALLE PRECIO INGREDIENTES'!B:B,1,0)</f>
        <v>ZANAHORIA</v>
      </c>
    </row>
    <row r="556" spans="2:8" ht="15.5" x14ac:dyDescent="0.35">
      <c r="B556" s="75" t="s">
        <v>199</v>
      </c>
      <c r="C556" s="75" t="s">
        <v>173</v>
      </c>
      <c r="D556" s="73" t="s">
        <v>903</v>
      </c>
      <c r="E556" s="74">
        <v>0.06</v>
      </c>
      <c r="F556" s="78" t="s">
        <v>259</v>
      </c>
      <c r="G556" s="77" t="s">
        <v>621</v>
      </c>
      <c r="H556" t="e">
        <f>VLOOKUP(D556,'DETALLE PRECIO INGREDIENTES'!B:B,1,0)</f>
        <v>#N/A</v>
      </c>
    </row>
    <row r="557" spans="2:8" ht="15.5" hidden="1" x14ac:dyDescent="0.35">
      <c r="B557" s="75" t="s">
        <v>199</v>
      </c>
      <c r="C557" s="75" t="s">
        <v>173</v>
      </c>
      <c r="D557" s="73" t="s">
        <v>628</v>
      </c>
      <c r="E557" s="74">
        <v>0.06</v>
      </c>
      <c r="F557" s="78" t="s">
        <v>259</v>
      </c>
      <c r="G557" s="77" t="s">
        <v>621</v>
      </c>
      <c r="H557" t="str">
        <f>VLOOKUP(D557,'DETALLE PRECIO INGREDIENTES'!B:B,1,0)</f>
        <v>AJO CABEZA</v>
      </c>
    </row>
    <row r="558" spans="2:8" ht="15.5" hidden="1" x14ac:dyDescent="0.35">
      <c r="B558" s="75" t="s">
        <v>199</v>
      </c>
      <c r="C558" s="75" t="s">
        <v>173</v>
      </c>
      <c r="D558" s="73" t="s">
        <v>718</v>
      </c>
      <c r="E558" s="74">
        <v>1E-3</v>
      </c>
      <c r="F558" s="78" t="s">
        <v>237</v>
      </c>
      <c r="G558" s="77" t="s">
        <v>621</v>
      </c>
      <c r="H558" t="str">
        <f>VLOOKUP(D558,'DETALLE PRECIO INGREDIENTES'!B:B,1,0)</f>
        <v>TOMILLO FRESCO</v>
      </c>
    </row>
    <row r="559" spans="2:8" ht="15.5" hidden="1" x14ac:dyDescent="0.35">
      <c r="B559" s="75" t="s">
        <v>199</v>
      </c>
      <c r="C559" s="75" t="s">
        <v>173</v>
      </c>
      <c r="D559" s="73" t="s">
        <v>711</v>
      </c>
      <c r="E559" s="74">
        <v>1E-3</v>
      </c>
      <c r="F559" s="78" t="s">
        <v>237</v>
      </c>
      <c r="G559" s="77" t="s">
        <v>621</v>
      </c>
      <c r="H559" t="str">
        <f>VLOOKUP(D559,'DETALLE PRECIO INGREDIENTES'!B:B,1,0)</f>
        <v>ROMERO FRESCO EN RAMA</v>
      </c>
    </row>
    <row r="560" spans="2:8" ht="15.5" hidden="1" x14ac:dyDescent="0.35">
      <c r="B560" s="75" t="s">
        <v>199</v>
      </c>
      <c r="C560" s="75" t="s">
        <v>172</v>
      </c>
      <c r="D560" s="73" t="s">
        <v>836</v>
      </c>
      <c r="E560" s="74">
        <v>0.5</v>
      </c>
      <c r="F560" s="78" t="s">
        <v>237</v>
      </c>
      <c r="G560" s="77" t="s">
        <v>806</v>
      </c>
      <c r="H560" t="str">
        <f>VLOOKUP(D560,'DETALLE PRECIO INGREDIENTES'!B:B,1,0)</f>
        <v>REINETA ENTERA FRESCA</v>
      </c>
    </row>
    <row r="561" spans="2:8" ht="15.5" hidden="1" x14ac:dyDescent="0.35">
      <c r="B561" s="75" t="s">
        <v>199</v>
      </c>
      <c r="C561" s="75" t="s">
        <v>172</v>
      </c>
      <c r="D561" s="73" t="s">
        <v>680</v>
      </c>
      <c r="E561" s="74">
        <v>0.23</v>
      </c>
      <c r="F561" s="78" t="s">
        <v>237</v>
      </c>
      <c r="G561" s="77" t="s">
        <v>621</v>
      </c>
      <c r="H561" t="str">
        <f>VLOOKUP(D561,'DETALLE PRECIO INGREDIENTES'!B:B,1,0)</f>
        <v>LIMON DE JUGO</v>
      </c>
    </row>
    <row r="562" spans="2:8" ht="15.5" hidden="1" x14ac:dyDescent="0.35">
      <c r="B562" s="75" t="s">
        <v>199</v>
      </c>
      <c r="C562" s="75" t="s">
        <v>172</v>
      </c>
      <c r="D562" s="73" t="s">
        <v>228</v>
      </c>
      <c r="E562" s="74">
        <v>0.06</v>
      </c>
      <c r="F562" s="78" t="s">
        <v>222</v>
      </c>
      <c r="G562" s="77" t="s">
        <v>220</v>
      </c>
      <c r="H562" t="str">
        <f>VLOOKUP(D562,'DETALLE PRECIO INGREDIENTES'!B:B,1,0)</f>
        <v>ACEITE DE MARAVILLA</v>
      </c>
    </row>
    <row r="563" spans="2:8" ht="15.5" hidden="1" x14ac:dyDescent="0.35">
      <c r="B563" s="75" t="s">
        <v>199</v>
      </c>
      <c r="C563" s="75" t="s">
        <v>172</v>
      </c>
      <c r="D563" s="73" t="s">
        <v>513</v>
      </c>
      <c r="E563" s="74">
        <v>0.5</v>
      </c>
      <c r="F563" s="78" t="s">
        <v>259</v>
      </c>
      <c r="G563" s="77" t="s">
        <v>485</v>
      </c>
      <c r="H563" t="str">
        <f>VLOOKUP(D563,'DETALLE PRECIO INGREDIENTES'!B:B,1,0)</f>
        <v>PAPEL MANTEQUILLA 75 X100</v>
      </c>
    </row>
    <row r="564" spans="2:8" ht="15.5" hidden="1" x14ac:dyDescent="0.35">
      <c r="B564" s="75" t="s">
        <v>199</v>
      </c>
      <c r="C564" s="75" t="s">
        <v>172</v>
      </c>
      <c r="D564" s="73" t="s">
        <v>878</v>
      </c>
      <c r="E564" s="74">
        <v>2.5000000000000001E-2</v>
      </c>
      <c r="F564" s="78" t="s">
        <v>222</v>
      </c>
      <c r="G564" s="77" t="s">
        <v>876</v>
      </c>
      <c r="H564" t="str">
        <f>VLOOKUP(D564,'DETALLE PRECIO INGREDIENTES'!B:B,1,0)</f>
        <v>VINO BLANCO TETRA PACK</v>
      </c>
    </row>
    <row r="565" spans="2:8" ht="15.5" hidden="1" x14ac:dyDescent="0.35">
      <c r="B565" s="75" t="s">
        <v>199</v>
      </c>
      <c r="C565" s="75" t="s">
        <v>172</v>
      </c>
      <c r="D565" s="73" t="s">
        <v>750</v>
      </c>
      <c r="E565" s="74">
        <v>0.01</v>
      </c>
      <c r="F565" s="78" t="s">
        <v>237</v>
      </c>
      <c r="G565" s="77" t="s">
        <v>736</v>
      </c>
      <c r="H565" t="str">
        <f>VLOOKUP(D565,'DETALLE PRECIO INGREDIENTES'!B:B,1,0)</f>
        <v>MANTEQUILLA CON SAL</v>
      </c>
    </row>
    <row r="566" spans="2:8" ht="15.5" hidden="1" x14ac:dyDescent="0.35">
      <c r="B566" s="75" t="s">
        <v>199</v>
      </c>
      <c r="C566" s="75" t="s">
        <v>172</v>
      </c>
      <c r="D566" s="73" t="s">
        <v>720</v>
      </c>
      <c r="E566" s="74">
        <v>0.06</v>
      </c>
      <c r="F566" s="78" t="s">
        <v>237</v>
      </c>
      <c r="G566" s="77" t="s">
        <v>621</v>
      </c>
      <c r="H566" t="str">
        <f>VLOOKUP(D566,'DETALLE PRECIO INGREDIENTES'!B:B,1,0)</f>
        <v>ZANAHORIA</v>
      </c>
    </row>
    <row r="567" spans="2:8" ht="15.5" hidden="1" x14ac:dyDescent="0.35">
      <c r="B567" s="75" t="s">
        <v>199</v>
      </c>
      <c r="C567" s="75" t="s">
        <v>172</v>
      </c>
      <c r="D567" s="73" t="s">
        <v>702</v>
      </c>
      <c r="E567" s="74">
        <v>0.25</v>
      </c>
      <c r="F567" s="78" t="s">
        <v>259</v>
      </c>
      <c r="G567" s="77" t="s">
        <v>621</v>
      </c>
      <c r="H567" t="str">
        <f>VLOOKUP(D567,'DETALLE PRECIO INGREDIENTES'!B:B,1,0)</f>
        <v>PIMIENTO ROJO</v>
      </c>
    </row>
    <row r="568" spans="2:8" ht="15.5" hidden="1" x14ac:dyDescent="0.35">
      <c r="B568" s="75" t="s">
        <v>199</v>
      </c>
      <c r="C568" s="75" t="s">
        <v>172</v>
      </c>
      <c r="D568" s="73" t="s">
        <v>644</v>
      </c>
      <c r="E568" s="74">
        <v>0.12</v>
      </c>
      <c r="F568" s="78" t="s">
        <v>237</v>
      </c>
      <c r="G568" s="77" t="s">
        <v>621</v>
      </c>
      <c r="H568" t="str">
        <f>VLOOKUP(D568,'DETALLE PRECIO INGREDIENTES'!B:B,1,0)</f>
        <v>CEBOLLA BLANCA</v>
      </c>
    </row>
    <row r="569" spans="2:8" ht="15.5" hidden="1" x14ac:dyDescent="0.35">
      <c r="B569" s="75" t="s">
        <v>199</v>
      </c>
      <c r="C569" s="75" t="s">
        <v>172</v>
      </c>
      <c r="D569" s="73" t="s">
        <v>715</v>
      </c>
      <c r="E569" s="74">
        <v>0.03</v>
      </c>
      <c r="F569" s="78" t="s">
        <v>237</v>
      </c>
      <c r="G569" s="77" t="s">
        <v>621</v>
      </c>
      <c r="H569" t="str">
        <f>VLOOKUP(D569,'DETALLE PRECIO INGREDIENTES'!B:B,1,0)</f>
        <v>TOMATE CHERRY</v>
      </c>
    </row>
    <row r="570" spans="2:8" ht="15.5" hidden="1" x14ac:dyDescent="0.35">
      <c r="B570" s="75" t="s">
        <v>199</v>
      </c>
      <c r="C570" s="75" t="s">
        <v>172</v>
      </c>
      <c r="D570" s="73" t="s">
        <v>664</v>
      </c>
      <c r="E570" s="74">
        <v>0.02</v>
      </c>
      <c r="F570" s="78" t="s">
        <v>237</v>
      </c>
      <c r="G570" s="77" t="s">
        <v>621</v>
      </c>
      <c r="H570" t="str">
        <f>VLOOKUP(D570,'DETALLE PRECIO INGREDIENTES'!B:B,1,0)</f>
        <v>ESPARRAGOS</v>
      </c>
    </row>
    <row r="571" spans="2:8" ht="15.5" hidden="1" x14ac:dyDescent="0.35">
      <c r="B571" s="75" t="s">
        <v>199</v>
      </c>
      <c r="C571" s="75" t="s">
        <v>172</v>
      </c>
      <c r="D571" s="73" t="s">
        <v>657</v>
      </c>
      <c r="E571" s="74">
        <v>0.01</v>
      </c>
      <c r="F571" s="78" t="s">
        <v>237</v>
      </c>
      <c r="G571" s="77" t="s">
        <v>621</v>
      </c>
      <c r="H571" t="str">
        <f>VLOOKUP(D571,'DETALLE PRECIO INGREDIENTES'!B:B,1,0)</f>
        <v>CILANTRO</v>
      </c>
    </row>
    <row r="572" spans="2:8" ht="15.5" hidden="1" x14ac:dyDescent="0.35">
      <c r="B572" s="75" t="s">
        <v>199</v>
      </c>
      <c r="C572" s="75" t="s">
        <v>172</v>
      </c>
      <c r="D572" s="73" t="s">
        <v>628</v>
      </c>
      <c r="E572" s="74">
        <v>0.06</v>
      </c>
      <c r="F572" s="78" t="s">
        <v>259</v>
      </c>
      <c r="G572" s="77" t="s">
        <v>621</v>
      </c>
      <c r="H572" t="str">
        <f>VLOOKUP(D572,'DETALLE PRECIO INGREDIENTES'!B:B,1,0)</f>
        <v>AJO CABEZA</v>
      </c>
    </row>
    <row r="573" spans="2:8" ht="15.5" hidden="1" x14ac:dyDescent="0.35">
      <c r="B573" s="75" t="s">
        <v>199</v>
      </c>
      <c r="C573" s="75" t="s">
        <v>172</v>
      </c>
      <c r="D573" s="73" t="s">
        <v>822</v>
      </c>
      <c r="E573" s="74">
        <v>0.06</v>
      </c>
      <c r="F573" s="78" t="s">
        <v>259</v>
      </c>
      <c r="G573" s="77" t="s">
        <v>806</v>
      </c>
      <c r="H573" t="str">
        <f>VLOOKUP(D573,'DETALLE PRECIO INGREDIENTES'!B:B,1,0)</f>
        <v>CORVINA ENTERA FRESCA UN</v>
      </c>
    </row>
    <row r="574" spans="2:8" ht="15.5" hidden="1" x14ac:dyDescent="0.35">
      <c r="B574" s="75" t="s">
        <v>199</v>
      </c>
      <c r="C574" s="75" t="s">
        <v>172</v>
      </c>
      <c r="D574" s="73" t="s">
        <v>627</v>
      </c>
      <c r="E574" s="74">
        <v>0.02</v>
      </c>
      <c r="F574" s="78" t="s">
        <v>237</v>
      </c>
      <c r="G574" s="77" t="s">
        <v>621</v>
      </c>
      <c r="H574" t="str">
        <f>VLOOKUP(D574,'DETALLE PRECIO INGREDIENTES'!B:B,1,0)</f>
        <v>AJI VERDE</v>
      </c>
    </row>
    <row r="575" spans="2:8" ht="15.5" hidden="1" x14ac:dyDescent="0.35">
      <c r="B575" s="75" t="s">
        <v>199</v>
      </c>
      <c r="C575" s="75" t="s">
        <v>172</v>
      </c>
      <c r="D575" s="73" t="s">
        <v>445</v>
      </c>
      <c r="E575" s="74">
        <v>0.02</v>
      </c>
      <c r="F575" s="78" t="s">
        <v>237</v>
      </c>
      <c r="G575" s="77" t="s">
        <v>220</v>
      </c>
      <c r="H575" t="str">
        <f>VLOOKUP(D575,'DETALLE PRECIO INGREDIENTES'!B:B,1,0)</f>
        <v>SAL DE MESA LOBOS</v>
      </c>
    </row>
    <row r="576" spans="2:8" ht="15.5" hidden="1" x14ac:dyDescent="0.35">
      <c r="B576" s="75" t="s">
        <v>199</v>
      </c>
      <c r="C576" s="75" t="s">
        <v>172</v>
      </c>
      <c r="D576" s="73" t="s">
        <v>428</v>
      </c>
      <c r="E576" s="74">
        <v>1E-3</v>
      </c>
      <c r="F576" s="78" t="s">
        <v>237</v>
      </c>
      <c r="G576" s="77" t="s">
        <v>220</v>
      </c>
      <c r="H576" t="str">
        <f>VLOOKUP(D576,'DETALLE PRECIO INGREDIENTES'!B:B,1,0)</f>
        <v>PIMIENTA NEGRA MOLIDA</v>
      </c>
    </row>
    <row r="577" spans="2:8" ht="15.5" hidden="1" x14ac:dyDescent="0.35">
      <c r="B577" s="75" t="s">
        <v>199</v>
      </c>
      <c r="C577" s="75" t="s">
        <v>172</v>
      </c>
      <c r="D577" s="73" t="s">
        <v>819</v>
      </c>
      <c r="E577" s="74">
        <v>7.4999999999999997E-2</v>
      </c>
      <c r="F577" s="78" t="s">
        <v>259</v>
      </c>
      <c r="G577" s="77" t="s">
        <v>806</v>
      </c>
      <c r="H577" t="str">
        <f>VLOOKUP(D577,'DETALLE PRECIO INGREDIENTES'!B:B,1,0)</f>
        <v>CONGRIO COLORADO ENTERO FRESCO</v>
      </c>
    </row>
    <row r="578" spans="2:8" ht="15.5" hidden="1" x14ac:dyDescent="0.35">
      <c r="B578" s="75" t="s">
        <v>199</v>
      </c>
      <c r="C578" s="75" t="s">
        <v>172</v>
      </c>
      <c r="D578" s="73" t="s">
        <v>354</v>
      </c>
      <c r="E578" s="74">
        <v>0.03</v>
      </c>
      <c r="F578" s="78" t="s">
        <v>237</v>
      </c>
      <c r="G578" s="77" t="s">
        <v>220</v>
      </c>
      <c r="H578" t="str">
        <f>VLOOKUP(D578,'DETALLE PRECIO INGREDIENTES'!B:B,1,0)</f>
        <v>HARINA BIZCOCHERA</v>
      </c>
    </row>
    <row r="579" spans="2:8" ht="15.5" hidden="1" x14ac:dyDescent="0.35">
      <c r="B579" s="75" t="s">
        <v>199</v>
      </c>
      <c r="C579" s="75" t="s">
        <v>172</v>
      </c>
      <c r="D579" s="73" t="s">
        <v>375</v>
      </c>
      <c r="E579" s="74">
        <v>0.01</v>
      </c>
      <c r="F579" s="78" t="s">
        <v>237</v>
      </c>
      <c r="G579" s="77" t="s">
        <v>220</v>
      </c>
      <c r="H579" t="str">
        <f>VLOOKUP(D579,'DETALLE PRECIO INGREDIENTES'!B:B,1,0)</f>
        <v>MAICENA</v>
      </c>
    </row>
    <row r="580" spans="2:8" ht="15.5" hidden="1" x14ac:dyDescent="0.35">
      <c r="B580" s="75" t="s">
        <v>199</v>
      </c>
      <c r="C580" s="75" t="s">
        <v>172</v>
      </c>
      <c r="D580" s="73" t="s">
        <v>432</v>
      </c>
      <c r="E580" s="74">
        <v>1E-3</v>
      </c>
      <c r="F580" s="78" t="s">
        <v>237</v>
      </c>
      <c r="G580" s="77" t="s">
        <v>220</v>
      </c>
      <c r="H580" t="str">
        <f>VLOOKUP(D580,'DETALLE PRECIO INGREDIENTES'!B:B,1,0)</f>
        <v>POLVOS DE HORNEAR</v>
      </c>
    </row>
    <row r="581" spans="2:8" ht="15.5" hidden="1" x14ac:dyDescent="0.35">
      <c r="B581" s="75" t="s">
        <v>199</v>
      </c>
      <c r="C581" s="75" t="s">
        <v>172</v>
      </c>
      <c r="D581" s="73" t="s">
        <v>729</v>
      </c>
      <c r="E581" s="74">
        <v>0.25</v>
      </c>
      <c r="F581" s="78" t="s">
        <v>259</v>
      </c>
      <c r="G581" s="77" t="s">
        <v>728</v>
      </c>
      <c r="H581" t="str">
        <f>VLOOKUP(D581,'DETALLE PRECIO INGREDIENTES'!B:B,1,0)</f>
        <v>HUEVO EXTRA BLANCO</v>
      </c>
    </row>
    <row r="582" spans="2:8" ht="15.5" hidden="1" x14ac:dyDescent="0.35">
      <c r="B582" s="75" t="s">
        <v>199</v>
      </c>
      <c r="C582" s="75" t="s">
        <v>172</v>
      </c>
      <c r="D582" s="73" t="s">
        <v>549</v>
      </c>
      <c r="E582" s="74">
        <v>0.03</v>
      </c>
      <c r="F582" s="78" t="s">
        <v>222</v>
      </c>
      <c r="G582" s="77" t="s">
        <v>548</v>
      </c>
      <c r="H582" t="str">
        <f>VLOOKUP(D582,'DETALLE PRECIO INGREDIENTES'!B:B,1,0)</f>
        <v>CERVEZA CRISTAL</v>
      </c>
    </row>
    <row r="583" spans="2:8" ht="15.5" hidden="1" x14ac:dyDescent="0.35">
      <c r="B583" s="75" t="s">
        <v>199</v>
      </c>
      <c r="C583" s="75" t="s">
        <v>172</v>
      </c>
      <c r="D583" s="73" t="s">
        <v>233</v>
      </c>
      <c r="E583" s="74">
        <v>0.2</v>
      </c>
      <c r="F583" s="78" t="s">
        <v>222</v>
      </c>
      <c r="G583" s="77" t="s">
        <v>220</v>
      </c>
      <c r="H583" t="str">
        <f>VLOOKUP(D583,'DETALLE PRECIO INGREDIENTES'!B:B,1,0)</f>
        <v>ACEITE PARA FREIR</v>
      </c>
    </row>
    <row r="584" spans="2:8" ht="15.5" hidden="1" x14ac:dyDescent="0.35">
      <c r="B584" s="75" t="s">
        <v>199</v>
      </c>
      <c r="C584" s="75" t="s">
        <v>172</v>
      </c>
      <c r="D584" s="73" t="s">
        <v>702</v>
      </c>
      <c r="E584" s="74">
        <v>0.3</v>
      </c>
      <c r="F584" s="78" t="s">
        <v>259</v>
      </c>
      <c r="G584" s="77" t="s">
        <v>621</v>
      </c>
      <c r="H584" t="str">
        <f>VLOOKUP(D584,'DETALLE PRECIO INGREDIENTES'!B:B,1,0)</f>
        <v>PIMIENTO ROJO</v>
      </c>
    </row>
    <row r="585" spans="2:8" ht="15.5" hidden="1" x14ac:dyDescent="0.35">
      <c r="B585" s="75" t="s">
        <v>199</v>
      </c>
      <c r="C585" s="75" t="s">
        <v>172</v>
      </c>
      <c r="D585" s="73" t="s">
        <v>370</v>
      </c>
      <c r="E585" s="74">
        <v>1E-3</v>
      </c>
      <c r="F585" s="78" t="s">
        <v>237</v>
      </c>
      <c r="G585" s="77" t="s">
        <v>220</v>
      </c>
      <c r="H585" t="str">
        <f>VLOOKUP(D585,'DETALLE PRECIO INGREDIENTES'!B:B,1,0)</f>
        <v>LAUREL</v>
      </c>
    </row>
    <row r="586" spans="2:8" ht="15.5" hidden="1" x14ac:dyDescent="0.35">
      <c r="B586" s="75" t="s">
        <v>199</v>
      </c>
      <c r="C586" s="75" t="s">
        <v>172</v>
      </c>
      <c r="D586" s="73" t="s">
        <v>309</v>
      </c>
      <c r="E586" s="74">
        <v>1E-3</v>
      </c>
      <c r="F586" s="78" t="s">
        <v>237</v>
      </c>
      <c r="G586" s="77" t="s">
        <v>220</v>
      </c>
      <c r="H586" t="str">
        <f>VLOOKUP(D586,'DETALLE PRECIO INGREDIENTES'!B:B,1,0)</f>
        <v>COMINO MOLIDO</v>
      </c>
    </row>
    <row r="587" spans="2:8" ht="15.5" hidden="1" x14ac:dyDescent="0.35">
      <c r="B587" s="75" t="s">
        <v>199</v>
      </c>
      <c r="C587" s="75" t="s">
        <v>172</v>
      </c>
      <c r="D587" s="73" t="s">
        <v>310</v>
      </c>
      <c r="E587" s="74">
        <v>0.03</v>
      </c>
      <c r="F587" s="78" t="s">
        <v>237</v>
      </c>
      <c r="G587" s="77" t="s">
        <v>220</v>
      </c>
      <c r="H587" t="str">
        <f>VLOOKUP(D587,'DETALLE PRECIO INGREDIENTES'!B:B,1,0)</f>
        <v>CONCENTRADO DE TOMATE</v>
      </c>
    </row>
    <row r="588" spans="2:8" ht="15.5" hidden="1" x14ac:dyDescent="0.35">
      <c r="B588" s="75" t="s">
        <v>199</v>
      </c>
      <c r="C588" s="75" t="s">
        <v>172</v>
      </c>
      <c r="D588" s="73" t="s">
        <v>878</v>
      </c>
      <c r="E588" s="74">
        <v>0.04</v>
      </c>
      <c r="F588" s="78" t="s">
        <v>222</v>
      </c>
      <c r="G588" s="77" t="s">
        <v>876</v>
      </c>
      <c r="H588" t="str">
        <f>VLOOKUP(D588,'DETALLE PRECIO INGREDIENTES'!B:B,1,0)</f>
        <v>VINO BLANCO TETRA PACK</v>
      </c>
    </row>
    <row r="589" spans="2:8" ht="15.5" hidden="1" x14ac:dyDescent="0.35">
      <c r="B589" s="75" t="s">
        <v>199</v>
      </c>
      <c r="C589" s="75" t="s">
        <v>172</v>
      </c>
      <c r="D589" s="73" t="s">
        <v>716</v>
      </c>
      <c r="E589" s="74">
        <v>0.04</v>
      </c>
      <c r="F589" s="78" t="s">
        <v>237</v>
      </c>
      <c r="G589" s="77" t="s">
        <v>621</v>
      </c>
      <c r="H589" t="str">
        <f>VLOOKUP(D589,'DETALLE PRECIO INGREDIENTES'!B:B,1,0)</f>
        <v>TOMATE LARGA VIDA</v>
      </c>
    </row>
    <row r="590" spans="2:8" ht="15.5" hidden="1" x14ac:dyDescent="0.35">
      <c r="B590" s="75" t="s">
        <v>199</v>
      </c>
      <c r="C590" s="75" t="s">
        <v>172</v>
      </c>
      <c r="D590" s="73" t="s">
        <v>411</v>
      </c>
      <c r="E590" s="74">
        <v>0.06</v>
      </c>
      <c r="F590" s="78" t="s">
        <v>237</v>
      </c>
      <c r="G590" s="77" t="s">
        <v>621</v>
      </c>
      <c r="H590" t="str">
        <f>VLOOKUP(D590,'DETALLE PRECIO INGREDIENTES'!B:B,1,0)</f>
        <v>PAPAS</v>
      </c>
    </row>
    <row r="591" spans="2:8" ht="15.5" hidden="1" x14ac:dyDescent="0.35">
      <c r="B591" s="75" t="s">
        <v>199</v>
      </c>
      <c r="C591" s="75" t="s">
        <v>171</v>
      </c>
      <c r="D591" s="73" t="s">
        <v>807</v>
      </c>
      <c r="E591" s="74">
        <v>0.1</v>
      </c>
      <c r="F591" s="78" t="s">
        <v>237</v>
      </c>
      <c r="G591" s="77" t="s">
        <v>806</v>
      </c>
      <c r="H591" t="str">
        <f>VLOOKUP(D591,'DETALLE PRECIO INGREDIENTES'!B:B,1,0)</f>
        <v>ALMEJAS FRESCAS</v>
      </c>
    </row>
    <row r="592" spans="2:8" ht="15.5" hidden="1" x14ac:dyDescent="0.35">
      <c r="B592" s="75" t="s">
        <v>199</v>
      </c>
      <c r="C592" s="75" t="s">
        <v>171</v>
      </c>
      <c r="D592" s="73" t="s">
        <v>818</v>
      </c>
      <c r="E592" s="74">
        <v>0.1</v>
      </c>
      <c r="F592" s="78" t="s">
        <v>237</v>
      </c>
      <c r="G592" s="77" t="s">
        <v>806</v>
      </c>
      <c r="H592" t="str">
        <f>VLOOKUP(D592,'DETALLE PRECIO INGREDIENTES'!B:B,1,0)</f>
        <v>CHORITOS FRESCOS</v>
      </c>
    </row>
    <row r="593" spans="2:8" ht="15.5" hidden="1" x14ac:dyDescent="0.35">
      <c r="B593" s="75" t="s">
        <v>199</v>
      </c>
      <c r="C593" s="75" t="s">
        <v>171</v>
      </c>
      <c r="D593" s="73" t="s">
        <v>698</v>
      </c>
      <c r="E593" s="74">
        <v>1.2E-2</v>
      </c>
      <c r="F593" s="78" t="s">
        <v>237</v>
      </c>
      <c r="G593" s="77" t="s">
        <v>621</v>
      </c>
      <c r="H593" t="str">
        <f>VLOOKUP(D593,'DETALLE PRECIO INGREDIENTES'!B:B,1,0)</f>
        <v>PEREJIL</v>
      </c>
    </row>
    <row r="594" spans="2:8" ht="15.5" hidden="1" x14ac:dyDescent="0.35">
      <c r="B594" s="75" t="s">
        <v>199</v>
      </c>
      <c r="C594" s="75" t="s">
        <v>171</v>
      </c>
      <c r="D594" s="73" t="s">
        <v>628</v>
      </c>
      <c r="E594" s="74">
        <v>0.2</v>
      </c>
      <c r="F594" s="78" t="s">
        <v>259</v>
      </c>
      <c r="G594" s="77" t="s">
        <v>621</v>
      </c>
      <c r="H594" t="str">
        <f>VLOOKUP(D594,'DETALLE PRECIO INGREDIENTES'!B:B,1,0)</f>
        <v>AJO CABEZA</v>
      </c>
    </row>
    <row r="595" spans="2:8" ht="15.5" hidden="1" x14ac:dyDescent="0.35">
      <c r="B595" s="75" t="s">
        <v>199</v>
      </c>
      <c r="C595" s="75" t="s">
        <v>171</v>
      </c>
      <c r="D595" s="73" t="s">
        <v>878</v>
      </c>
      <c r="E595" s="74">
        <v>0.12</v>
      </c>
      <c r="F595" s="78" t="s">
        <v>222</v>
      </c>
      <c r="G595" s="77" t="s">
        <v>876</v>
      </c>
      <c r="H595" t="str">
        <f>VLOOKUP(D595,'DETALLE PRECIO INGREDIENTES'!B:B,1,0)</f>
        <v>VINO BLANCO TETRA PACK</v>
      </c>
    </row>
    <row r="596" spans="2:8" ht="15.5" hidden="1" x14ac:dyDescent="0.35">
      <c r="B596" s="75" t="s">
        <v>199</v>
      </c>
      <c r="C596" s="75" t="s">
        <v>171</v>
      </c>
      <c r="D596" s="73" t="s">
        <v>680</v>
      </c>
      <c r="E596" s="74">
        <v>0.24</v>
      </c>
      <c r="F596" s="78" t="s">
        <v>237</v>
      </c>
      <c r="G596" s="77" t="s">
        <v>621</v>
      </c>
      <c r="H596" t="str">
        <f>VLOOKUP(D596,'DETALLE PRECIO INGREDIENTES'!B:B,1,0)</f>
        <v>LIMON DE JUGO</v>
      </c>
    </row>
    <row r="597" spans="2:8" ht="15.5" hidden="1" x14ac:dyDescent="0.35">
      <c r="B597" s="75" t="s">
        <v>199</v>
      </c>
      <c r="C597" s="75" t="s">
        <v>171</v>
      </c>
      <c r="D597" s="73" t="s">
        <v>230</v>
      </c>
      <c r="E597" s="74">
        <v>0.05</v>
      </c>
      <c r="F597" s="78" t="s">
        <v>222</v>
      </c>
      <c r="G597" s="77" t="s">
        <v>220</v>
      </c>
      <c r="H597" t="str">
        <f>VLOOKUP(D597,'DETALLE PRECIO INGREDIENTES'!B:B,1,0)</f>
        <v>ACEITE DE OLIVA</v>
      </c>
    </row>
    <row r="598" spans="2:8" ht="15.5" hidden="1" x14ac:dyDescent="0.35">
      <c r="B598" s="75" t="s">
        <v>199</v>
      </c>
      <c r="C598" s="75" t="s">
        <v>171</v>
      </c>
      <c r="D598" s="73" t="s">
        <v>644</v>
      </c>
      <c r="E598" s="74">
        <v>0.2</v>
      </c>
      <c r="F598" s="78" t="s">
        <v>237</v>
      </c>
      <c r="G598" s="77" t="s">
        <v>621</v>
      </c>
      <c r="H598" t="str">
        <f>VLOOKUP(D598,'DETALLE PRECIO INGREDIENTES'!B:B,1,0)</f>
        <v>CEBOLLA BLANCA</v>
      </c>
    </row>
    <row r="599" spans="2:8" ht="15.5" hidden="1" x14ac:dyDescent="0.35">
      <c r="B599" s="75" t="s">
        <v>199</v>
      </c>
      <c r="C599" s="75" t="s">
        <v>171</v>
      </c>
      <c r="D599" s="73" t="s">
        <v>716</v>
      </c>
      <c r="E599" s="74">
        <v>0.06</v>
      </c>
      <c r="F599" s="78" t="s">
        <v>237</v>
      </c>
      <c r="G599" s="77" t="s">
        <v>621</v>
      </c>
      <c r="H599" t="str">
        <f>VLOOKUP(D599,'DETALLE PRECIO INGREDIENTES'!B:B,1,0)</f>
        <v>TOMATE LARGA VIDA</v>
      </c>
    </row>
    <row r="600" spans="2:8" ht="15.5" hidden="1" x14ac:dyDescent="0.35">
      <c r="B600" s="75" t="s">
        <v>199</v>
      </c>
      <c r="C600" s="75" t="s">
        <v>171</v>
      </c>
      <c r="D600" s="73" t="s">
        <v>370</v>
      </c>
      <c r="E600" s="74">
        <v>1E-3</v>
      </c>
      <c r="F600" s="78" t="s">
        <v>237</v>
      </c>
      <c r="G600" s="77" t="s">
        <v>220</v>
      </c>
      <c r="H600" t="str">
        <f>VLOOKUP(D600,'DETALLE PRECIO INGREDIENTES'!B:B,1,0)</f>
        <v>LAUREL</v>
      </c>
    </row>
    <row r="601" spans="2:8" ht="15.5" hidden="1" x14ac:dyDescent="0.35">
      <c r="B601" s="75" t="s">
        <v>199</v>
      </c>
      <c r="C601" s="75" t="s">
        <v>171</v>
      </c>
      <c r="D601" s="73" t="s">
        <v>427</v>
      </c>
      <c r="E601" s="74">
        <v>1E-3</v>
      </c>
      <c r="F601" s="78" t="s">
        <v>237</v>
      </c>
      <c r="G601" s="77" t="s">
        <v>220</v>
      </c>
      <c r="H601" t="str">
        <f>VLOOKUP(D601,'DETALLE PRECIO INGREDIENTES'!B:B,1,0)</f>
        <v>PIMIENTA NEGRA ENTERA</v>
      </c>
    </row>
    <row r="602" spans="2:8" ht="15.5" x14ac:dyDescent="0.35">
      <c r="B602" s="75" t="s">
        <v>199</v>
      </c>
      <c r="C602" s="75" t="s">
        <v>171</v>
      </c>
      <c r="D602" s="73" t="s">
        <v>903</v>
      </c>
      <c r="E602" s="74">
        <v>0.06</v>
      </c>
      <c r="F602" s="78" t="s">
        <v>259</v>
      </c>
      <c r="G602" s="77" t="s">
        <v>621</v>
      </c>
      <c r="H602" t="e">
        <f>VLOOKUP(D602,'DETALLE PRECIO INGREDIENTES'!B:B,1,0)</f>
        <v>#N/A</v>
      </c>
    </row>
    <row r="603" spans="2:8" ht="15.5" hidden="1" x14ac:dyDescent="0.35">
      <c r="B603" s="75" t="s">
        <v>199</v>
      </c>
      <c r="C603" s="75" t="s">
        <v>171</v>
      </c>
      <c r="D603" s="73" t="s">
        <v>455</v>
      </c>
      <c r="E603" s="74">
        <v>1E-3</v>
      </c>
      <c r="F603" s="78" t="s">
        <v>237</v>
      </c>
      <c r="G603" s="77" t="s">
        <v>220</v>
      </c>
      <c r="H603" t="str">
        <f>VLOOKUP(D603,'DETALLE PRECIO INGREDIENTES'!B:B,1,0)</f>
        <v>SEMILLAS DE CILANTRO</v>
      </c>
    </row>
    <row r="604" spans="2:8" ht="15.5" hidden="1" x14ac:dyDescent="0.35">
      <c r="B604" s="75" t="s">
        <v>199</v>
      </c>
      <c r="C604" s="75" t="s">
        <v>171</v>
      </c>
      <c r="D604" s="73" t="s">
        <v>816</v>
      </c>
      <c r="E604" s="74">
        <v>0.04</v>
      </c>
      <c r="F604" s="78" t="s">
        <v>237</v>
      </c>
      <c r="G604" s="77" t="s">
        <v>806</v>
      </c>
      <c r="H604" t="str">
        <f>VLOOKUP(D604,'DETALLE PRECIO INGREDIENTES'!B:B,1,0)</f>
        <v>CAMARON ECUATORIANO 36-40</v>
      </c>
    </row>
    <row r="605" spans="2:8" ht="15.5" hidden="1" x14ac:dyDescent="0.35">
      <c r="B605" s="75" t="s">
        <v>199</v>
      </c>
      <c r="C605" s="75" t="s">
        <v>171</v>
      </c>
      <c r="D605" s="73" t="s">
        <v>827</v>
      </c>
      <c r="E605" s="74">
        <v>0.1</v>
      </c>
      <c r="F605" s="78" t="s">
        <v>237</v>
      </c>
      <c r="G605" s="77" t="s">
        <v>806</v>
      </c>
      <c r="H605" t="str">
        <f>VLOOKUP(D605,'DETALLE PRECIO INGREDIENTES'!B:B,1,0)</f>
        <v>MACHAS FRESCAS</v>
      </c>
    </row>
    <row r="606" spans="2:8" ht="15.5" hidden="1" x14ac:dyDescent="0.35">
      <c r="B606" s="75" t="s">
        <v>199</v>
      </c>
      <c r="C606" s="75" t="s">
        <v>171</v>
      </c>
      <c r="D606" s="73" t="s">
        <v>831</v>
      </c>
      <c r="E606" s="74">
        <v>1</v>
      </c>
      <c r="F606" s="78" t="s">
        <v>259</v>
      </c>
      <c r="G606" s="77" t="s">
        <v>806</v>
      </c>
      <c r="H606" t="str">
        <f>VLOOKUP(D606,'DETALLE PRECIO INGREDIENTES'!B:B,1,0)</f>
        <v>OSTION FRESCO CON CORAL</v>
      </c>
    </row>
    <row r="607" spans="2:8" ht="15.5" hidden="1" x14ac:dyDescent="0.35">
      <c r="B607" s="75" t="s">
        <v>199</v>
      </c>
      <c r="C607" s="75" t="s">
        <v>171</v>
      </c>
      <c r="D607" s="73" t="s">
        <v>834</v>
      </c>
      <c r="E607" s="74">
        <v>0.03</v>
      </c>
      <c r="F607" s="78" t="s">
        <v>237</v>
      </c>
      <c r="G607" s="77" t="s">
        <v>806</v>
      </c>
      <c r="H607" t="str">
        <f>VLOOKUP(D607,'DETALLE PRECIO INGREDIENTES'!B:B,1,0)</f>
        <v>PIURE CARNE</v>
      </c>
    </row>
    <row r="608" spans="2:8" ht="15.5" hidden="1" x14ac:dyDescent="0.35">
      <c r="B608" s="75" t="s">
        <v>199</v>
      </c>
      <c r="C608" s="75" t="s">
        <v>171</v>
      </c>
      <c r="D608" s="73" t="s">
        <v>823</v>
      </c>
      <c r="E608" s="74">
        <v>0.03</v>
      </c>
      <c r="F608" s="78" t="s">
        <v>237</v>
      </c>
      <c r="G608" s="77" t="s">
        <v>806</v>
      </c>
      <c r="H608" t="str">
        <f>VLOOKUP(D608,'DETALLE PRECIO INGREDIENTES'!B:B,1,0)</f>
        <v>ERIZOS LENGUA</v>
      </c>
    </row>
    <row r="609" spans="2:8" ht="15.5" hidden="1" x14ac:dyDescent="0.35">
      <c r="B609" s="75" t="s">
        <v>199</v>
      </c>
      <c r="C609" s="75" t="s">
        <v>171</v>
      </c>
      <c r="D609" s="73" t="s">
        <v>657</v>
      </c>
      <c r="E609" s="74">
        <v>0.03</v>
      </c>
      <c r="F609" s="78" t="s">
        <v>237</v>
      </c>
      <c r="G609" s="77" t="s">
        <v>621</v>
      </c>
      <c r="H609" t="str">
        <f>VLOOKUP(D609,'DETALLE PRECIO INGREDIENTES'!B:B,1,0)</f>
        <v>CILANTRO</v>
      </c>
    </row>
    <row r="610" spans="2:8" ht="15.5" hidden="1" x14ac:dyDescent="0.35">
      <c r="B610" s="75" t="s">
        <v>199</v>
      </c>
      <c r="C610" s="75" t="s">
        <v>171</v>
      </c>
      <c r="D610" s="73" t="s">
        <v>445</v>
      </c>
      <c r="E610" s="74">
        <v>0.01</v>
      </c>
      <c r="F610" s="78" t="s">
        <v>237</v>
      </c>
      <c r="G610" s="77" t="s">
        <v>220</v>
      </c>
      <c r="H610" t="str">
        <f>VLOOKUP(D610,'DETALLE PRECIO INGREDIENTES'!B:B,1,0)</f>
        <v>SAL DE MESA LOBOS</v>
      </c>
    </row>
    <row r="611" spans="2:8" ht="15.5" hidden="1" x14ac:dyDescent="0.35">
      <c r="B611" s="75" t="s">
        <v>199</v>
      </c>
      <c r="C611" s="75" t="s">
        <v>171</v>
      </c>
      <c r="D611" s="73" t="s">
        <v>428</v>
      </c>
      <c r="E611" s="74">
        <v>1E-3</v>
      </c>
      <c r="F611" s="78" t="s">
        <v>237</v>
      </c>
      <c r="G611" s="77" t="s">
        <v>220</v>
      </c>
      <c r="H611" t="str">
        <f>VLOOKUP(D611,'DETALLE PRECIO INGREDIENTES'!B:B,1,0)</f>
        <v>PIMIENTA NEGRA MOLIDA</v>
      </c>
    </row>
    <row r="612" spans="2:8" ht="15.5" hidden="1" x14ac:dyDescent="0.35">
      <c r="B612" s="75" t="s">
        <v>199</v>
      </c>
      <c r="C612" s="75" t="s">
        <v>171</v>
      </c>
      <c r="D612" s="73" t="s">
        <v>750</v>
      </c>
      <c r="E612" s="74">
        <v>0.1</v>
      </c>
      <c r="F612" s="78" t="s">
        <v>237</v>
      </c>
      <c r="G612" s="77" t="s">
        <v>736</v>
      </c>
      <c r="H612" t="str">
        <f>VLOOKUP(D612,'DETALLE PRECIO INGREDIENTES'!B:B,1,0)</f>
        <v>MANTEQUILLA CON SAL</v>
      </c>
    </row>
    <row r="613" spans="2:8" ht="15.5" hidden="1" x14ac:dyDescent="0.35">
      <c r="B613" s="75" t="s">
        <v>199</v>
      </c>
      <c r="C613" s="75" t="s">
        <v>171</v>
      </c>
      <c r="D613" s="73" t="s">
        <v>718</v>
      </c>
      <c r="E613" s="74">
        <v>2E-3</v>
      </c>
      <c r="F613" s="78" t="s">
        <v>237</v>
      </c>
      <c r="G613" s="77" t="s">
        <v>621</v>
      </c>
      <c r="H613" t="str">
        <f>VLOOKUP(D613,'DETALLE PRECIO INGREDIENTES'!B:B,1,0)</f>
        <v>TOMILLO FRESCO</v>
      </c>
    </row>
    <row r="614" spans="2:8" ht="15.5" hidden="1" x14ac:dyDescent="0.35">
      <c r="B614" s="75" t="s">
        <v>199</v>
      </c>
      <c r="C614" s="75" t="s">
        <v>171</v>
      </c>
      <c r="D614" s="73" t="s">
        <v>769</v>
      </c>
      <c r="E614" s="74">
        <v>0.03</v>
      </c>
      <c r="F614" s="78" t="s">
        <v>237</v>
      </c>
      <c r="G614" s="77" t="s">
        <v>736</v>
      </c>
      <c r="H614" t="str">
        <f>VLOOKUP(D614,'DETALLE PRECIO INGREDIENTES'!B:B,1,0)</f>
        <v>QUESO PARMESANO</v>
      </c>
    </row>
    <row r="615" spans="2:8" ht="15.5" hidden="1" x14ac:dyDescent="0.35">
      <c r="B615" s="75" t="s">
        <v>199</v>
      </c>
      <c r="C615" s="75" t="s">
        <v>171</v>
      </c>
      <c r="D615" s="73" t="s">
        <v>766</v>
      </c>
      <c r="E615" s="74">
        <v>0.03</v>
      </c>
      <c r="F615" s="78" t="s">
        <v>237</v>
      </c>
      <c r="G615" s="77" t="s">
        <v>736</v>
      </c>
      <c r="H615" t="str">
        <f>VLOOKUP(D615,'DETALLE PRECIO INGREDIENTES'!B:B,1,0)</f>
        <v>QUESO MANTECOSO PIEZA</v>
      </c>
    </row>
    <row r="616" spans="2:8" ht="15.5" hidden="1" x14ac:dyDescent="0.35">
      <c r="B616" s="75" t="s">
        <v>199</v>
      </c>
      <c r="C616" s="75" t="s">
        <v>171</v>
      </c>
      <c r="D616" s="73" t="s">
        <v>698</v>
      </c>
      <c r="E616" s="74">
        <v>0.01</v>
      </c>
      <c r="F616" s="78" t="s">
        <v>237</v>
      </c>
      <c r="G616" s="77" t="s">
        <v>621</v>
      </c>
      <c r="H616" t="str">
        <f>VLOOKUP(D616,'DETALLE PRECIO INGREDIENTES'!B:B,1,0)</f>
        <v>PEREJIL</v>
      </c>
    </row>
    <row r="617" spans="2:8" ht="15.5" hidden="1" x14ac:dyDescent="0.35">
      <c r="B617" s="75" t="s">
        <v>199</v>
      </c>
      <c r="C617" s="75" t="s">
        <v>171</v>
      </c>
      <c r="D617" s="73" t="s">
        <v>646</v>
      </c>
      <c r="E617" s="74">
        <v>0.3</v>
      </c>
      <c r="F617" s="78" t="s">
        <v>259</v>
      </c>
      <c r="G617" s="77" t="s">
        <v>621</v>
      </c>
      <c r="H617" t="str">
        <f>VLOOKUP(D617,'DETALLE PRECIO INGREDIENTES'!B:B,1,0)</f>
        <v>CEBOLLIN</v>
      </c>
    </row>
    <row r="618" spans="2:8" ht="15.5" hidden="1" x14ac:dyDescent="0.35">
      <c r="B618" s="75" t="s">
        <v>199</v>
      </c>
      <c r="C618" s="75" t="s">
        <v>171</v>
      </c>
      <c r="D618" s="73" t="s">
        <v>627</v>
      </c>
      <c r="E618" s="74">
        <v>0.02</v>
      </c>
      <c r="F618" s="78" t="s">
        <v>237</v>
      </c>
      <c r="G618" s="77" t="s">
        <v>621</v>
      </c>
      <c r="H618" t="str">
        <f>VLOOKUP(D618,'DETALLE PRECIO INGREDIENTES'!B:B,1,0)</f>
        <v>AJI VERDE</v>
      </c>
    </row>
    <row r="619" spans="2:8" ht="15.5" hidden="1" x14ac:dyDescent="0.35">
      <c r="B619" s="75" t="s">
        <v>199</v>
      </c>
      <c r="C619" s="75" t="s">
        <v>170</v>
      </c>
      <c r="D619" s="73" t="s">
        <v>835</v>
      </c>
      <c r="E619" s="74">
        <v>0.06</v>
      </c>
      <c r="F619" s="78" t="s">
        <v>259</v>
      </c>
      <c r="G619" s="77" t="s">
        <v>806</v>
      </c>
      <c r="H619" t="str">
        <f>VLOOKUP(D619,'DETALLE PRECIO INGREDIENTES'!B:B,1,0)</f>
        <v>PULPO ENTERO</v>
      </c>
    </row>
    <row r="620" spans="2:8" ht="15.5" hidden="1" x14ac:dyDescent="0.35">
      <c r="B620" s="75" t="s">
        <v>199</v>
      </c>
      <c r="C620" s="75" t="s">
        <v>170</v>
      </c>
      <c r="D620" s="73" t="s">
        <v>644</v>
      </c>
      <c r="E620" s="74">
        <v>0.06</v>
      </c>
      <c r="F620" s="78" t="s">
        <v>237</v>
      </c>
      <c r="G620" s="77" t="s">
        <v>621</v>
      </c>
      <c r="H620" t="str">
        <f>VLOOKUP(D620,'DETALLE PRECIO INGREDIENTES'!B:B,1,0)</f>
        <v>CEBOLLA BLANCA</v>
      </c>
    </row>
    <row r="621" spans="2:8" ht="15.5" hidden="1" x14ac:dyDescent="0.35">
      <c r="B621" s="75" t="s">
        <v>199</v>
      </c>
      <c r="C621" s="75" t="s">
        <v>170</v>
      </c>
      <c r="D621" s="73" t="s">
        <v>716</v>
      </c>
      <c r="E621" s="74">
        <v>0.06</v>
      </c>
      <c r="F621" s="78" t="s">
        <v>237</v>
      </c>
      <c r="G621" s="77" t="s">
        <v>621</v>
      </c>
      <c r="H621" t="str">
        <f>VLOOKUP(D621,'DETALLE PRECIO INGREDIENTES'!B:B,1,0)</f>
        <v>TOMATE LARGA VIDA</v>
      </c>
    </row>
    <row r="622" spans="2:8" ht="15.5" hidden="1" x14ac:dyDescent="0.35">
      <c r="B622" s="75" t="s">
        <v>199</v>
      </c>
      <c r="C622" s="75" t="s">
        <v>170</v>
      </c>
      <c r="D622" s="73" t="s">
        <v>628</v>
      </c>
      <c r="E622" s="74">
        <v>0.18</v>
      </c>
      <c r="F622" s="78" t="s">
        <v>259</v>
      </c>
      <c r="G622" s="77" t="s">
        <v>621</v>
      </c>
      <c r="H622" t="str">
        <f>VLOOKUP(D622,'DETALLE PRECIO INGREDIENTES'!B:B,1,0)</f>
        <v>AJO CABEZA</v>
      </c>
    </row>
    <row r="623" spans="2:8" ht="15.5" hidden="1" x14ac:dyDescent="0.35">
      <c r="B623" s="75" t="s">
        <v>199</v>
      </c>
      <c r="C623" s="75" t="s">
        <v>170</v>
      </c>
      <c r="D623" s="73" t="s">
        <v>680</v>
      </c>
      <c r="E623" s="74">
        <v>0.06</v>
      </c>
      <c r="F623" s="78" t="s">
        <v>237</v>
      </c>
      <c r="G623" s="77" t="s">
        <v>621</v>
      </c>
      <c r="H623" t="str">
        <f>VLOOKUP(D623,'DETALLE PRECIO INGREDIENTES'!B:B,1,0)</f>
        <v>LIMON DE JUGO</v>
      </c>
    </row>
    <row r="624" spans="2:8" ht="15.5" hidden="1" x14ac:dyDescent="0.35">
      <c r="B624" s="75" t="s">
        <v>199</v>
      </c>
      <c r="C624" s="75" t="s">
        <v>170</v>
      </c>
      <c r="D624" s="73" t="s">
        <v>370</v>
      </c>
      <c r="E624" s="74">
        <v>1E-3</v>
      </c>
      <c r="F624" s="78" t="s">
        <v>237</v>
      </c>
      <c r="G624" s="77" t="s">
        <v>220</v>
      </c>
      <c r="H624" t="str">
        <f>VLOOKUP(D624,'DETALLE PRECIO INGREDIENTES'!B:B,1,0)</f>
        <v>LAUREL</v>
      </c>
    </row>
    <row r="625" spans="2:8" ht="15.5" hidden="1" x14ac:dyDescent="0.35">
      <c r="B625" s="75" t="s">
        <v>199</v>
      </c>
      <c r="C625" s="75" t="s">
        <v>170</v>
      </c>
      <c r="D625" s="73" t="s">
        <v>427</v>
      </c>
      <c r="E625" s="74">
        <v>1E-3</v>
      </c>
      <c r="F625" s="78" t="s">
        <v>237</v>
      </c>
      <c r="G625" s="77" t="s">
        <v>220</v>
      </c>
      <c r="H625" t="str">
        <f>VLOOKUP(D625,'DETALLE PRECIO INGREDIENTES'!B:B,1,0)</f>
        <v>PIMIENTA NEGRA ENTERA</v>
      </c>
    </row>
    <row r="626" spans="2:8" ht="15.5" x14ac:dyDescent="0.35">
      <c r="B626" s="75" t="s">
        <v>199</v>
      </c>
      <c r="C626" s="75" t="s">
        <v>170</v>
      </c>
      <c r="D626" s="73" t="s">
        <v>903</v>
      </c>
      <c r="E626" s="74">
        <v>0.12</v>
      </c>
      <c r="F626" s="78" t="s">
        <v>259</v>
      </c>
      <c r="G626" s="77" t="s">
        <v>621</v>
      </c>
      <c r="H626" t="e">
        <f>VLOOKUP(D626,'DETALLE PRECIO INGREDIENTES'!B:B,1,0)</f>
        <v>#N/A</v>
      </c>
    </row>
    <row r="627" spans="2:8" ht="15.5" hidden="1" x14ac:dyDescent="0.35">
      <c r="B627" s="75" t="s">
        <v>199</v>
      </c>
      <c r="C627" s="75" t="s">
        <v>170</v>
      </c>
      <c r="D627" s="73" t="s">
        <v>455</v>
      </c>
      <c r="E627" s="74">
        <v>1E-3</v>
      </c>
      <c r="F627" s="78" t="s">
        <v>237</v>
      </c>
      <c r="G627" s="77" t="s">
        <v>220</v>
      </c>
      <c r="H627" t="str">
        <f>VLOOKUP(D627,'DETALLE PRECIO INGREDIENTES'!B:B,1,0)</f>
        <v>SEMILLAS DE CILANTRO</v>
      </c>
    </row>
    <row r="628" spans="2:8" ht="15.5" hidden="1" x14ac:dyDescent="0.35">
      <c r="B628" s="75" t="s">
        <v>199</v>
      </c>
      <c r="C628" s="75" t="s">
        <v>170</v>
      </c>
      <c r="D628" s="73" t="s">
        <v>834</v>
      </c>
      <c r="E628" s="74">
        <v>1.4999999999999999E-2</v>
      </c>
      <c r="F628" s="78" t="s">
        <v>237</v>
      </c>
      <c r="G628" s="77" t="s">
        <v>806</v>
      </c>
      <c r="H628" t="str">
        <f>VLOOKUP(D628,'DETALLE PRECIO INGREDIENTES'!B:B,1,0)</f>
        <v>PIURE CARNE</v>
      </c>
    </row>
    <row r="629" spans="2:8" ht="15.5" hidden="1" x14ac:dyDescent="0.35">
      <c r="B629" s="75" t="s">
        <v>199</v>
      </c>
      <c r="C629" s="75" t="s">
        <v>170</v>
      </c>
      <c r="D629" s="73" t="s">
        <v>833</v>
      </c>
      <c r="E629" s="74">
        <v>0.02</v>
      </c>
      <c r="F629" s="78" t="s">
        <v>237</v>
      </c>
      <c r="G629" s="77" t="s">
        <v>806</v>
      </c>
      <c r="H629" t="str">
        <f>VLOOKUP(D629,'DETALLE PRECIO INGREDIENTES'!B:B,1,0)</f>
        <v>PICOROCOS</v>
      </c>
    </row>
    <row r="630" spans="2:8" ht="15.5" hidden="1" x14ac:dyDescent="0.35">
      <c r="B630" s="75" t="s">
        <v>199</v>
      </c>
      <c r="C630" s="75" t="s">
        <v>170</v>
      </c>
      <c r="D630" s="73" t="s">
        <v>816</v>
      </c>
      <c r="E630" s="74">
        <v>0.06</v>
      </c>
      <c r="F630" s="78" t="s">
        <v>237</v>
      </c>
      <c r="G630" s="77" t="s">
        <v>806</v>
      </c>
      <c r="H630" t="str">
        <f>VLOOKUP(D630,'DETALLE PRECIO INGREDIENTES'!B:B,1,0)</f>
        <v>CAMARON ECUATORIANO 36-40</v>
      </c>
    </row>
    <row r="631" spans="2:8" ht="15.5" hidden="1" x14ac:dyDescent="0.35">
      <c r="B631" s="75" t="s">
        <v>199</v>
      </c>
      <c r="C631" s="75" t="s">
        <v>170</v>
      </c>
      <c r="D631" s="73" t="s">
        <v>818</v>
      </c>
      <c r="E631" s="74">
        <v>0.03</v>
      </c>
      <c r="F631" s="78" t="s">
        <v>237</v>
      </c>
      <c r="G631" s="77" t="s">
        <v>806</v>
      </c>
      <c r="H631" t="str">
        <f>VLOOKUP(D631,'DETALLE PRECIO INGREDIENTES'!B:B,1,0)</f>
        <v>CHORITOS FRESCOS</v>
      </c>
    </row>
    <row r="632" spans="2:8" ht="15.5" hidden="1" x14ac:dyDescent="0.35">
      <c r="B632" s="75" t="s">
        <v>199</v>
      </c>
      <c r="C632" s="75" t="s">
        <v>170</v>
      </c>
      <c r="D632" s="73" t="s">
        <v>807</v>
      </c>
      <c r="E632" s="74">
        <v>0.03</v>
      </c>
      <c r="F632" s="78" t="s">
        <v>237</v>
      </c>
      <c r="G632" s="77" t="s">
        <v>806</v>
      </c>
      <c r="H632" t="str">
        <f>VLOOKUP(D632,'DETALLE PRECIO INGREDIENTES'!B:B,1,0)</f>
        <v>ALMEJAS FRESCAS</v>
      </c>
    </row>
    <row r="633" spans="2:8" ht="15.5" hidden="1" x14ac:dyDescent="0.35">
      <c r="B633" s="75" t="s">
        <v>199</v>
      </c>
      <c r="C633" s="75" t="s">
        <v>170</v>
      </c>
      <c r="D633" s="73" t="s">
        <v>644</v>
      </c>
      <c r="E633" s="74">
        <v>0.03</v>
      </c>
      <c r="F633" s="78" t="s">
        <v>237</v>
      </c>
      <c r="G633" s="77" t="s">
        <v>621</v>
      </c>
      <c r="H633" t="str">
        <f>VLOOKUP(D633,'DETALLE PRECIO INGREDIENTES'!B:B,1,0)</f>
        <v>CEBOLLA BLANCA</v>
      </c>
    </row>
    <row r="634" spans="2:8" ht="15.5" hidden="1" x14ac:dyDescent="0.35">
      <c r="B634" s="75" t="s">
        <v>199</v>
      </c>
      <c r="C634" s="75" t="s">
        <v>170</v>
      </c>
      <c r="D634" s="73" t="s">
        <v>720</v>
      </c>
      <c r="E634" s="74">
        <v>0.03</v>
      </c>
      <c r="F634" s="78" t="s">
        <v>237</v>
      </c>
      <c r="G634" s="77" t="s">
        <v>621</v>
      </c>
      <c r="H634" t="str">
        <f>VLOOKUP(D634,'DETALLE PRECIO INGREDIENTES'!B:B,1,0)</f>
        <v>ZANAHORIA</v>
      </c>
    </row>
    <row r="635" spans="2:8" ht="15.5" hidden="1" x14ac:dyDescent="0.35">
      <c r="B635" s="75" t="s">
        <v>199</v>
      </c>
      <c r="C635" s="75" t="s">
        <v>170</v>
      </c>
      <c r="D635" s="73" t="s">
        <v>411</v>
      </c>
      <c r="E635" s="74">
        <v>0.06</v>
      </c>
      <c r="F635" s="78" t="s">
        <v>237</v>
      </c>
      <c r="G635" s="77" t="s">
        <v>621</v>
      </c>
      <c r="H635" t="str">
        <f>VLOOKUP(D635,'DETALLE PRECIO INGREDIENTES'!B:B,1,0)</f>
        <v>PAPAS</v>
      </c>
    </row>
    <row r="636" spans="2:8" ht="15.5" hidden="1" x14ac:dyDescent="0.35">
      <c r="B636" s="75" t="s">
        <v>199</v>
      </c>
      <c r="C636" s="75" t="s">
        <v>170</v>
      </c>
      <c r="D636" s="73" t="s">
        <v>248</v>
      </c>
      <c r="E636" s="74">
        <v>1E-3</v>
      </c>
      <c r="F636" s="78" t="s">
        <v>237</v>
      </c>
      <c r="G636" s="77" t="s">
        <v>220</v>
      </c>
      <c r="H636" t="str">
        <f>VLOOKUP(D636,'DETALLE PRECIO INGREDIENTES'!B:B,1,0)</f>
        <v>AJI DE COLOR</v>
      </c>
    </row>
    <row r="637" spans="2:8" ht="15.5" hidden="1" x14ac:dyDescent="0.35">
      <c r="B637" s="75" t="s">
        <v>199</v>
      </c>
      <c r="C637" s="75" t="s">
        <v>170</v>
      </c>
      <c r="D637" s="73" t="s">
        <v>309</v>
      </c>
      <c r="E637" s="74">
        <v>2E-3</v>
      </c>
      <c r="F637" s="78" t="s">
        <v>237</v>
      </c>
      <c r="G637" s="77" t="s">
        <v>220</v>
      </c>
      <c r="H637" t="str">
        <f>VLOOKUP(D637,'DETALLE PRECIO INGREDIENTES'!B:B,1,0)</f>
        <v>COMINO MOLIDO</v>
      </c>
    </row>
    <row r="638" spans="2:8" ht="15.5" hidden="1" x14ac:dyDescent="0.35">
      <c r="B638" s="75" t="s">
        <v>199</v>
      </c>
      <c r="C638" s="75" t="s">
        <v>170</v>
      </c>
      <c r="D638" s="73" t="s">
        <v>407</v>
      </c>
      <c r="E638" s="74">
        <v>2E-3</v>
      </c>
      <c r="F638" s="78" t="s">
        <v>237</v>
      </c>
      <c r="G638" s="77" t="s">
        <v>220</v>
      </c>
      <c r="H638" t="str">
        <f>VLOOKUP(D638,'DETALLE PRECIO INGREDIENTES'!B:B,1,0)</f>
        <v>OREGANO SECO</v>
      </c>
    </row>
    <row r="639" spans="2:8" ht="15.5" hidden="1" x14ac:dyDescent="0.35">
      <c r="B639" s="75" t="s">
        <v>199</v>
      </c>
      <c r="C639" s="75" t="s">
        <v>170</v>
      </c>
      <c r="D639" s="73" t="s">
        <v>878</v>
      </c>
      <c r="E639" s="74">
        <v>0.1</v>
      </c>
      <c r="F639" s="78" t="s">
        <v>222</v>
      </c>
      <c r="G639" s="77" t="s">
        <v>876</v>
      </c>
      <c r="H639" t="str">
        <f>VLOOKUP(D639,'DETALLE PRECIO INGREDIENTES'!B:B,1,0)</f>
        <v>VINO BLANCO TETRA PACK</v>
      </c>
    </row>
    <row r="640" spans="2:8" ht="15.5" hidden="1" x14ac:dyDescent="0.35">
      <c r="B640" s="75" t="s">
        <v>199</v>
      </c>
      <c r="C640" s="75" t="s">
        <v>170</v>
      </c>
      <c r="D640" s="73" t="s">
        <v>824</v>
      </c>
      <c r="E640" s="74">
        <v>0.06</v>
      </c>
      <c r="F640" s="78" t="s">
        <v>237</v>
      </c>
      <c r="G640" s="77" t="s">
        <v>806</v>
      </c>
      <c r="H640" t="str">
        <f>VLOOKUP(D640,'DETALLE PRECIO INGREDIENTES'!B:B,1,0)</f>
        <v>ESPINAS DE PESCADO</v>
      </c>
    </row>
    <row r="641" spans="2:8" ht="15.5" hidden="1" x14ac:dyDescent="0.35">
      <c r="B641" s="75" t="s">
        <v>199</v>
      </c>
      <c r="C641" s="75" t="s">
        <v>170</v>
      </c>
      <c r="D641" s="73" t="s">
        <v>729</v>
      </c>
      <c r="E641" s="74">
        <v>0.3</v>
      </c>
      <c r="F641" s="78" t="s">
        <v>259</v>
      </c>
      <c r="G641" s="77" t="s">
        <v>728</v>
      </c>
      <c r="H641" t="str">
        <f>VLOOKUP(D641,'DETALLE PRECIO INGREDIENTES'!B:B,1,0)</f>
        <v>HUEVO EXTRA BLANCO</v>
      </c>
    </row>
    <row r="642" spans="2:8" ht="15.5" hidden="1" x14ac:dyDescent="0.35">
      <c r="B642" s="75" t="s">
        <v>199</v>
      </c>
      <c r="C642" s="75" t="s">
        <v>170</v>
      </c>
      <c r="D642" s="73" t="s">
        <v>797</v>
      </c>
      <c r="E642" s="74">
        <v>0.06</v>
      </c>
      <c r="F642" s="78" t="s">
        <v>259</v>
      </c>
      <c r="G642" s="77" t="s">
        <v>795</v>
      </c>
      <c r="H642" t="str">
        <f>VLOOKUP(D642,'DETALLE PRECIO INGREDIENTES'!B:B,1,0)</f>
        <v>PAN BAGUETTE NORMAL</v>
      </c>
    </row>
    <row r="643" spans="2:8" ht="15.5" hidden="1" x14ac:dyDescent="0.35">
      <c r="B643" s="75" t="s">
        <v>199</v>
      </c>
      <c r="C643" s="75" t="s">
        <v>170</v>
      </c>
      <c r="D643" s="73" t="s">
        <v>657</v>
      </c>
      <c r="E643" s="74">
        <v>0.01</v>
      </c>
      <c r="F643" s="78" t="s">
        <v>237</v>
      </c>
      <c r="G643" s="77" t="s">
        <v>621</v>
      </c>
      <c r="H643" t="str">
        <f>VLOOKUP(D643,'DETALLE PRECIO INGREDIENTES'!B:B,1,0)</f>
        <v>CILANTRO</v>
      </c>
    </row>
    <row r="644" spans="2:8" ht="15.5" hidden="1" x14ac:dyDescent="0.35">
      <c r="B644" s="75" t="s">
        <v>199</v>
      </c>
      <c r="C644" s="75" t="s">
        <v>170</v>
      </c>
      <c r="D644" s="73" t="s">
        <v>814</v>
      </c>
      <c r="E644" s="74">
        <v>0.06</v>
      </c>
      <c r="F644" s="78" t="s">
        <v>237</v>
      </c>
      <c r="G644" s="77" t="s">
        <v>806</v>
      </c>
      <c r="H644" t="str">
        <f>VLOOKUP(D644,'DETALLE PRECIO INGREDIENTES'!B:B,1,0)</f>
        <v>CALAMAR VAINA GRANDE</v>
      </c>
    </row>
    <row r="645" spans="2:8" ht="15.5" hidden="1" x14ac:dyDescent="0.35">
      <c r="B645" s="75" t="s">
        <v>199</v>
      </c>
      <c r="C645" s="75" t="s">
        <v>170</v>
      </c>
      <c r="D645" s="73" t="s">
        <v>354</v>
      </c>
      <c r="E645" s="74">
        <v>0.06</v>
      </c>
      <c r="F645" s="78" t="s">
        <v>237</v>
      </c>
      <c r="G645" s="77" t="s">
        <v>220</v>
      </c>
      <c r="H645" t="str">
        <f>VLOOKUP(D645,'DETALLE PRECIO INGREDIENTES'!B:B,1,0)</f>
        <v>HARINA BIZCOCHERA</v>
      </c>
    </row>
    <row r="646" spans="2:8" ht="15.5" hidden="1" x14ac:dyDescent="0.35">
      <c r="B646" s="75" t="s">
        <v>199</v>
      </c>
      <c r="C646" s="75" t="s">
        <v>170</v>
      </c>
      <c r="D646" s="73" t="s">
        <v>729</v>
      </c>
      <c r="E646" s="74">
        <v>0.5</v>
      </c>
      <c r="F646" s="78" t="s">
        <v>259</v>
      </c>
      <c r="G646" s="77" t="s">
        <v>728</v>
      </c>
      <c r="H646" t="str">
        <f>VLOOKUP(D646,'DETALLE PRECIO INGREDIENTES'!B:B,1,0)</f>
        <v>HUEVO EXTRA BLANCO</v>
      </c>
    </row>
    <row r="647" spans="2:8" ht="15.5" hidden="1" x14ac:dyDescent="0.35">
      <c r="B647" s="75" t="s">
        <v>199</v>
      </c>
      <c r="C647" s="75" t="s">
        <v>170</v>
      </c>
      <c r="D647" s="73" t="s">
        <v>409</v>
      </c>
      <c r="E647" s="74">
        <v>0.03</v>
      </c>
      <c r="F647" s="78" t="s">
        <v>237</v>
      </c>
      <c r="G647" s="77" t="s">
        <v>220</v>
      </c>
      <c r="H647" t="str">
        <f>VLOOKUP(D647,'DETALLE PRECIO INGREDIENTES'!B:B,1,0)</f>
        <v>PAN RALLADO</v>
      </c>
    </row>
    <row r="648" spans="2:8" ht="15.5" hidden="1" x14ac:dyDescent="0.35">
      <c r="B648" s="75" t="s">
        <v>199</v>
      </c>
      <c r="C648" s="75" t="s">
        <v>170</v>
      </c>
      <c r="D648" s="73" t="s">
        <v>413</v>
      </c>
      <c r="E648" s="74">
        <v>1E-3</v>
      </c>
      <c r="F648" s="78" t="s">
        <v>237</v>
      </c>
      <c r="G648" s="77" t="s">
        <v>220</v>
      </c>
      <c r="H648" t="str">
        <f>VLOOKUP(D648,'DETALLE PRECIO INGREDIENTES'!B:B,1,0)</f>
        <v>PAPRIKA</v>
      </c>
    </row>
    <row r="649" spans="2:8" ht="15.5" hidden="1" x14ac:dyDescent="0.35">
      <c r="B649" s="75" t="s">
        <v>199</v>
      </c>
      <c r="C649" s="75" t="s">
        <v>170</v>
      </c>
      <c r="D649" s="73" t="s">
        <v>233</v>
      </c>
      <c r="E649" s="74">
        <v>0.2</v>
      </c>
      <c r="F649" s="78" t="s">
        <v>222</v>
      </c>
      <c r="G649" s="77" t="s">
        <v>220</v>
      </c>
      <c r="H649" t="str">
        <f>VLOOKUP(D649,'DETALLE PRECIO INGREDIENTES'!B:B,1,0)</f>
        <v>ACEITE PARA FREIR</v>
      </c>
    </row>
    <row r="650" spans="2:8" ht="15.5" hidden="1" x14ac:dyDescent="0.35">
      <c r="B650" s="75" t="s">
        <v>199</v>
      </c>
      <c r="C650" s="75" t="s">
        <v>170</v>
      </c>
      <c r="D650" s="73" t="s">
        <v>624</v>
      </c>
      <c r="E650" s="74">
        <v>0.3</v>
      </c>
      <c r="F650" s="78" t="s">
        <v>259</v>
      </c>
      <c r="G650" s="77" t="s">
        <v>621</v>
      </c>
      <c r="H650" t="str">
        <f>VLOOKUP(D650,'DETALLE PRECIO INGREDIENTES'!B:B,1,0)</f>
        <v>AJI CACHO CABRA AHUMADO</v>
      </c>
    </row>
    <row r="651" spans="2:8" ht="15.5" hidden="1" x14ac:dyDescent="0.35">
      <c r="B651" s="75" t="s">
        <v>199</v>
      </c>
      <c r="C651" s="75" t="s">
        <v>170</v>
      </c>
      <c r="D651" s="73" t="s">
        <v>230</v>
      </c>
      <c r="E651" s="74">
        <v>0.01</v>
      </c>
      <c r="F651" s="78" t="s">
        <v>222</v>
      </c>
      <c r="G651" s="77" t="s">
        <v>220</v>
      </c>
      <c r="H651" t="str">
        <f>VLOOKUP(D651,'DETALLE PRECIO INGREDIENTES'!B:B,1,0)</f>
        <v>ACEITE DE OLIVA</v>
      </c>
    </row>
    <row r="652" spans="2:8" ht="15.5" hidden="1" x14ac:dyDescent="0.35">
      <c r="B652" s="75" t="s">
        <v>199</v>
      </c>
      <c r="C652" s="75" t="s">
        <v>170</v>
      </c>
      <c r="D652" s="73" t="s">
        <v>445</v>
      </c>
      <c r="E652" s="74">
        <v>0.01</v>
      </c>
      <c r="F652" s="78" t="s">
        <v>237</v>
      </c>
      <c r="G652" s="77" t="s">
        <v>220</v>
      </c>
      <c r="H652" t="str">
        <f>VLOOKUP(D652,'DETALLE PRECIO INGREDIENTES'!B:B,1,0)</f>
        <v>SAL DE MESA LOBOS</v>
      </c>
    </row>
    <row r="653" spans="2:8" ht="15.5" hidden="1" x14ac:dyDescent="0.35">
      <c r="B653" s="75" t="s">
        <v>199</v>
      </c>
      <c r="C653" s="75" t="s">
        <v>170</v>
      </c>
      <c r="D653" s="73" t="s">
        <v>428</v>
      </c>
      <c r="E653" s="74">
        <v>1E-3</v>
      </c>
      <c r="F653" s="78" t="s">
        <v>237</v>
      </c>
      <c r="G653" s="77" t="s">
        <v>220</v>
      </c>
      <c r="H653" t="str">
        <f>VLOOKUP(D653,'DETALLE PRECIO INGREDIENTES'!B:B,1,0)</f>
        <v>PIMIENTA NEGRA MOLIDA</v>
      </c>
    </row>
    <row r="654" spans="2:8" ht="15.5" hidden="1" x14ac:dyDescent="0.35">
      <c r="B654" s="75" t="s">
        <v>199</v>
      </c>
      <c r="C654" s="79" t="s">
        <v>169</v>
      </c>
      <c r="D654" s="73" t="s">
        <v>829</v>
      </c>
      <c r="E654" s="74">
        <v>1</v>
      </c>
      <c r="F654" s="78" t="s">
        <v>259</v>
      </c>
      <c r="G654" s="77" t="s">
        <v>806</v>
      </c>
      <c r="H654" t="str">
        <f>VLOOKUP(D654,'DETALLE PRECIO INGREDIENTES'!B:B,1,0)</f>
        <v>MERLUZA FRESCA ENTERA</v>
      </c>
    </row>
    <row r="655" spans="2:8" ht="15.5" hidden="1" x14ac:dyDescent="0.35">
      <c r="B655" s="75" t="s">
        <v>199</v>
      </c>
      <c r="C655" s="79" t="s">
        <v>169</v>
      </c>
      <c r="D655" s="73" t="s">
        <v>657</v>
      </c>
      <c r="E655" s="74">
        <v>0.05</v>
      </c>
      <c r="F655" s="78" t="s">
        <v>237</v>
      </c>
      <c r="G655" s="77" t="s">
        <v>621</v>
      </c>
      <c r="H655" t="str">
        <f>VLOOKUP(D655,'DETALLE PRECIO INGREDIENTES'!B:B,1,0)</f>
        <v>CILANTRO</v>
      </c>
    </row>
    <row r="656" spans="2:8" ht="15.5" hidden="1" x14ac:dyDescent="0.35">
      <c r="B656" s="75" t="s">
        <v>199</v>
      </c>
      <c r="C656" s="79" t="s">
        <v>169</v>
      </c>
      <c r="D656" s="73" t="s">
        <v>698</v>
      </c>
      <c r="E656" s="74">
        <v>2.5000000000000001E-2</v>
      </c>
      <c r="F656" s="78" t="s">
        <v>237</v>
      </c>
      <c r="G656" s="77" t="s">
        <v>621</v>
      </c>
      <c r="H656" t="str">
        <f>VLOOKUP(D656,'DETALLE PRECIO INGREDIENTES'!B:B,1,0)</f>
        <v>PEREJIL</v>
      </c>
    </row>
    <row r="657" spans="2:8" ht="15.5" hidden="1" x14ac:dyDescent="0.35">
      <c r="B657" s="75" t="s">
        <v>199</v>
      </c>
      <c r="C657" s="79" t="s">
        <v>169</v>
      </c>
      <c r="D657" s="73" t="s">
        <v>644</v>
      </c>
      <c r="E657" s="74">
        <v>0.05</v>
      </c>
      <c r="F657" s="78" t="s">
        <v>237</v>
      </c>
      <c r="G657" s="77" t="s">
        <v>621</v>
      </c>
      <c r="H657" t="str">
        <f>VLOOKUP(D657,'DETALLE PRECIO INGREDIENTES'!B:B,1,0)</f>
        <v>CEBOLLA BLANCA</v>
      </c>
    </row>
    <row r="658" spans="2:8" ht="15.5" hidden="1" x14ac:dyDescent="0.35">
      <c r="B658" s="75" t="s">
        <v>199</v>
      </c>
      <c r="C658" s="79" t="s">
        <v>169</v>
      </c>
      <c r="D658" s="73" t="s">
        <v>628</v>
      </c>
      <c r="E658" s="74">
        <v>0.1</v>
      </c>
      <c r="F658" s="78" t="s">
        <v>259</v>
      </c>
      <c r="G658" s="77" t="s">
        <v>621</v>
      </c>
      <c r="H658" t="str">
        <f>VLOOKUP(D658,'DETALLE PRECIO INGREDIENTES'!B:B,1,0)</f>
        <v>AJO CABEZA</v>
      </c>
    </row>
    <row r="659" spans="2:8" ht="15.5" hidden="1" x14ac:dyDescent="0.35">
      <c r="B659" s="75" t="s">
        <v>199</v>
      </c>
      <c r="C659" s="79" t="s">
        <v>169</v>
      </c>
      <c r="D659" s="73" t="s">
        <v>646</v>
      </c>
      <c r="E659" s="74">
        <v>0.3</v>
      </c>
      <c r="F659" s="78" t="s">
        <v>259</v>
      </c>
      <c r="G659" s="77" t="s">
        <v>621</v>
      </c>
      <c r="H659" t="str">
        <f>VLOOKUP(D659,'DETALLE PRECIO INGREDIENTES'!B:B,1,0)</f>
        <v>CEBOLLIN</v>
      </c>
    </row>
    <row r="660" spans="2:8" ht="15.5" hidden="1" x14ac:dyDescent="0.35">
      <c r="B660" s="75" t="s">
        <v>199</v>
      </c>
      <c r="C660" s="79" t="s">
        <v>169</v>
      </c>
      <c r="D660" s="73" t="s">
        <v>627</v>
      </c>
      <c r="E660" s="74">
        <v>0.02</v>
      </c>
      <c r="F660" s="78" t="s">
        <v>237</v>
      </c>
      <c r="G660" s="77" t="s">
        <v>621</v>
      </c>
      <c r="H660" t="str">
        <f>VLOOKUP(D660,'DETALLE PRECIO INGREDIENTES'!B:B,1,0)</f>
        <v>AJI VERDE</v>
      </c>
    </row>
    <row r="661" spans="2:8" ht="15.5" hidden="1" x14ac:dyDescent="0.35">
      <c r="B661" s="75" t="s">
        <v>199</v>
      </c>
      <c r="C661" s="79" t="s">
        <v>169</v>
      </c>
      <c r="D661" s="73" t="s">
        <v>230</v>
      </c>
      <c r="E661" s="74">
        <v>2.5000000000000001E-2</v>
      </c>
      <c r="F661" s="78" t="s">
        <v>222</v>
      </c>
      <c r="G661" s="77" t="s">
        <v>220</v>
      </c>
      <c r="H661" t="str">
        <f>VLOOKUP(D661,'DETALLE PRECIO INGREDIENTES'!B:B,1,0)</f>
        <v>ACEITE DE OLIVA</v>
      </c>
    </row>
    <row r="662" spans="2:8" ht="15.5" hidden="1" x14ac:dyDescent="0.35">
      <c r="B662" s="75" t="s">
        <v>199</v>
      </c>
      <c r="C662" s="79" t="s">
        <v>169</v>
      </c>
      <c r="D662" s="73" t="s">
        <v>680</v>
      </c>
      <c r="E662" s="74">
        <v>0.14000000000000001</v>
      </c>
      <c r="F662" s="78" t="s">
        <v>237</v>
      </c>
      <c r="G662" s="77" t="s">
        <v>621</v>
      </c>
      <c r="H662" t="str">
        <f>VLOOKUP(D662,'DETALLE PRECIO INGREDIENTES'!B:B,1,0)</f>
        <v>LIMON DE JUGO</v>
      </c>
    </row>
    <row r="663" spans="2:8" ht="15.5" hidden="1" x14ac:dyDescent="0.35">
      <c r="B663" s="75" t="s">
        <v>199</v>
      </c>
      <c r="C663" s="79" t="s">
        <v>169</v>
      </c>
      <c r="D663" s="73" t="s">
        <v>838</v>
      </c>
      <c r="E663" s="74">
        <v>0.1</v>
      </c>
      <c r="F663" s="78" t="s">
        <v>237</v>
      </c>
      <c r="G663" s="77" t="s">
        <v>806</v>
      </c>
      <c r="H663" t="str">
        <f>VLOOKUP(D663,'DETALLE PRECIO INGREDIENTES'!B:B,1,0)</f>
        <v>SALMON FRESCO FILETE C/PIEL</v>
      </c>
    </row>
    <row r="664" spans="2:8" ht="15.5" hidden="1" x14ac:dyDescent="0.35">
      <c r="B664" s="75" t="s">
        <v>199</v>
      </c>
      <c r="C664" s="79" t="s">
        <v>169</v>
      </c>
      <c r="D664" s="73" t="s">
        <v>649</v>
      </c>
      <c r="E664" s="74">
        <v>1</v>
      </c>
      <c r="F664" s="78" t="s">
        <v>259</v>
      </c>
      <c r="G664" s="77" t="s">
        <v>621</v>
      </c>
      <c r="H664" t="str">
        <f>VLOOKUP(D664,'DETALLE PRECIO INGREDIENTES'!B:B,1,0)</f>
        <v>CHALOTA</v>
      </c>
    </row>
    <row r="665" spans="2:8" ht="15.5" hidden="1" x14ac:dyDescent="0.35">
      <c r="B665" s="75" t="s">
        <v>199</v>
      </c>
      <c r="C665" s="79" t="s">
        <v>169</v>
      </c>
      <c r="D665" s="73" t="s">
        <v>878</v>
      </c>
      <c r="E665" s="74">
        <v>0.06</v>
      </c>
      <c r="F665" s="78" t="s">
        <v>222</v>
      </c>
      <c r="G665" s="77" t="s">
        <v>876</v>
      </c>
      <c r="H665" t="str">
        <f>VLOOKUP(D665,'DETALLE PRECIO INGREDIENTES'!B:B,1,0)</f>
        <v>VINO BLANCO TETRA PACK</v>
      </c>
    </row>
    <row r="666" spans="2:8" ht="15.5" hidden="1" x14ac:dyDescent="0.35">
      <c r="B666" s="75" t="s">
        <v>199</v>
      </c>
      <c r="C666" s="79" t="s">
        <v>169</v>
      </c>
      <c r="D666" s="73" t="s">
        <v>472</v>
      </c>
      <c r="E666" s="74">
        <v>0.04</v>
      </c>
      <c r="F666" s="78" t="s">
        <v>222</v>
      </c>
      <c r="G666" s="77" t="s">
        <v>220</v>
      </c>
      <c r="H666" t="str">
        <f>VLOOKUP(D666,'DETALLE PRECIO INGREDIENTES'!B:B,1,0)</f>
        <v>VINAGRE BLANCO</v>
      </c>
    </row>
    <row r="667" spans="2:8" ht="15.5" hidden="1" x14ac:dyDescent="0.35">
      <c r="B667" s="75" t="s">
        <v>199</v>
      </c>
      <c r="C667" s="79" t="s">
        <v>169</v>
      </c>
      <c r="D667" s="73" t="s">
        <v>750</v>
      </c>
      <c r="E667" s="74">
        <v>0.1</v>
      </c>
      <c r="F667" s="78" t="s">
        <v>237</v>
      </c>
      <c r="G667" s="77" t="s">
        <v>736</v>
      </c>
      <c r="H667" t="str">
        <f>VLOOKUP(D667,'DETALLE PRECIO INGREDIENTES'!B:B,1,0)</f>
        <v>MANTEQUILLA CON SAL</v>
      </c>
    </row>
    <row r="668" spans="2:8" ht="15.5" hidden="1" x14ac:dyDescent="0.35">
      <c r="B668" s="75" t="s">
        <v>199</v>
      </c>
      <c r="C668" s="79" t="s">
        <v>169</v>
      </c>
      <c r="D668" s="73" t="s">
        <v>680</v>
      </c>
      <c r="E668" s="74">
        <v>0.06</v>
      </c>
      <c r="F668" s="78" t="s">
        <v>237</v>
      </c>
      <c r="G668" s="77" t="s">
        <v>621</v>
      </c>
      <c r="H668" t="str">
        <f>VLOOKUP(D668,'DETALLE PRECIO INGREDIENTES'!B:B,1,0)</f>
        <v>LIMON DE JUGO</v>
      </c>
    </row>
    <row r="669" spans="2:8" ht="15.5" hidden="1" x14ac:dyDescent="0.35">
      <c r="B669" s="75" t="s">
        <v>199</v>
      </c>
      <c r="C669" s="79" t="s">
        <v>169</v>
      </c>
      <c r="D669" s="73" t="s">
        <v>445</v>
      </c>
      <c r="E669" s="74">
        <v>0.03</v>
      </c>
      <c r="F669" s="78" t="s">
        <v>237</v>
      </c>
      <c r="G669" s="77" t="s">
        <v>220</v>
      </c>
      <c r="H669" t="str">
        <f>VLOOKUP(D669,'DETALLE PRECIO INGREDIENTES'!B:B,1,0)</f>
        <v>SAL DE MESA LOBOS</v>
      </c>
    </row>
    <row r="670" spans="2:8" ht="15.5" hidden="1" x14ac:dyDescent="0.35">
      <c r="B670" s="75" t="s">
        <v>199</v>
      </c>
      <c r="C670" s="79" t="s">
        <v>169</v>
      </c>
      <c r="D670" s="73" t="s">
        <v>427</v>
      </c>
      <c r="E670" s="74">
        <v>1E-3</v>
      </c>
      <c r="F670" s="78" t="s">
        <v>237</v>
      </c>
      <c r="G670" s="77" t="s">
        <v>220</v>
      </c>
      <c r="H670" t="str">
        <f>VLOOKUP(D670,'DETALLE PRECIO INGREDIENTES'!B:B,1,0)</f>
        <v>PIMIENTA NEGRA ENTERA</v>
      </c>
    </row>
    <row r="671" spans="2:8" ht="15.5" x14ac:dyDescent="0.35">
      <c r="B671" s="75" t="s">
        <v>199</v>
      </c>
      <c r="C671" s="79" t="s">
        <v>168</v>
      </c>
      <c r="D671" s="73" t="s">
        <v>904</v>
      </c>
      <c r="E671" s="74">
        <v>0.5</v>
      </c>
      <c r="F671" s="78" t="s">
        <v>259</v>
      </c>
      <c r="G671" s="77" t="s">
        <v>839</v>
      </c>
      <c r="H671" t="e">
        <f>VLOOKUP(D671,'DETALLE PRECIO INGREDIENTES'!B:B,1,0)</f>
        <v>#N/A</v>
      </c>
    </row>
    <row r="672" spans="2:8" ht="15.5" hidden="1" x14ac:dyDescent="0.35">
      <c r="B672" s="75" t="s">
        <v>199</v>
      </c>
      <c r="C672" s="79" t="s">
        <v>168</v>
      </c>
      <c r="D672" s="73" t="s">
        <v>757</v>
      </c>
      <c r="E672" s="74">
        <v>0.04</v>
      </c>
      <c r="F672" s="78" t="s">
        <v>237</v>
      </c>
      <c r="G672" s="77" t="s">
        <v>736</v>
      </c>
      <c r="H672" t="str">
        <f>VLOOKUP(D672,'DETALLE PRECIO INGREDIENTES'!B:B,1,0)</f>
        <v>QUESO CHANCO LAMINADO</v>
      </c>
    </row>
    <row r="673" spans="2:8" ht="15.5" hidden="1" x14ac:dyDescent="0.35">
      <c r="B673" s="75" t="s">
        <v>199</v>
      </c>
      <c r="C673" s="79" t="s">
        <v>168</v>
      </c>
      <c r="D673" s="73" t="s">
        <v>733</v>
      </c>
      <c r="E673" s="74">
        <v>0.04</v>
      </c>
      <c r="F673" s="78" t="s">
        <v>237</v>
      </c>
      <c r="G673" s="77" t="s">
        <v>731</v>
      </c>
      <c r="H673" t="str">
        <f>VLOOKUP(D673,'DETALLE PRECIO INGREDIENTES'!B:B,1,0)</f>
        <v>JAMON PIERNA LAMINADO</v>
      </c>
    </row>
    <row r="674" spans="2:8" ht="15.5" hidden="1" x14ac:dyDescent="0.35">
      <c r="B674" s="75" t="s">
        <v>199</v>
      </c>
      <c r="C674" s="79" t="s">
        <v>168</v>
      </c>
      <c r="D674" s="73" t="s">
        <v>729</v>
      </c>
      <c r="E674" s="74">
        <v>2</v>
      </c>
      <c r="F674" s="78" t="s">
        <v>259</v>
      </c>
      <c r="G674" s="77" t="s">
        <v>728</v>
      </c>
      <c r="H674" t="str">
        <f>VLOOKUP(D674,'DETALLE PRECIO INGREDIENTES'!B:B,1,0)</f>
        <v>HUEVO EXTRA BLANCO</v>
      </c>
    </row>
    <row r="675" spans="2:8" ht="15.5" hidden="1" x14ac:dyDescent="0.35">
      <c r="B675" s="75" t="s">
        <v>199</v>
      </c>
      <c r="C675" s="79" t="s">
        <v>168</v>
      </c>
      <c r="D675" s="73" t="s">
        <v>354</v>
      </c>
      <c r="E675" s="74">
        <v>0.05</v>
      </c>
      <c r="F675" s="78" t="s">
        <v>237</v>
      </c>
      <c r="G675" s="77" t="s">
        <v>220</v>
      </c>
      <c r="H675" t="str">
        <f>VLOOKUP(D675,'DETALLE PRECIO INGREDIENTES'!B:B,1,0)</f>
        <v>HARINA BIZCOCHERA</v>
      </c>
    </row>
    <row r="676" spans="2:8" ht="15.5" hidden="1" x14ac:dyDescent="0.35">
      <c r="B676" s="75" t="s">
        <v>199</v>
      </c>
      <c r="C676" s="79" t="s">
        <v>168</v>
      </c>
      <c r="D676" s="73" t="s">
        <v>409</v>
      </c>
      <c r="E676" s="74">
        <v>0.05</v>
      </c>
      <c r="F676" s="78" t="s">
        <v>237</v>
      </c>
      <c r="G676" s="77" t="s">
        <v>220</v>
      </c>
      <c r="H676" t="str">
        <f>VLOOKUP(D676,'DETALLE PRECIO INGREDIENTES'!B:B,1,0)</f>
        <v>PAN RALLADO</v>
      </c>
    </row>
    <row r="677" spans="2:8" ht="15.5" hidden="1" x14ac:dyDescent="0.35">
      <c r="B677" s="75" t="s">
        <v>199</v>
      </c>
      <c r="C677" s="79" t="s">
        <v>168</v>
      </c>
      <c r="D677" s="73" t="s">
        <v>233</v>
      </c>
      <c r="E677" s="74">
        <v>0.3</v>
      </c>
      <c r="F677" s="78" t="s">
        <v>222</v>
      </c>
      <c r="G677" s="77" t="s">
        <v>220</v>
      </c>
      <c r="H677" t="str">
        <f>VLOOKUP(D677,'DETALLE PRECIO INGREDIENTES'!B:B,1,0)</f>
        <v>ACEITE PARA FREIR</v>
      </c>
    </row>
    <row r="678" spans="2:8" ht="15.5" hidden="1" x14ac:dyDescent="0.35">
      <c r="B678" s="75" t="s">
        <v>199</v>
      </c>
      <c r="C678" s="79" t="s">
        <v>168</v>
      </c>
      <c r="D678" s="73" t="s">
        <v>723</v>
      </c>
      <c r="E678" s="74">
        <v>0.5</v>
      </c>
      <c r="F678" s="78" t="s">
        <v>259</v>
      </c>
      <c r="G678" s="77" t="s">
        <v>621</v>
      </c>
      <c r="H678" t="str">
        <f>VLOOKUP(D678,'DETALLE PRECIO INGREDIENTES'!B:B,1,0)</f>
        <v>ZAPALLO ITALIANO</v>
      </c>
    </row>
    <row r="679" spans="2:8" ht="15.5" hidden="1" x14ac:dyDescent="0.35">
      <c r="B679" s="75" t="s">
        <v>199</v>
      </c>
      <c r="C679" s="79" t="s">
        <v>168</v>
      </c>
      <c r="D679" s="73" t="s">
        <v>641</v>
      </c>
      <c r="E679" s="74">
        <v>0.25</v>
      </c>
      <c r="F679" s="78" t="s">
        <v>259</v>
      </c>
      <c r="G679" s="77" t="s">
        <v>621</v>
      </c>
      <c r="H679" t="str">
        <f>VLOOKUP(D679,'DETALLE PRECIO INGREDIENTES'!B:B,1,0)</f>
        <v>BROCOLI</v>
      </c>
    </row>
    <row r="680" spans="2:8" ht="15.5" hidden="1" x14ac:dyDescent="0.35">
      <c r="B680" s="75" t="s">
        <v>199</v>
      </c>
      <c r="C680" s="79" t="s">
        <v>168</v>
      </c>
      <c r="D680" s="73" t="s">
        <v>659</v>
      </c>
      <c r="E680" s="74">
        <v>0.25</v>
      </c>
      <c r="F680" s="78" t="s">
        <v>259</v>
      </c>
      <c r="G680" s="77" t="s">
        <v>621</v>
      </c>
      <c r="H680" t="str">
        <f>VLOOKUP(D680,'DETALLE PRECIO INGREDIENTES'!B:B,1,0)</f>
        <v>COLIFLOR</v>
      </c>
    </row>
    <row r="681" spans="2:8" ht="15.5" hidden="1" x14ac:dyDescent="0.35">
      <c r="B681" s="75" t="s">
        <v>199</v>
      </c>
      <c r="C681" s="79" t="s">
        <v>168</v>
      </c>
      <c r="D681" s="73" t="s">
        <v>720</v>
      </c>
      <c r="E681" s="74">
        <v>0.05</v>
      </c>
      <c r="F681" s="78" t="s">
        <v>237</v>
      </c>
      <c r="G681" s="77" t="s">
        <v>621</v>
      </c>
      <c r="H681" t="str">
        <f>VLOOKUP(D681,'DETALLE PRECIO INGREDIENTES'!B:B,1,0)</f>
        <v>ZANAHORIA</v>
      </c>
    </row>
    <row r="682" spans="2:8" ht="15.5" hidden="1" x14ac:dyDescent="0.35">
      <c r="B682" s="75" t="s">
        <v>199</v>
      </c>
      <c r="C682" s="79" t="s">
        <v>168</v>
      </c>
      <c r="D682" s="73" t="s">
        <v>702</v>
      </c>
      <c r="E682" s="74">
        <v>0.3</v>
      </c>
      <c r="F682" s="78" t="s">
        <v>259</v>
      </c>
      <c r="G682" s="77" t="s">
        <v>621</v>
      </c>
      <c r="H682" t="str">
        <f>VLOOKUP(D682,'DETALLE PRECIO INGREDIENTES'!B:B,1,0)</f>
        <v>PIMIENTO ROJO</v>
      </c>
    </row>
    <row r="683" spans="2:8" ht="15.5" hidden="1" x14ac:dyDescent="0.35">
      <c r="B683" s="75" t="s">
        <v>199</v>
      </c>
      <c r="C683" s="79" t="s">
        <v>168</v>
      </c>
      <c r="D683" s="73" t="s">
        <v>653</v>
      </c>
      <c r="E683" s="74">
        <v>0.03</v>
      </c>
      <c r="F683" s="78" t="s">
        <v>237</v>
      </c>
      <c r="G683" s="77" t="s">
        <v>621</v>
      </c>
      <c r="H683" t="str">
        <f>VLOOKUP(D683,'DETALLE PRECIO INGREDIENTES'!B:B,1,0)</f>
        <v>CHOCLO GRANO CONGELADO</v>
      </c>
    </row>
    <row r="684" spans="2:8" ht="15.5" hidden="1" x14ac:dyDescent="0.35">
      <c r="B684" s="75" t="s">
        <v>199</v>
      </c>
      <c r="C684" s="79" t="s">
        <v>168</v>
      </c>
      <c r="D684" s="73" t="s">
        <v>750</v>
      </c>
      <c r="E684" s="74">
        <v>0.02</v>
      </c>
      <c r="F684" s="78" t="s">
        <v>237</v>
      </c>
      <c r="G684" s="77" t="s">
        <v>736</v>
      </c>
      <c r="H684" t="str">
        <f>VLOOKUP(D684,'DETALLE PRECIO INGREDIENTES'!B:B,1,0)</f>
        <v>MANTEQUILLA CON SAL</v>
      </c>
    </row>
    <row r="685" spans="2:8" ht="15.5" hidden="1" x14ac:dyDescent="0.35">
      <c r="B685" s="75" t="s">
        <v>199</v>
      </c>
      <c r="C685" s="79" t="s">
        <v>168</v>
      </c>
      <c r="D685" s="73" t="s">
        <v>228</v>
      </c>
      <c r="E685" s="74">
        <v>0.06</v>
      </c>
      <c r="F685" s="78" t="s">
        <v>222</v>
      </c>
      <c r="G685" s="77" t="s">
        <v>220</v>
      </c>
      <c r="H685" t="str">
        <f>VLOOKUP(D685,'DETALLE PRECIO INGREDIENTES'!B:B,1,0)</f>
        <v>ACEITE DE MARAVILLA</v>
      </c>
    </row>
    <row r="686" spans="2:8" ht="15.5" hidden="1" x14ac:dyDescent="0.35">
      <c r="B686" s="75" t="s">
        <v>199</v>
      </c>
      <c r="C686" s="79" t="s">
        <v>168</v>
      </c>
      <c r="D686" s="73" t="s">
        <v>882</v>
      </c>
      <c r="E686" s="74">
        <v>0.1</v>
      </c>
      <c r="F686" s="78" t="s">
        <v>222</v>
      </c>
      <c r="G686" s="77" t="s">
        <v>876</v>
      </c>
      <c r="H686" t="str">
        <f>VLOOKUP(D686,'DETALLE PRECIO INGREDIENTES'!B:B,1,0)</f>
        <v>VINO TINTO TETRA</v>
      </c>
    </row>
    <row r="687" spans="2:8" ht="15.5" hidden="1" x14ac:dyDescent="0.35">
      <c r="B687" s="75" t="s">
        <v>199</v>
      </c>
      <c r="C687" s="79" t="s">
        <v>168</v>
      </c>
      <c r="D687" s="73" t="s">
        <v>277</v>
      </c>
      <c r="E687" s="74">
        <v>0.05</v>
      </c>
      <c r="F687" s="78" t="s">
        <v>237</v>
      </c>
      <c r="G687" s="77" t="s">
        <v>220</v>
      </c>
      <c r="H687" t="str">
        <f>VLOOKUP(D687,'DETALLE PRECIO INGREDIENTES'!B:B,1,0)</f>
        <v>AZUCAR BLANCA GRANULADA</v>
      </c>
    </row>
    <row r="688" spans="2:8" ht="15.5" hidden="1" x14ac:dyDescent="0.35">
      <c r="B688" s="75" t="s">
        <v>199</v>
      </c>
      <c r="C688" s="79" t="s">
        <v>168</v>
      </c>
      <c r="D688" s="73" t="s">
        <v>445</v>
      </c>
      <c r="E688" s="74">
        <v>0.03</v>
      </c>
      <c r="F688" s="78" t="s">
        <v>237</v>
      </c>
      <c r="G688" s="77" t="s">
        <v>220</v>
      </c>
      <c r="H688" t="str">
        <f>VLOOKUP(D688,'DETALLE PRECIO INGREDIENTES'!B:B,1,0)</f>
        <v>SAL DE MESA LOBOS</v>
      </c>
    </row>
    <row r="689" spans="2:8" ht="15.5" hidden="1" x14ac:dyDescent="0.35">
      <c r="B689" s="75" t="s">
        <v>199</v>
      </c>
      <c r="C689" s="79" t="s">
        <v>168</v>
      </c>
      <c r="D689" s="73" t="s">
        <v>428</v>
      </c>
      <c r="E689" s="74">
        <v>2E-3</v>
      </c>
      <c r="F689" s="78" t="s">
        <v>237</v>
      </c>
      <c r="G689" s="77" t="s">
        <v>220</v>
      </c>
      <c r="H689" t="str">
        <f>VLOOKUP(D689,'DETALLE PRECIO INGREDIENTES'!B:B,1,0)</f>
        <v>PIMIENTA NEGRA MOLIDA</v>
      </c>
    </row>
    <row r="690" spans="2:8" ht="15.5" hidden="1" x14ac:dyDescent="0.35">
      <c r="B690" s="75" t="s">
        <v>199</v>
      </c>
      <c r="C690" s="79" t="s">
        <v>168</v>
      </c>
      <c r="D690" s="73" t="s">
        <v>678</v>
      </c>
      <c r="E690" s="74">
        <v>0.25</v>
      </c>
      <c r="F690" s="78" t="s">
        <v>259</v>
      </c>
      <c r="G690" s="77" t="s">
        <v>621</v>
      </c>
      <c r="H690" t="str">
        <f>VLOOKUP(D690,'DETALLE PRECIO INGREDIENTES'!B:B,1,0)</f>
        <v>LECHUGA LOLLO GREEN</v>
      </c>
    </row>
    <row r="691" spans="2:8" ht="15.5" hidden="1" x14ac:dyDescent="0.35">
      <c r="B691" s="75" t="s">
        <v>199</v>
      </c>
      <c r="C691" s="79" t="s">
        <v>168</v>
      </c>
      <c r="D691" s="73" t="s">
        <v>680</v>
      </c>
      <c r="E691" s="74">
        <v>0.3</v>
      </c>
      <c r="F691" s="78" t="s">
        <v>237</v>
      </c>
      <c r="G691" s="77" t="s">
        <v>621</v>
      </c>
      <c r="H691" t="str">
        <f>VLOOKUP(D691,'DETALLE PRECIO INGREDIENTES'!B:B,1,0)</f>
        <v>LIMON DE JUGO</v>
      </c>
    </row>
    <row r="692" spans="2:8" ht="15.5" hidden="1" x14ac:dyDescent="0.35">
      <c r="B692" s="75" t="s">
        <v>199</v>
      </c>
      <c r="C692" s="79" t="s">
        <v>168</v>
      </c>
      <c r="D692" s="73" t="s">
        <v>397</v>
      </c>
      <c r="E692" s="74">
        <v>0.01</v>
      </c>
      <c r="F692" s="78" t="s">
        <v>237</v>
      </c>
      <c r="G692" s="77" t="s">
        <v>220</v>
      </c>
      <c r="H692" t="str">
        <f>VLOOKUP(D692,'DETALLE PRECIO INGREDIENTES'!B:B,1,0)</f>
        <v>MOSTAZA</v>
      </c>
    </row>
    <row r="693" spans="2:8" ht="15.5" hidden="1" x14ac:dyDescent="0.35">
      <c r="B693" s="75" t="s">
        <v>199</v>
      </c>
      <c r="C693" s="79" t="s">
        <v>168</v>
      </c>
      <c r="D693" s="73" t="s">
        <v>687</v>
      </c>
      <c r="E693" s="74">
        <v>0.1</v>
      </c>
      <c r="F693" s="78" t="s">
        <v>259</v>
      </c>
      <c r="G693" s="77" t="s">
        <v>621</v>
      </c>
      <c r="H693" t="str">
        <f>VLOOKUP(D693,'DETALLE PRECIO INGREDIENTES'!B:B,1,0)</f>
        <v>MIX HOJAS VERDES</v>
      </c>
    </row>
    <row r="694" spans="2:8" ht="15.5" hidden="1" x14ac:dyDescent="0.35">
      <c r="B694" s="75" t="s">
        <v>199</v>
      </c>
      <c r="C694" s="79" t="s">
        <v>168</v>
      </c>
      <c r="D694" s="73" t="s">
        <v>411</v>
      </c>
      <c r="E694" s="74">
        <v>0.1</v>
      </c>
      <c r="F694" s="78" t="s">
        <v>237</v>
      </c>
      <c r="G694" s="77" t="s">
        <v>621</v>
      </c>
      <c r="H694" t="str">
        <f>VLOOKUP(D694,'DETALLE PRECIO INGREDIENTES'!B:B,1,0)</f>
        <v>PAPAS</v>
      </c>
    </row>
    <row r="695" spans="2:8" ht="15.5" hidden="1" x14ac:dyDescent="0.35">
      <c r="B695" s="75" t="s">
        <v>199</v>
      </c>
      <c r="C695" s="79" t="s">
        <v>168</v>
      </c>
      <c r="D695" s="73" t="s">
        <v>748</v>
      </c>
      <c r="E695" s="74">
        <v>0.03</v>
      </c>
      <c r="F695" s="78" t="s">
        <v>222</v>
      </c>
      <c r="G695" s="77" t="s">
        <v>736</v>
      </c>
      <c r="H695" t="str">
        <f>VLOOKUP(D695,'DETALLE PRECIO INGREDIENTES'!B:B,1,0)</f>
        <v>LECHE ENTERA</v>
      </c>
    </row>
    <row r="696" spans="2:8" ht="15.5" hidden="1" x14ac:dyDescent="0.35">
      <c r="B696" s="75" t="s">
        <v>199</v>
      </c>
      <c r="C696" s="79" t="s">
        <v>168</v>
      </c>
      <c r="D696" s="73" t="s">
        <v>750</v>
      </c>
      <c r="E696" s="74">
        <v>0.03</v>
      </c>
      <c r="F696" s="78" t="s">
        <v>237</v>
      </c>
      <c r="G696" s="77" t="s">
        <v>736</v>
      </c>
      <c r="H696" t="str">
        <f>VLOOKUP(D696,'DETALLE PRECIO INGREDIENTES'!B:B,1,0)</f>
        <v>MANTEQUILLA CON SAL</v>
      </c>
    </row>
    <row r="697" spans="2:8" ht="15.5" hidden="1" x14ac:dyDescent="0.35">
      <c r="B697" s="75" t="s">
        <v>199</v>
      </c>
      <c r="C697" s="79" t="s">
        <v>168</v>
      </c>
      <c r="D697" s="73" t="s">
        <v>404</v>
      </c>
      <c r="E697" s="74">
        <v>3.0000000000000001E-3</v>
      </c>
      <c r="F697" s="78" t="s">
        <v>237</v>
      </c>
      <c r="G697" s="77" t="s">
        <v>220</v>
      </c>
      <c r="H697" t="str">
        <f>VLOOKUP(D697,'DETALLE PRECIO INGREDIENTES'!B:B,1,0)</f>
        <v>NUEZ MOSCADA ENTERA</v>
      </c>
    </row>
    <row r="698" spans="2:8" ht="15.5" hidden="1" x14ac:dyDescent="0.35">
      <c r="B698" s="75" t="s">
        <v>199</v>
      </c>
      <c r="C698" s="79" t="s">
        <v>168</v>
      </c>
      <c r="D698" s="73" t="s">
        <v>722</v>
      </c>
      <c r="E698" s="74">
        <v>7.0000000000000007E-2</v>
      </c>
      <c r="F698" s="78" t="s">
        <v>237</v>
      </c>
      <c r="G698" s="77" t="s">
        <v>621</v>
      </c>
      <c r="H698" t="str">
        <f>VLOOKUP(D698,'DETALLE PRECIO INGREDIENTES'!B:B,1,0)</f>
        <v>ZAPALLO CAMOTE</v>
      </c>
    </row>
    <row r="699" spans="2:8" ht="15.5" hidden="1" x14ac:dyDescent="0.35">
      <c r="B699" s="75" t="s">
        <v>135</v>
      </c>
      <c r="C699" s="75" t="s">
        <v>133</v>
      </c>
      <c r="D699" s="73" t="s">
        <v>362</v>
      </c>
      <c r="E699" s="74">
        <v>0.1</v>
      </c>
      <c r="F699" s="78" t="s">
        <v>237</v>
      </c>
      <c r="G699" s="77" t="s">
        <v>220</v>
      </c>
      <c r="H699" t="str">
        <f>VLOOKUP(D699,'DETALLE PRECIO INGREDIENTES'!B:B,1,0)</f>
        <v>HARINA PANADERA SOBRE 13 GR</v>
      </c>
    </row>
    <row r="700" spans="2:8" ht="15.5" hidden="1" x14ac:dyDescent="0.35">
      <c r="B700" s="75" t="s">
        <v>135</v>
      </c>
      <c r="C700" s="75" t="s">
        <v>133</v>
      </c>
      <c r="D700" s="73" t="s">
        <v>729</v>
      </c>
      <c r="E700" s="74">
        <v>1.25</v>
      </c>
      <c r="F700" s="78" t="s">
        <v>259</v>
      </c>
      <c r="G700" s="77" t="s">
        <v>728</v>
      </c>
      <c r="H700" t="str">
        <f>VLOOKUP(D700,'DETALLE PRECIO INGREDIENTES'!B:B,1,0)</f>
        <v>HUEVO EXTRA BLANCO</v>
      </c>
    </row>
    <row r="701" spans="2:8" ht="15.5" hidden="1" x14ac:dyDescent="0.35">
      <c r="B701" s="75" t="s">
        <v>135</v>
      </c>
      <c r="C701" s="75" t="s">
        <v>133</v>
      </c>
      <c r="D701" s="73" t="s">
        <v>464</v>
      </c>
      <c r="E701" s="74">
        <v>1.7500000000000002E-2</v>
      </c>
      <c r="F701" s="78" t="s">
        <v>259</v>
      </c>
      <c r="G701" s="77" t="s">
        <v>220</v>
      </c>
      <c r="H701" t="str">
        <f>VLOOKUP(D701,'DETALLE PRECIO INGREDIENTES'!B:B,1,0)</f>
        <v>TINTA DE SEPIA O CALAMAR</v>
      </c>
    </row>
    <row r="702" spans="2:8" ht="15.5" hidden="1" x14ac:dyDescent="0.35">
      <c r="B702" s="75" t="s">
        <v>135</v>
      </c>
      <c r="C702" s="75" t="s">
        <v>133</v>
      </c>
      <c r="D702" s="73" t="s">
        <v>460</v>
      </c>
      <c r="E702" s="74">
        <v>1.4999999999999999E-2</v>
      </c>
      <c r="F702" s="78" t="s">
        <v>237</v>
      </c>
      <c r="G702" s="77" t="s">
        <v>220</v>
      </c>
      <c r="H702" t="str">
        <f>VLOOKUP(D702,'DETALLE PRECIO INGREDIENTES'!B:B,1,0)</f>
        <v>SEMOLINA</v>
      </c>
    </row>
    <row r="703" spans="2:8" ht="15.5" hidden="1" x14ac:dyDescent="0.35">
      <c r="B703" s="75" t="s">
        <v>135</v>
      </c>
      <c r="C703" s="75" t="s">
        <v>133</v>
      </c>
      <c r="D703" s="73" t="s">
        <v>748</v>
      </c>
      <c r="E703" s="74">
        <v>0.08</v>
      </c>
      <c r="F703" s="78" t="s">
        <v>222</v>
      </c>
      <c r="G703" s="77" t="s">
        <v>736</v>
      </c>
      <c r="H703" t="str">
        <f>VLOOKUP(D703,'DETALLE PRECIO INGREDIENTES'!B:B,1,0)</f>
        <v>LECHE ENTERA</v>
      </c>
    </row>
    <row r="704" spans="2:8" ht="15.5" hidden="1" x14ac:dyDescent="0.35">
      <c r="B704" s="75" t="s">
        <v>135</v>
      </c>
      <c r="C704" s="75" t="s">
        <v>133</v>
      </c>
      <c r="D704" s="73" t="s">
        <v>725</v>
      </c>
      <c r="E704" s="74">
        <v>0.03</v>
      </c>
      <c r="F704" s="78" t="s">
        <v>237</v>
      </c>
      <c r="G704" s="77" t="s">
        <v>724</v>
      </c>
      <c r="H704" t="str">
        <f>VLOOKUP(D704,'DETALLE PRECIO INGREDIENTES'!B:B,1,0)</f>
        <v>NUEZ CUARTILLO</v>
      </c>
    </row>
    <row r="705" spans="2:8" ht="15.5" hidden="1" x14ac:dyDescent="0.35">
      <c r="B705" s="75" t="s">
        <v>135</v>
      </c>
      <c r="C705" s="75" t="s">
        <v>133</v>
      </c>
      <c r="D705" s="73" t="s">
        <v>428</v>
      </c>
      <c r="E705" s="74">
        <v>2.5000000000000001E-4</v>
      </c>
      <c r="F705" s="78" t="s">
        <v>237</v>
      </c>
      <c r="G705" s="77" t="s">
        <v>220</v>
      </c>
      <c r="H705" t="str">
        <f>VLOOKUP(D705,'DETALLE PRECIO INGREDIENTES'!B:B,1,0)</f>
        <v>PIMIENTA NEGRA MOLIDA</v>
      </c>
    </row>
    <row r="706" spans="2:8" ht="15.5" hidden="1" x14ac:dyDescent="0.35">
      <c r="B706" s="75" t="s">
        <v>135</v>
      </c>
      <c r="C706" s="75" t="s">
        <v>133</v>
      </c>
      <c r="D706" s="73" t="s">
        <v>230</v>
      </c>
      <c r="E706" s="74">
        <v>0.08</v>
      </c>
      <c r="F706" s="78" t="s">
        <v>222</v>
      </c>
      <c r="G706" s="77" t="s">
        <v>220</v>
      </c>
      <c r="H706" t="str">
        <f>VLOOKUP(D706,'DETALLE PRECIO INGREDIENTES'!B:B,1,0)</f>
        <v>ACEITE DE OLIVA</v>
      </c>
    </row>
    <row r="707" spans="2:8" ht="15.5" hidden="1" x14ac:dyDescent="0.35">
      <c r="B707" s="75" t="s">
        <v>135</v>
      </c>
      <c r="C707" s="75" t="s">
        <v>133</v>
      </c>
      <c r="D707" s="73" t="s">
        <v>473</v>
      </c>
      <c r="E707" s="74">
        <v>1E-3</v>
      </c>
      <c r="F707" s="78" t="s">
        <v>222</v>
      </c>
      <c r="G707" s="77" t="s">
        <v>220</v>
      </c>
      <c r="H707" t="str">
        <f>VLOOKUP(D707,'DETALLE PRECIO INGREDIENTES'!B:B,1,0)</f>
        <v>VINAGRE DE ALCOHOL</v>
      </c>
    </row>
    <row r="708" spans="2:8" ht="15.5" hidden="1" x14ac:dyDescent="0.35">
      <c r="B708" s="75" t="s">
        <v>135</v>
      </c>
      <c r="C708" s="75" t="s">
        <v>133</v>
      </c>
      <c r="D708" s="73" t="s">
        <v>629</v>
      </c>
      <c r="E708" s="74">
        <v>0.03</v>
      </c>
      <c r="F708" s="78" t="s">
        <v>237</v>
      </c>
      <c r="G708" s="77" t="s">
        <v>621</v>
      </c>
      <c r="H708" t="str">
        <f>VLOOKUP(D708,'DETALLE PRECIO INGREDIENTES'!B:B,1,0)</f>
        <v>ALBAHACA FRESCA</v>
      </c>
    </row>
    <row r="709" spans="2:8" ht="15.5" hidden="1" x14ac:dyDescent="0.35">
      <c r="B709" s="75" t="s">
        <v>135</v>
      </c>
      <c r="C709" s="75" t="s">
        <v>133</v>
      </c>
      <c r="D709" s="73" t="s">
        <v>628</v>
      </c>
      <c r="E709" s="74">
        <v>7.5000000000000011E-2</v>
      </c>
      <c r="F709" s="78" t="s">
        <v>259</v>
      </c>
      <c r="G709" s="77" t="s">
        <v>621</v>
      </c>
      <c r="H709" t="str">
        <f>VLOOKUP(D709,'DETALLE PRECIO INGREDIENTES'!B:B,1,0)</f>
        <v>AJO CABEZA</v>
      </c>
    </row>
    <row r="710" spans="2:8" ht="15.5" hidden="1" x14ac:dyDescent="0.35">
      <c r="B710" s="75" t="s">
        <v>135</v>
      </c>
      <c r="C710" s="75" t="s">
        <v>133</v>
      </c>
      <c r="D710" s="73" t="s">
        <v>769</v>
      </c>
      <c r="E710" s="74">
        <v>0.02</v>
      </c>
      <c r="F710" s="78" t="s">
        <v>237</v>
      </c>
      <c r="G710" s="77" t="s">
        <v>736</v>
      </c>
      <c r="H710" t="str">
        <f>VLOOKUP(D710,'DETALLE PRECIO INGREDIENTES'!B:B,1,0)</f>
        <v>QUESO PARMESANO</v>
      </c>
    </row>
    <row r="711" spans="2:8" ht="15.5" hidden="1" x14ac:dyDescent="0.35">
      <c r="B711" s="75" t="s">
        <v>135</v>
      </c>
      <c r="C711" s="75" t="s">
        <v>133</v>
      </c>
      <c r="D711" s="73" t="s">
        <v>445</v>
      </c>
      <c r="E711" s="74">
        <v>1E-3</v>
      </c>
      <c r="F711" s="78" t="s">
        <v>237</v>
      </c>
      <c r="G711" s="77" t="s">
        <v>220</v>
      </c>
      <c r="H711" t="str">
        <f>VLOOKUP(D711,'DETALLE PRECIO INGREDIENTES'!B:B,1,0)</f>
        <v>SAL DE MESA LOBOS</v>
      </c>
    </row>
    <row r="712" spans="2:8" ht="15.5" hidden="1" x14ac:dyDescent="0.35">
      <c r="B712" s="75" t="s">
        <v>135</v>
      </c>
      <c r="C712" s="75" t="s">
        <v>133</v>
      </c>
      <c r="D712" s="73" t="s">
        <v>698</v>
      </c>
      <c r="E712" s="74">
        <v>5.0000000000000001E-3</v>
      </c>
      <c r="F712" s="78" t="s">
        <v>237</v>
      </c>
      <c r="G712" s="77" t="s">
        <v>621</v>
      </c>
      <c r="H712" t="str">
        <f>VLOOKUP(D712,'DETALLE PRECIO INGREDIENTES'!B:B,1,0)</f>
        <v>PEREJIL</v>
      </c>
    </row>
    <row r="713" spans="2:8" ht="15.5" hidden="1" x14ac:dyDescent="0.35">
      <c r="B713" s="75" t="s">
        <v>135</v>
      </c>
      <c r="C713" s="75" t="s">
        <v>133</v>
      </c>
      <c r="D713" s="73" t="s">
        <v>717</v>
      </c>
      <c r="E713" s="74">
        <v>0.125</v>
      </c>
      <c r="F713" s="78" t="s">
        <v>237</v>
      </c>
      <c r="G713" s="77" t="s">
        <v>621</v>
      </c>
      <c r="H713" t="str">
        <f>VLOOKUP(D713,'DETALLE PRECIO INGREDIENTES'!B:B,1,0)</f>
        <v>TOMATE PELADO EN LATA</v>
      </c>
    </row>
    <row r="714" spans="2:8" ht="15.5" hidden="1" x14ac:dyDescent="0.35">
      <c r="B714" s="75" t="s">
        <v>135</v>
      </c>
      <c r="C714" s="75" t="s">
        <v>133</v>
      </c>
      <c r="D714" s="73" t="s">
        <v>370</v>
      </c>
      <c r="E714" s="74">
        <v>2.5000000000000001E-4</v>
      </c>
      <c r="F714" s="78" t="s">
        <v>237</v>
      </c>
      <c r="G714" s="77" t="s">
        <v>220</v>
      </c>
      <c r="H714" t="str">
        <f>VLOOKUP(D714,'DETALLE PRECIO INGREDIENTES'!B:B,1,0)</f>
        <v>LAUREL</v>
      </c>
    </row>
    <row r="715" spans="2:8" ht="15.5" hidden="1" x14ac:dyDescent="0.35">
      <c r="B715" s="75" t="s">
        <v>135</v>
      </c>
      <c r="C715" s="75" t="s">
        <v>133</v>
      </c>
      <c r="D715" s="73" t="s">
        <v>239</v>
      </c>
      <c r="E715" s="74">
        <v>0.02</v>
      </c>
      <c r="F715" s="78" t="s">
        <v>237</v>
      </c>
      <c r="G715" s="77" t="s">
        <v>220</v>
      </c>
      <c r="H715" t="str">
        <f>VLOOKUP(D715,'DETALLE PRECIO INGREDIENTES'!B:B,1,0)</f>
        <v>ACEITUNAS NEGRAS S/HUESO</v>
      </c>
    </row>
    <row r="716" spans="2:8" ht="15.5" hidden="1" x14ac:dyDescent="0.35">
      <c r="B716" s="75" t="s">
        <v>135</v>
      </c>
      <c r="C716" s="75" t="s">
        <v>133</v>
      </c>
      <c r="D716" s="73" t="s">
        <v>809</v>
      </c>
      <c r="E716" s="74">
        <v>5.0000000000000001E-3</v>
      </c>
      <c r="F716" s="78" t="s">
        <v>237</v>
      </c>
      <c r="G716" s="77" t="s">
        <v>806</v>
      </c>
      <c r="H716" t="str">
        <f>VLOOKUP(D716,'DETALLE PRECIO INGREDIENTES'!B:B,1,0)</f>
        <v>ANCHOAS FILETES</v>
      </c>
    </row>
    <row r="717" spans="2:8" ht="15.5" hidden="1" x14ac:dyDescent="0.35">
      <c r="B717" s="75" t="s">
        <v>135</v>
      </c>
      <c r="C717" s="75" t="s">
        <v>133</v>
      </c>
      <c r="D717" s="73" t="s">
        <v>256</v>
      </c>
      <c r="E717" s="74">
        <v>7.4999999999999997E-3</v>
      </c>
      <c r="F717" s="78" t="s">
        <v>237</v>
      </c>
      <c r="G717" s="77" t="s">
        <v>220</v>
      </c>
      <c r="H717" t="str">
        <f>VLOOKUP(D717,'DETALLE PRECIO INGREDIENTES'!B:B,1,0)</f>
        <v>ALCAPARRAS</v>
      </c>
    </row>
    <row r="718" spans="2:8" ht="15.5" hidden="1" x14ac:dyDescent="0.35">
      <c r="B718" s="75" t="s">
        <v>135</v>
      </c>
      <c r="C718" s="75" t="s">
        <v>133</v>
      </c>
      <c r="D718" s="73" t="s">
        <v>423</v>
      </c>
      <c r="E718" s="74">
        <v>5.0000000000000001E-4</v>
      </c>
      <c r="F718" s="78" t="s">
        <v>237</v>
      </c>
      <c r="G718" s="77" t="s">
        <v>220</v>
      </c>
      <c r="H718" t="str">
        <f>VLOOKUP(D718,'DETALLE PRECIO INGREDIENTES'!B:B,1,0)</f>
        <v>PEPERONCCINO O CHILE EN HOJUELAS</v>
      </c>
    </row>
    <row r="719" spans="2:8" ht="15.5" hidden="1" x14ac:dyDescent="0.35">
      <c r="B719" s="75" t="s">
        <v>135</v>
      </c>
      <c r="C719" s="75" t="s">
        <v>133</v>
      </c>
      <c r="D719" s="73" t="s">
        <v>235</v>
      </c>
      <c r="E719" s="74">
        <v>1.2500000000000001E-2</v>
      </c>
      <c r="F719" s="78" t="s">
        <v>222</v>
      </c>
      <c r="G719" s="77" t="s">
        <v>220</v>
      </c>
      <c r="H719" t="str">
        <f>VLOOKUP(D719,'DETALLE PRECIO INGREDIENTES'!B:B,1,0)</f>
        <v>ACEITE VEGETAL</v>
      </c>
    </row>
    <row r="720" spans="2:8" ht="15.5" hidden="1" x14ac:dyDescent="0.35">
      <c r="B720" s="75" t="s">
        <v>135</v>
      </c>
      <c r="C720" s="75" t="s">
        <v>132</v>
      </c>
      <c r="D720" s="73" t="s">
        <v>748</v>
      </c>
      <c r="E720" s="74">
        <v>0.32</v>
      </c>
      <c r="F720" s="78" t="s">
        <v>222</v>
      </c>
      <c r="G720" s="77" t="s">
        <v>736</v>
      </c>
      <c r="H720" t="str">
        <f>VLOOKUP(D720,'DETALLE PRECIO INGREDIENTES'!B:B,1,0)</f>
        <v>LECHE ENTERA</v>
      </c>
    </row>
    <row r="721" spans="2:8" ht="15.5" hidden="1" x14ac:dyDescent="0.35">
      <c r="B721" s="75" t="s">
        <v>135</v>
      </c>
      <c r="C721" s="75" t="s">
        <v>132</v>
      </c>
      <c r="D721" s="73" t="s">
        <v>750</v>
      </c>
      <c r="E721" s="74">
        <v>7.4999999999999997E-2</v>
      </c>
      <c r="F721" s="78" t="s">
        <v>237</v>
      </c>
      <c r="G721" s="77" t="s">
        <v>736</v>
      </c>
      <c r="H721" t="str">
        <f>VLOOKUP(D721,'DETALLE PRECIO INGREDIENTES'!B:B,1,0)</f>
        <v>MANTEQUILLA CON SAL</v>
      </c>
    </row>
    <row r="722" spans="2:8" ht="15.5" hidden="1" x14ac:dyDescent="0.35">
      <c r="B722" s="75" t="s">
        <v>135</v>
      </c>
      <c r="C722" s="75" t="s">
        <v>132</v>
      </c>
      <c r="D722" s="73" t="s">
        <v>354</v>
      </c>
      <c r="E722" s="74">
        <v>0.14000000000000001</v>
      </c>
      <c r="F722" s="78" t="s">
        <v>237</v>
      </c>
      <c r="G722" s="77" t="s">
        <v>220</v>
      </c>
      <c r="H722" t="str">
        <f>VLOOKUP(D722,'DETALLE PRECIO INGREDIENTES'!B:B,1,0)</f>
        <v>HARINA BIZCOCHERA</v>
      </c>
    </row>
    <row r="723" spans="2:8" ht="15.5" hidden="1" x14ac:dyDescent="0.35">
      <c r="B723" s="75" t="s">
        <v>135</v>
      </c>
      <c r="C723" s="75" t="s">
        <v>132</v>
      </c>
      <c r="D723" s="73" t="s">
        <v>729</v>
      </c>
      <c r="E723" s="74">
        <v>1.25</v>
      </c>
      <c r="F723" s="78" t="s">
        <v>259</v>
      </c>
      <c r="G723" s="77" t="s">
        <v>728</v>
      </c>
      <c r="H723" t="str">
        <f>VLOOKUP(D723,'DETALLE PRECIO INGREDIENTES'!B:B,1,0)</f>
        <v>HUEVO EXTRA BLANCO</v>
      </c>
    </row>
    <row r="724" spans="2:8" ht="15.5" hidden="1" x14ac:dyDescent="0.35">
      <c r="B724" s="75" t="s">
        <v>135</v>
      </c>
      <c r="C724" s="75" t="s">
        <v>132</v>
      </c>
      <c r="D724" s="73" t="s">
        <v>411</v>
      </c>
      <c r="E724" s="74">
        <v>0.25</v>
      </c>
      <c r="F724" s="78" t="s">
        <v>237</v>
      </c>
      <c r="G724" s="77" t="s">
        <v>621</v>
      </c>
      <c r="H724" t="str">
        <f>VLOOKUP(D724,'DETALLE PRECIO INGREDIENTES'!B:B,1,0)</f>
        <v>PAPAS</v>
      </c>
    </row>
    <row r="725" spans="2:8" ht="15.5" hidden="1" x14ac:dyDescent="0.35">
      <c r="B725" s="75" t="s">
        <v>135</v>
      </c>
      <c r="C725" s="75" t="s">
        <v>132</v>
      </c>
      <c r="D725" s="73" t="s">
        <v>444</v>
      </c>
      <c r="E725" s="74">
        <v>0.25</v>
      </c>
      <c r="F725" s="78" t="s">
        <v>237</v>
      </c>
      <c r="G725" s="77" t="s">
        <v>220</v>
      </c>
      <c r="H725" t="str">
        <f>VLOOKUP(D725,'DETALLE PRECIO INGREDIENTES'!B:B,1,0)</f>
        <v>SAL DE MAR GRUESA</v>
      </c>
    </row>
    <row r="726" spans="2:8" ht="15.5" hidden="1" x14ac:dyDescent="0.35">
      <c r="B726" s="75" t="s">
        <v>135</v>
      </c>
      <c r="C726" s="75" t="s">
        <v>132</v>
      </c>
      <c r="D726" s="73" t="s">
        <v>362</v>
      </c>
      <c r="E726" s="74">
        <v>0.1</v>
      </c>
      <c r="F726" s="78" t="s">
        <v>237</v>
      </c>
      <c r="G726" s="77" t="s">
        <v>220</v>
      </c>
      <c r="H726" t="str">
        <f>VLOOKUP(D726,'DETALLE PRECIO INGREDIENTES'!B:B,1,0)</f>
        <v>HARINA PANADERA SOBRE 13 GR</v>
      </c>
    </row>
    <row r="727" spans="2:8" ht="15.5" hidden="1" x14ac:dyDescent="0.35">
      <c r="B727" s="75" t="s">
        <v>135</v>
      </c>
      <c r="C727" s="75" t="s">
        <v>132</v>
      </c>
      <c r="D727" s="73" t="s">
        <v>628</v>
      </c>
      <c r="E727" s="74">
        <v>0.1</v>
      </c>
      <c r="F727" s="78" t="s">
        <v>259</v>
      </c>
      <c r="G727" s="77" t="s">
        <v>621</v>
      </c>
      <c r="H727" t="str">
        <f>VLOOKUP(D727,'DETALLE PRECIO INGREDIENTES'!B:B,1,0)</f>
        <v>AJO CABEZA</v>
      </c>
    </row>
    <row r="728" spans="2:8" ht="15.5" hidden="1" x14ac:dyDescent="0.35">
      <c r="B728" s="75" t="s">
        <v>135</v>
      </c>
      <c r="C728" s="75" t="s">
        <v>132</v>
      </c>
      <c r="D728" s="73" t="s">
        <v>404</v>
      </c>
      <c r="E728" s="74">
        <v>0.01</v>
      </c>
      <c r="F728" s="78" t="s">
        <v>237</v>
      </c>
      <c r="G728" s="77" t="s">
        <v>220</v>
      </c>
      <c r="H728" t="str">
        <f>VLOOKUP(D728,'DETALLE PRECIO INGREDIENTES'!B:B,1,0)</f>
        <v>NUEZ MOSCADA ENTERA</v>
      </c>
    </row>
    <row r="729" spans="2:8" ht="15.5" hidden="1" x14ac:dyDescent="0.35">
      <c r="B729" s="75" t="s">
        <v>135</v>
      </c>
      <c r="C729" s="75" t="s">
        <v>132</v>
      </c>
      <c r="D729" s="73" t="s">
        <v>739</v>
      </c>
      <c r="E729" s="74">
        <v>0.15</v>
      </c>
      <c r="F729" s="78" t="s">
        <v>222</v>
      </c>
      <c r="G729" s="77" t="s">
        <v>736</v>
      </c>
      <c r="H729" t="str">
        <f>VLOOKUP(D729,'DETALLE PRECIO INGREDIENTES'!B:B,1,0)</f>
        <v>CREMA DE LECHE</v>
      </c>
    </row>
    <row r="730" spans="2:8" ht="15.5" hidden="1" x14ac:dyDescent="0.35">
      <c r="B730" s="75" t="s">
        <v>135</v>
      </c>
      <c r="C730" s="75" t="s">
        <v>132</v>
      </c>
      <c r="D730" s="73" t="s">
        <v>769</v>
      </c>
      <c r="E730" s="74">
        <v>4.4999999999999998E-2</v>
      </c>
      <c r="F730" s="78" t="s">
        <v>237</v>
      </c>
      <c r="G730" s="77" t="s">
        <v>736</v>
      </c>
      <c r="H730" t="str">
        <f>VLOOKUP(D730,'DETALLE PRECIO INGREDIENTES'!B:B,1,0)</f>
        <v>QUESO PARMESANO</v>
      </c>
    </row>
    <row r="731" spans="2:8" ht="15.5" hidden="1" x14ac:dyDescent="0.35">
      <c r="B731" s="75" t="s">
        <v>135</v>
      </c>
      <c r="C731" s="75" t="s">
        <v>132</v>
      </c>
      <c r="D731" s="73" t="s">
        <v>764</v>
      </c>
      <c r="E731" s="74">
        <v>0.02</v>
      </c>
      <c r="F731" s="78" t="s">
        <v>237</v>
      </c>
      <c r="G731" s="77" t="s">
        <v>736</v>
      </c>
      <c r="H731" t="str">
        <f>VLOOKUP(D731,'DETALLE PRECIO INGREDIENTES'!B:B,1,0)</f>
        <v>QUESO GRUYERE</v>
      </c>
    </row>
    <row r="732" spans="2:8" ht="15.5" hidden="1" x14ac:dyDescent="0.35">
      <c r="B732" s="75" t="s">
        <v>135</v>
      </c>
      <c r="C732" s="75" t="s">
        <v>132</v>
      </c>
      <c r="D732" s="73" t="s">
        <v>755</v>
      </c>
      <c r="E732" s="74">
        <v>0.01</v>
      </c>
      <c r="F732" s="78" t="s">
        <v>237</v>
      </c>
      <c r="G732" s="77" t="s">
        <v>736</v>
      </c>
      <c r="H732" t="str">
        <f>VLOOKUP(D732,'DETALLE PRECIO INGREDIENTES'!B:B,1,0)</f>
        <v>QUESO AZUL</v>
      </c>
    </row>
    <row r="733" spans="2:8" ht="15.5" hidden="1" x14ac:dyDescent="0.35">
      <c r="B733" s="75" t="s">
        <v>135</v>
      </c>
      <c r="C733" s="75" t="s">
        <v>132</v>
      </c>
      <c r="D733" s="73" t="s">
        <v>763</v>
      </c>
      <c r="E733" s="74">
        <v>0.02</v>
      </c>
      <c r="F733" s="78" t="s">
        <v>237</v>
      </c>
      <c r="G733" s="77" t="s">
        <v>736</v>
      </c>
      <c r="H733" t="str">
        <f>VLOOKUP(D733,'DETALLE PRECIO INGREDIENTES'!B:B,1,0)</f>
        <v>QUESO GAUDA LAMINADO</v>
      </c>
    </row>
    <row r="734" spans="2:8" ht="15.5" hidden="1" x14ac:dyDescent="0.35">
      <c r="B734" s="75" t="s">
        <v>135</v>
      </c>
      <c r="C734" s="75" t="s">
        <v>132</v>
      </c>
      <c r="D734" s="73" t="s">
        <v>656</v>
      </c>
      <c r="E734" s="74">
        <v>0.25</v>
      </c>
      <c r="F734" s="78" t="s">
        <v>259</v>
      </c>
      <c r="G734" s="77" t="s">
        <v>621</v>
      </c>
      <c r="H734" t="str">
        <f>VLOOKUP(D734,'DETALLE PRECIO INGREDIENTES'!B:B,1,0)</f>
        <v>CIBOULETTE ATADO</v>
      </c>
    </row>
    <row r="735" spans="2:8" ht="15.5" hidden="1" x14ac:dyDescent="0.35">
      <c r="B735" s="75" t="s">
        <v>135</v>
      </c>
      <c r="C735" s="75" t="s">
        <v>132</v>
      </c>
      <c r="D735" s="73" t="s">
        <v>720</v>
      </c>
      <c r="E735" s="74">
        <v>0.03</v>
      </c>
      <c r="F735" s="78" t="s">
        <v>237</v>
      </c>
      <c r="G735" s="77" t="s">
        <v>621</v>
      </c>
      <c r="H735" t="str">
        <f>VLOOKUP(D735,'DETALLE PRECIO INGREDIENTES'!B:B,1,0)</f>
        <v>ZANAHORIA</v>
      </c>
    </row>
    <row r="736" spans="2:8" ht="15.5" hidden="1" x14ac:dyDescent="0.35">
      <c r="B736" s="75" t="s">
        <v>135</v>
      </c>
      <c r="C736" s="75" t="s">
        <v>132</v>
      </c>
      <c r="D736" s="73" t="s">
        <v>644</v>
      </c>
      <c r="E736" s="74">
        <v>0.05</v>
      </c>
      <c r="F736" s="78" t="s">
        <v>237</v>
      </c>
      <c r="G736" s="77" t="s">
        <v>621</v>
      </c>
      <c r="H736" t="str">
        <f>VLOOKUP(D736,'DETALLE PRECIO INGREDIENTES'!B:B,1,0)</f>
        <v>CEBOLLA BLANCA</v>
      </c>
    </row>
    <row r="737" spans="2:8" ht="15.5" hidden="1" x14ac:dyDescent="0.35">
      <c r="B737" s="75" t="s">
        <v>135</v>
      </c>
      <c r="C737" s="75" t="s">
        <v>132</v>
      </c>
      <c r="D737" s="73" t="s">
        <v>707</v>
      </c>
      <c r="E737" s="74">
        <v>0.125</v>
      </c>
      <c r="F737" s="78" t="s">
        <v>259</v>
      </c>
      <c r="G737" s="77" t="s">
        <v>621</v>
      </c>
      <c r="H737" t="str">
        <f>VLOOKUP(D737,'DETALLE PRECIO INGREDIENTES'!B:B,1,0)</f>
        <v>PUERROS</v>
      </c>
    </row>
    <row r="738" spans="2:8" ht="15.5" hidden="1" x14ac:dyDescent="0.35">
      <c r="B738" s="75" t="s">
        <v>135</v>
      </c>
      <c r="C738" s="75" t="s">
        <v>132</v>
      </c>
      <c r="D738" s="73" t="s">
        <v>230</v>
      </c>
      <c r="E738" s="74">
        <v>1.4999999999999999E-2</v>
      </c>
      <c r="F738" s="78" t="s">
        <v>222</v>
      </c>
      <c r="G738" s="77" t="s">
        <v>220</v>
      </c>
      <c r="H738" t="str">
        <f>VLOOKUP(D738,'DETALLE PRECIO INGREDIENTES'!B:B,1,0)</f>
        <v>ACEITE DE OLIVA</v>
      </c>
    </row>
    <row r="739" spans="2:8" ht="15.5" hidden="1" x14ac:dyDescent="0.35">
      <c r="B739" s="75" t="s">
        <v>135</v>
      </c>
      <c r="C739" s="75" t="s">
        <v>132</v>
      </c>
      <c r="D739" s="73" t="s">
        <v>878</v>
      </c>
      <c r="E739" s="74">
        <v>3.5000000000000003E-2</v>
      </c>
      <c r="F739" s="78" t="s">
        <v>222</v>
      </c>
      <c r="G739" s="77" t="s">
        <v>876</v>
      </c>
      <c r="H739" t="str">
        <f>VLOOKUP(D739,'DETALLE PRECIO INGREDIENTES'!B:B,1,0)</f>
        <v>VINO BLANCO TETRA PACK</v>
      </c>
    </row>
    <row r="740" spans="2:8" ht="15.5" hidden="1" x14ac:dyDescent="0.35">
      <c r="B740" s="75" t="s">
        <v>135</v>
      </c>
      <c r="C740" s="75" t="s">
        <v>132</v>
      </c>
      <c r="D740" s="73" t="s">
        <v>264</v>
      </c>
      <c r="E740" s="74">
        <v>0.05</v>
      </c>
      <c r="F740" s="78" t="s">
        <v>237</v>
      </c>
      <c r="G740" s="77" t="s">
        <v>220</v>
      </c>
      <c r="H740" t="str">
        <f>VLOOKUP(D740,'DETALLE PRECIO INGREDIENTES'!B:B,1,0)</f>
        <v>ARROZ ARBORIO</v>
      </c>
    </row>
    <row r="741" spans="2:8" ht="15.5" hidden="1" x14ac:dyDescent="0.35">
      <c r="B741" s="75" t="s">
        <v>135</v>
      </c>
      <c r="C741" s="75" t="s">
        <v>132</v>
      </c>
      <c r="D741" s="73" t="s">
        <v>750</v>
      </c>
      <c r="E741" s="74">
        <v>0.03</v>
      </c>
      <c r="F741" s="78" t="s">
        <v>237</v>
      </c>
      <c r="G741" s="77" t="s">
        <v>736</v>
      </c>
      <c r="H741" t="str">
        <f>VLOOKUP(D741,'DETALLE PRECIO INGREDIENTES'!B:B,1,0)</f>
        <v>MANTEQUILLA CON SAL</v>
      </c>
    </row>
    <row r="742" spans="2:8" ht="15.5" hidden="1" x14ac:dyDescent="0.35">
      <c r="B742" s="75" t="s">
        <v>135</v>
      </c>
      <c r="C742" s="75" t="s">
        <v>132</v>
      </c>
      <c r="D742" s="73" t="s">
        <v>445</v>
      </c>
      <c r="E742" s="74">
        <v>0.01</v>
      </c>
      <c r="F742" s="78" t="s">
        <v>237</v>
      </c>
      <c r="G742" s="77" t="s">
        <v>220</v>
      </c>
      <c r="H742" t="str">
        <f>VLOOKUP(D742,'DETALLE PRECIO INGREDIENTES'!B:B,1,0)</f>
        <v>SAL DE MESA LOBOS</v>
      </c>
    </row>
    <row r="743" spans="2:8" ht="15.5" hidden="1" x14ac:dyDescent="0.35">
      <c r="B743" s="75" t="s">
        <v>135</v>
      </c>
      <c r="C743" s="75" t="s">
        <v>132</v>
      </c>
      <c r="D743" s="73" t="s">
        <v>427</v>
      </c>
      <c r="E743" s="74">
        <v>1E-3</v>
      </c>
      <c r="F743" s="78" t="s">
        <v>237</v>
      </c>
      <c r="G743" s="77" t="s">
        <v>220</v>
      </c>
      <c r="H743" t="str">
        <f>VLOOKUP(D743,'DETALLE PRECIO INGREDIENTES'!B:B,1,0)</f>
        <v>PIMIENTA NEGRA ENTERA</v>
      </c>
    </row>
    <row r="744" spans="2:8" ht="15.5" hidden="1" x14ac:dyDescent="0.35">
      <c r="B744" s="75" t="s">
        <v>135</v>
      </c>
      <c r="C744" s="75" t="s">
        <v>132</v>
      </c>
      <c r="D744" s="73" t="s">
        <v>235</v>
      </c>
      <c r="E744" s="74">
        <v>0.01</v>
      </c>
      <c r="F744" s="78" t="s">
        <v>222</v>
      </c>
      <c r="G744" s="77" t="s">
        <v>220</v>
      </c>
      <c r="H744" t="str">
        <f>VLOOKUP(D744,'DETALLE PRECIO INGREDIENTES'!B:B,1,0)</f>
        <v>ACEITE VEGETAL</v>
      </c>
    </row>
    <row r="745" spans="2:8" ht="15.5" hidden="1" x14ac:dyDescent="0.35">
      <c r="B745" s="75" t="s">
        <v>135</v>
      </c>
      <c r="C745" s="75" t="s">
        <v>132</v>
      </c>
      <c r="D745" s="73" t="s">
        <v>748</v>
      </c>
      <c r="E745" s="74">
        <v>0.1</v>
      </c>
      <c r="F745" s="78" t="s">
        <v>222</v>
      </c>
      <c r="G745" s="77" t="s">
        <v>736</v>
      </c>
      <c r="H745" t="str">
        <f>VLOOKUP(D745,'DETALLE PRECIO INGREDIENTES'!B:B,1,0)</f>
        <v>LECHE ENTERA</v>
      </c>
    </row>
    <row r="746" spans="2:8" ht="15.5" hidden="1" x14ac:dyDescent="0.35">
      <c r="B746" s="75" t="s">
        <v>135</v>
      </c>
      <c r="C746" s="75" t="s">
        <v>132</v>
      </c>
      <c r="D746" s="73" t="s">
        <v>651</v>
      </c>
      <c r="E746" s="74">
        <v>3.9E-2</v>
      </c>
      <c r="F746" s="78" t="s">
        <v>237</v>
      </c>
      <c r="G746" s="77" t="s">
        <v>621</v>
      </c>
      <c r="H746" t="str">
        <f>VLOOKUP(D746,'DETALLE PRECIO INGREDIENTES'!B:B,1,0)</f>
        <v>CHAMPIÑON PARIS</v>
      </c>
    </row>
    <row r="747" spans="2:8" ht="15.5" hidden="1" x14ac:dyDescent="0.35">
      <c r="B747" s="75" t="s">
        <v>135</v>
      </c>
      <c r="C747" s="75" t="s">
        <v>132</v>
      </c>
      <c r="D747" s="73" t="s">
        <v>652</v>
      </c>
      <c r="E747" s="74">
        <v>2.5000000000000001E-2</v>
      </c>
      <c r="F747" s="78" t="s">
        <v>237</v>
      </c>
      <c r="G747" s="77" t="s">
        <v>621</v>
      </c>
      <c r="H747" t="str">
        <f>VLOOKUP(D747,'DETALLE PRECIO INGREDIENTES'!B:B,1,0)</f>
        <v>CHAMPIÑON PORTOBELLO</v>
      </c>
    </row>
    <row r="748" spans="2:8" ht="15.5" hidden="1" x14ac:dyDescent="0.35">
      <c r="B748" s="75" t="s">
        <v>135</v>
      </c>
      <c r="C748" s="75" t="s">
        <v>132</v>
      </c>
      <c r="D748" s="73" t="s">
        <v>840</v>
      </c>
      <c r="E748" s="74">
        <v>0.08</v>
      </c>
      <c r="F748" s="78" t="s">
        <v>237</v>
      </c>
      <c r="G748" s="77" t="s">
        <v>839</v>
      </c>
      <c r="H748" t="str">
        <f>VLOOKUP(D748,'DETALLE PRECIO INGREDIENTES'!B:B,1,0)</f>
        <v>HUESOS DE POLLO</v>
      </c>
    </row>
    <row r="749" spans="2:8" ht="15.5" hidden="1" x14ac:dyDescent="0.35">
      <c r="B749" s="75" t="s">
        <v>135</v>
      </c>
      <c r="C749" s="75" t="s">
        <v>132</v>
      </c>
      <c r="D749" s="73" t="s">
        <v>756</v>
      </c>
      <c r="E749" s="74">
        <v>0.02</v>
      </c>
      <c r="F749" s="78" t="s">
        <v>237</v>
      </c>
      <c r="G749" s="77" t="s">
        <v>736</v>
      </c>
      <c r="H749" t="str">
        <f>VLOOKUP(D749,'DETALLE PRECIO INGREDIENTES'!B:B,1,0)</f>
        <v>QUESO CABRA</v>
      </c>
    </row>
    <row r="750" spans="2:8" ht="15.5" hidden="1" x14ac:dyDescent="0.35">
      <c r="B750" s="75" t="s">
        <v>135</v>
      </c>
      <c r="C750" s="75" t="s">
        <v>132</v>
      </c>
      <c r="D750" s="73" t="s">
        <v>841</v>
      </c>
      <c r="E750" s="74">
        <v>0.05</v>
      </c>
      <c r="F750" s="78" t="s">
        <v>237</v>
      </c>
      <c r="G750" s="77" t="s">
        <v>839</v>
      </c>
      <c r="H750" t="str">
        <f>VLOOKUP(D750,'DETALLE PRECIO INGREDIENTES'!B:B,1,0)</f>
        <v>POLLO HUESOS</v>
      </c>
    </row>
    <row r="751" spans="2:8" ht="15.5" hidden="1" x14ac:dyDescent="0.35">
      <c r="B751" s="75" t="s">
        <v>135</v>
      </c>
      <c r="C751" s="75" t="s">
        <v>131</v>
      </c>
      <c r="D751" s="73" t="s">
        <v>748</v>
      </c>
      <c r="E751" s="74">
        <v>0.1</v>
      </c>
      <c r="F751" s="78" t="s">
        <v>222</v>
      </c>
      <c r="G751" s="77" t="s">
        <v>736</v>
      </c>
      <c r="H751" t="str">
        <f>VLOOKUP(D751,'DETALLE PRECIO INGREDIENTES'!B:B,1,0)</f>
        <v>LECHE ENTERA</v>
      </c>
    </row>
    <row r="752" spans="2:8" ht="15.5" hidden="1" x14ac:dyDescent="0.35">
      <c r="B752" s="75" t="s">
        <v>135</v>
      </c>
      <c r="C752" s="75" t="s">
        <v>131</v>
      </c>
      <c r="D752" s="73" t="s">
        <v>750</v>
      </c>
      <c r="E752" s="74">
        <v>2.5000000000000001E-2</v>
      </c>
      <c r="F752" s="78" t="s">
        <v>237</v>
      </c>
      <c r="G752" s="77" t="s">
        <v>736</v>
      </c>
      <c r="H752" t="str">
        <f>VLOOKUP(D752,'DETALLE PRECIO INGREDIENTES'!B:B,1,0)</f>
        <v>MANTEQUILLA CON SAL</v>
      </c>
    </row>
    <row r="753" spans="2:8" ht="15.5" hidden="1" x14ac:dyDescent="0.35">
      <c r="B753" s="75" t="s">
        <v>135</v>
      </c>
      <c r="C753" s="75" t="s">
        <v>131</v>
      </c>
      <c r="D753" s="73" t="s">
        <v>905</v>
      </c>
      <c r="E753" s="74">
        <v>0.16</v>
      </c>
      <c r="F753" s="78" t="s">
        <v>237</v>
      </c>
      <c r="G753" s="77" t="s">
        <v>220</v>
      </c>
      <c r="H753" t="str">
        <f>VLOOKUP(D753,'DETALLE PRECIO INGREDIENTES'!B:B,1,0)</f>
        <v>HARINA BIZCOCHERA</v>
      </c>
    </row>
    <row r="754" spans="2:8" ht="15.5" hidden="1" x14ac:dyDescent="0.35">
      <c r="B754" s="75" t="s">
        <v>135</v>
      </c>
      <c r="C754" s="75" t="s">
        <v>131</v>
      </c>
      <c r="D754" s="73" t="s">
        <v>906</v>
      </c>
      <c r="E754" s="74">
        <v>2.2999999999999998</v>
      </c>
      <c r="F754" s="78" t="s">
        <v>259</v>
      </c>
      <c r="G754" s="77" t="s">
        <v>728</v>
      </c>
      <c r="H754" t="str">
        <f>VLOOKUP(D754,'DETALLE PRECIO INGREDIENTES'!B:B,1,0)</f>
        <v>HUEVO EXTRA BLANCO</v>
      </c>
    </row>
    <row r="755" spans="2:8" ht="15.5" hidden="1" x14ac:dyDescent="0.35">
      <c r="B755" s="75" t="s">
        <v>135</v>
      </c>
      <c r="C755" s="75" t="s">
        <v>131</v>
      </c>
      <c r="D755" s="73" t="s">
        <v>239</v>
      </c>
      <c r="E755" s="74">
        <v>1.7500000000000002E-2</v>
      </c>
      <c r="F755" s="78" t="s">
        <v>237</v>
      </c>
      <c r="G755" s="77" t="s">
        <v>220</v>
      </c>
      <c r="H755" t="str">
        <f>VLOOKUP(D755,'DETALLE PRECIO INGREDIENTES'!B:B,1,0)</f>
        <v>ACEITUNAS NEGRAS S/HUESO</v>
      </c>
    </row>
    <row r="756" spans="2:8" ht="15.5" hidden="1" x14ac:dyDescent="0.35">
      <c r="B756" s="75" t="s">
        <v>135</v>
      </c>
      <c r="C756" s="75" t="s">
        <v>131</v>
      </c>
      <c r="D756" s="73" t="s">
        <v>907</v>
      </c>
      <c r="E756" s="74">
        <v>0.03</v>
      </c>
      <c r="F756" s="78" t="s">
        <v>222</v>
      </c>
      <c r="G756" s="77" t="s">
        <v>220</v>
      </c>
      <c r="H756" t="str">
        <f>VLOOKUP(D756,'DETALLE PRECIO INGREDIENTES'!B:B,1,0)</f>
        <v>ACEITE DE OLIVA</v>
      </c>
    </row>
    <row r="757" spans="2:8" ht="15.5" hidden="1" x14ac:dyDescent="0.35">
      <c r="B757" s="75" t="s">
        <v>135</v>
      </c>
      <c r="C757" s="75" t="s">
        <v>131</v>
      </c>
      <c r="D757" s="73" t="s">
        <v>908</v>
      </c>
      <c r="E757" s="74">
        <v>0.1</v>
      </c>
      <c r="F757" s="78" t="s">
        <v>259</v>
      </c>
      <c r="G757" s="77" t="s">
        <v>621</v>
      </c>
      <c r="H757" t="str">
        <f>VLOOKUP(D757,'DETALLE PRECIO INGREDIENTES'!B:B,1,0)</f>
        <v>AJO CABEZA</v>
      </c>
    </row>
    <row r="758" spans="2:8" ht="15.5" hidden="1" x14ac:dyDescent="0.35">
      <c r="B758" s="75" t="s">
        <v>135</v>
      </c>
      <c r="C758" s="75" t="s">
        <v>131</v>
      </c>
      <c r="D758" s="73" t="s">
        <v>809</v>
      </c>
      <c r="E758" s="74">
        <v>5.0000000000000001E-3</v>
      </c>
      <c r="F758" s="78" t="s">
        <v>237</v>
      </c>
      <c r="G758" s="77" t="s">
        <v>806</v>
      </c>
      <c r="H758" t="str">
        <f>VLOOKUP(D758,'DETALLE PRECIO INGREDIENTES'!B:B,1,0)</f>
        <v>ANCHOAS FILETES</v>
      </c>
    </row>
    <row r="759" spans="2:8" ht="15.5" hidden="1" x14ac:dyDescent="0.35">
      <c r="B759" s="75" t="s">
        <v>135</v>
      </c>
      <c r="C759" s="75" t="s">
        <v>131</v>
      </c>
      <c r="D759" s="73" t="s">
        <v>909</v>
      </c>
      <c r="E759" s="74">
        <v>0.01</v>
      </c>
      <c r="F759" s="78" t="s">
        <v>237</v>
      </c>
      <c r="G759" s="77" t="s">
        <v>220</v>
      </c>
      <c r="H759" t="str">
        <f>VLOOKUP(D759,'DETALLE PRECIO INGREDIENTES'!B:B,1,0)</f>
        <v>ALCAPARRAS</v>
      </c>
    </row>
    <row r="760" spans="2:8" ht="15.5" hidden="1" x14ac:dyDescent="0.35">
      <c r="B760" s="75" t="s">
        <v>135</v>
      </c>
      <c r="C760" s="75" t="s">
        <v>131</v>
      </c>
      <c r="D760" s="73" t="s">
        <v>423</v>
      </c>
      <c r="E760" s="74">
        <v>5.0000000000000001E-4</v>
      </c>
      <c r="F760" s="78" t="s">
        <v>237</v>
      </c>
      <c r="G760" s="77" t="s">
        <v>220</v>
      </c>
      <c r="H760" t="str">
        <f>VLOOKUP(D760,'DETALLE PRECIO INGREDIENTES'!B:B,1,0)</f>
        <v>PEPERONCCINO O CHILE EN HOJUELAS</v>
      </c>
    </row>
    <row r="761" spans="2:8" ht="15.5" hidden="1" x14ac:dyDescent="0.35">
      <c r="B761" s="75" t="s">
        <v>135</v>
      </c>
      <c r="C761" s="75" t="s">
        <v>131</v>
      </c>
      <c r="D761" s="73" t="s">
        <v>910</v>
      </c>
      <c r="E761" s="74">
        <v>0.01</v>
      </c>
      <c r="F761" s="78" t="s">
        <v>237</v>
      </c>
      <c r="G761" s="77" t="s">
        <v>621</v>
      </c>
      <c r="H761" t="str">
        <f>VLOOKUP(D761,'DETALLE PRECIO INGREDIENTES'!B:B,1,0)</f>
        <v>PEREJIL</v>
      </c>
    </row>
    <row r="762" spans="2:8" ht="15.5" hidden="1" x14ac:dyDescent="0.35">
      <c r="B762" s="75" t="s">
        <v>135</v>
      </c>
      <c r="C762" s="75" t="s">
        <v>131</v>
      </c>
      <c r="D762" s="73" t="s">
        <v>629</v>
      </c>
      <c r="E762" s="74">
        <v>0.01</v>
      </c>
      <c r="F762" s="78" t="s">
        <v>237</v>
      </c>
      <c r="G762" s="77" t="s">
        <v>621</v>
      </c>
      <c r="H762" t="str">
        <f>VLOOKUP(D762,'DETALLE PRECIO INGREDIENTES'!B:B,1,0)</f>
        <v>ALBAHACA FRESCA</v>
      </c>
    </row>
    <row r="763" spans="2:8" ht="15.5" hidden="1" x14ac:dyDescent="0.35">
      <c r="B763" s="75" t="s">
        <v>135</v>
      </c>
      <c r="C763" s="75" t="s">
        <v>131</v>
      </c>
      <c r="D763" s="73" t="s">
        <v>717</v>
      </c>
      <c r="E763" s="74">
        <v>0.2</v>
      </c>
      <c r="F763" s="78" t="s">
        <v>237</v>
      </c>
      <c r="G763" s="77" t="s">
        <v>621</v>
      </c>
      <c r="H763" t="str">
        <f>VLOOKUP(D763,'DETALLE PRECIO INGREDIENTES'!B:B,1,0)</f>
        <v>TOMATE PELADO EN LATA</v>
      </c>
    </row>
    <row r="764" spans="2:8" ht="15.5" hidden="1" x14ac:dyDescent="0.35">
      <c r="B764" s="75" t="s">
        <v>135</v>
      </c>
      <c r="C764" s="75" t="s">
        <v>131</v>
      </c>
      <c r="D764" s="73" t="s">
        <v>911</v>
      </c>
      <c r="E764" s="74">
        <v>1.25E-3</v>
      </c>
      <c r="F764" s="78" t="s">
        <v>237</v>
      </c>
      <c r="G764" s="77" t="s">
        <v>220</v>
      </c>
      <c r="H764" t="str">
        <f>VLOOKUP(D764,'DETALLE PRECIO INGREDIENTES'!B:B,1,0)</f>
        <v>LAUREL</v>
      </c>
    </row>
    <row r="765" spans="2:8" ht="15.5" hidden="1" x14ac:dyDescent="0.35">
      <c r="B765" s="75" t="s">
        <v>135</v>
      </c>
      <c r="C765" s="75" t="s">
        <v>131</v>
      </c>
      <c r="D765" s="73" t="s">
        <v>428</v>
      </c>
      <c r="E765" s="74">
        <v>1E-3</v>
      </c>
      <c r="F765" s="78" t="s">
        <v>237</v>
      </c>
      <c r="G765" s="77" t="s">
        <v>220</v>
      </c>
      <c r="H765" t="str">
        <f>VLOOKUP(D765,'DETALLE PRECIO INGREDIENTES'!B:B,1,0)</f>
        <v>PIMIENTA NEGRA MOLIDA</v>
      </c>
    </row>
    <row r="766" spans="2:8" ht="15.5" hidden="1" x14ac:dyDescent="0.35">
      <c r="B766" s="75" t="s">
        <v>135</v>
      </c>
      <c r="C766" s="75" t="s">
        <v>131</v>
      </c>
      <c r="D766" s="73" t="s">
        <v>912</v>
      </c>
      <c r="E766" s="74">
        <v>0.02</v>
      </c>
      <c r="F766" s="78" t="s">
        <v>237</v>
      </c>
      <c r="G766" s="77" t="s">
        <v>220</v>
      </c>
      <c r="H766" t="str">
        <f>VLOOKUP(D766,'DETALLE PRECIO INGREDIENTES'!B:B,1,0)</f>
        <v>SEMOLINA</v>
      </c>
    </row>
    <row r="767" spans="2:8" ht="15.5" hidden="1" x14ac:dyDescent="0.35">
      <c r="B767" s="75" t="s">
        <v>135</v>
      </c>
      <c r="C767" s="75" t="s">
        <v>131</v>
      </c>
      <c r="D767" s="73" t="s">
        <v>234</v>
      </c>
      <c r="E767" s="74">
        <v>0.02</v>
      </c>
      <c r="F767" s="78" t="s">
        <v>222</v>
      </c>
      <c r="G767" s="77" t="s">
        <v>220</v>
      </c>
      <c r="H767" t="str">
        <f>VLOOKUP(D767,'DETALLE PRECIO INGREDIENTES'!B:B,1,0)</f>
        <v>ACEITE SEMILLA DE GIRASOL</v>
      </c>
    </row>
    <row r="768" spans="2:8" ht="15.5" hidden="1" x14ac:dyDescent="0.35">
      <c r="B768" s="75" t="s">
        <v>135</v>
      </c>
      <c r="C768" s="75" t="s">
        <v>130</v>
      </c>
      <c r="D768" s="73" t="s">
        <v>354</v>
      </c>
      <c r="E768" s="74">
        <v>8.5000000000000006E-2</v>
      </c>
      <c r="F768" s="78" t="s">
        <v>237</v>
      </c>
      <c r="G768" s="77" t="s">
        <v>220</v>
      </c>
      <c r="H768" t="str">
        <f>VLOOKUP(D768,'DETALLE PRECIO INGREDIENTES'!B:B,1,0)</f>
        <v>HARINA BIZCOCHERA</v>
      </c>
    </row>
    <row r="769" spans="2:8" ht="15.5" hidden="1" x14ac:dyDescent="0.35">
      <c r="B769" s="75" t="s">
        <v>135</v>
      </c>
      <c r="C769" s="75" t="s">
        <v>130</v>
      </c>
      <c r="D769" s="73" t="s">
        <v>750</v>
      </c>
      <c r="E769" s="74">
        <v>0.11</v>
      </c>
      <c r="F769" s="78" t="s">
        <v>237</v>
      </c>
      <c r="G769" s="77" t="s">
        <v>736</v>
      </c>
      <c r="H769" t="str">
        <f>VLOOKUP(D769,'DETALLE PRECIO INGREDIENTES'!B:B,1,0)</f>
        <v>MANTEQUILLA CON SAL</v>
      </c>
    </row>
    <row r="770" spans="2:8" ht="15.5" hidden="1" x14ac:dyDescent="0.35">
      <c r="B770" s="75" t="s">
        <v>135</v>
      </c>
      <c r="C770" s="75" t="s">
        <v>130</v>
      </c>
      <c r="D770" s="73" t="s">
        <v>729</v>
      </c>
      <c r="E770" s="74">
        <v>0.75</v>
      </c>
      <c r="F770" s="78" t="s">
        <v>259</v>
      </c>
      <c r="G770" s="77" t="s">
        <v>728</v>
      </c>
      <c r="H770" t="str">
        <f>VLOOKUP(D770,'DETALLE PRECIO INGREDIENTES'!B:B,1,0)</f>
        <v>HUEVO EXTRA BLANCO</v>
      </c>
    </row>
    <row r="771" spans="2:8" ht="15.5" hidden="1" x14ac:dyDescent="0.35">
      <c r="B771" s="75" t="s">
        <v>135</v>
      </c>
      <c r="C771" s="75" t="s">
        <v>130</v>
      </c>
      <c r="D771" s="73" t="s">
        <v>545</v>
      </c>
      <c r="E771" s="74">
        <v>2.5000000000000001E-2</v>
      </c>
      <c r="F771" s="78" t="s">
        <v>237</v>
      </c>
      <c r="G771" s="77" t="s">
        <v>525</v>
      </c>
      <c r="H771" t="str">
        <f>VLOOKUP(D771,'DETALLE PRECIO INGREDIENTES'!B:B,1,0)</f>
        <v>TOCINO AHUMADO LAMINADO</v>
      </c>
    </row>
    <row r="772" spans="2:8" ht="15.5" hidden="1" x14ac:dyDescent="0.35">
      <c r="B772" s="75" t="s">
        <v>135</v>
      </c>
      <c r="C772" s="75" t="s">
        <v>130</v>
      </c>
      <c r="D772" s="73" t="s">
        <v>644</v>
      </c>
      <c r="E772" s="74">
        <v>0.05</v>
      </c>
      <c r="F772" s="78" t="s">
        <v>237</v>
      </c>
      <c r="G772" s="77" t="s">
        <v>621</v>
      </c>
      <c r="H772" t="str">
        <f>VLOOKUP(D772,'DETALLE PRECIO INGREDIENTES'!B:B,1,0)</f>
        <v>CEBOLLA BLANCA</v>
      </c>
    </row>
    <row r="773" spans="2:8" ht="15.5" hidden="1" x14ac:dyDescent="0.35">
      <c r="B773" s="75" t="s">
        <v>135</v>
      </c>
      <c r="C773" s="75" t="s">
        <v>130</v>
      </c>
      <c r="D773" s="73" t="s">
        <v>230</v>
      </c>
      <c r="E773" s="74">
        <v>2.5000000000000001E-2</v>
      </c>
      <c r="F773" s="78" t="s">
        <v>222</v>
      </c>
      <c r="G773" s="77" t="s">
        <v>220</v>
      </c>
      <c r="H773" t="str">
        <f>VLOOKUP(D773,'DETALLE PRECIO INGREDIENTES'!B:B,1,0)</f>
        <v>ACEITE DE OLIVA</v>
      </c>
    </row>
    <row r="774" spans="2:8" ht="15.5" hidden="1" x14ac:dyDescent="0.35">
      <c r="B774" s="75" t="s">
        <v>135</v>
      </c>
      <c r="C774" s="75" t="s">
        <v>130</v>
      </c>
      <c r="D774" s="73" t="s">
        <v>739</v>
      </c>
      <c r="E774" s="74">
        <v>0.15</v>
      </c>
      <c r="F774" s="78" t="s">
        <v>222</v>
      </c>
      <c r="G774" s="77" t="s">
        <v>736</v>
      </c>
      <c r="H774" t="str">
        <f>VLOOKUP(D774,'DETALLE PRECIO INGREDIENTES'!B:B,1,0)</f>
        <v>CREMA DE LECHE</v>
      </c>
    </row>
    <row r="775" spans="2:8" ht="15.5" hidden="1" x14ac:dyDescent="0.35">
      <c r="B775" s="75" t="s">
        <v>135</v>
      </c>
      <c r="C775" s="75" t="s">
        <v>130</v>
      </c>
      <c r="D775" s="73" t="s">
        <v>913</v>
      </c>
      <c r="E775" s="74">
        <v>0.105</v>
      </c>
      <c r="F775" s="78" t="s">
        <v>237</v>
      </c>
      <c r="G775" s="77" t="s">
        <v>736</v>
      </c>
      <c r="H775" t="str">
        <f>VLOOKUP(D775,'DETALLE PRECIO INGREDIENTES'!B:B,1,0)</f>
        <v>QUESO GRUYERE</v>
      </c>
    </row>
    <row r="776" spans="2:8" ht="15.5" hidden="1" x14ac:dyDescent="0.35">
      <c r="B776" s="75" t="s">
        <v>135</v>
      </c>
      <c r="C776" s="75" t="s">
        <v>130</v>
      </c>
      <c r="D776" s="73" t="s">
        <v>445</v>
      </c>
      <c r="E776" s="74">
        <v>1E-3</v>
      </c>
      <c r="F776" s="78" t="s">
        <v>237</v>
      </c>
      <c r="G776" s="77" t="s">
        <v>220</v>
      </c>
      <c r="H776" t="str">
        <f>VLOOKUP(D776,'DETALLE PRECIO INGREDIENTES'!B:B,1,0)</f>
        <v>SAL DE MESA LOBOS</v>
      </c>
    </row>
    <row r="777" spans="2:8" ht="15.5" hidden="1" x14ac:dyDescent="0.35">
      <c r="B777" s="75" t="s">
        <v>135</v>
      </c>
      <c r="C777" s="75" t="s">
        <v>130</v>
      </c>
      <c r="D777" s="73" t="s">
        <v>914</v>
      </c>
      <c r="E777" s="74">
        <v>1E-3</v>
      </c>
      <c r="F777" s="78" t="s">
        <v>237</v>
      </c>
      <c r="G777" s="77" t="s">
        <v>220</v>
      </c>
      <c r="H777" t="str">
        <f>VLOOKUP(D777,'DETALLE PRECIO INGREDIENTES'!B:B,1,0)</f>
        <v>PIMIENTA NEGRA MOLIDA</v>
      </c>
    </row>
    <row r="778" spans="2:8" ht="15.5" hidden="1" x14ac:dyDescent="0.35">
      <c r="B778" s="75" t="s">
        <v>135</v>
      </c>
      <c r="C778" s="75" t="s">
        <v>130</v>
      </c>
      <c r="D778" s="73" t="s">
        <v>805</v>
      </c>
      <c r="E778" s="74">
        <v>0.15</v>
      </c>
      <c r="F778" s="78" t="s">
        <v>237</v>
      </c>
      <c r="G778" s="77" t="s">
        <v>804</v>
      </c>
      <c r="H778" t="str">
        <f>VLOOKUP(D778,'DETALLE PRECIO INGREDIENTES'!B:B,1,0)</f>
        <v>PATO MAGRET</v>
      </c>
    </row>
    <row r="779" spans="2:8" ht="15.5" hidden="1" x14ac:dyDescent="0.35">
      <c r="B779" s="75" t="s">
        <v>135</v>
      </c>
      <c r="C779" s="75" t="s">
        <v>130</v>
      </c>
      <c r="D779" s="73" t="s">
        <v>444</v>
      </c>
      <c r="E779" s="74">
        <v>3.125E-2</v>
      </c>
      <c r="F779" s="78" t="s">
        <v>237</v>
      </c>
      <c r="G779" s="77" t="s">
        <v>220</v>
      </c>
      <c r="H779" t="str">
        <f>VLOOKUP(D779,'DETALLE PRECIO INGREDIENTES'!B:B,1,0)</f>
        <v>SAL DE MAR GRUESA</v>
      </c>
    </row>
    <row r="780" spans="2:8" ht="15.5" hidden="1" x14ac:dyDescent="0.35">
      <c r="B780" s="75" t="s">
        <v>135</v>
      </c>
      <c r="C780" s="75" t="s">
        <v>130</v>
      </c>
      <c r="D780" s="73" t="s">
        <v>277</v>
      </c>
      <c r="E780" s="74">
        <v>0.06</v>
      </c>
      <c r="F780" s="78" t="s">
        <v>237</v>
      </c>
      <c r="G780" s="77" t="s">
        <v>220</v>
      </c>
      <c r="H780" t="str">
        <f>VLOOKUP(D780,'DETALLE PRECIO INGREDIENTES'!B:B,1,0)</f>
        <v>AZUCAR BLANCA GRANULADA</v>
      </c>
    </row>
    <row r="781" spans="2:8" ht="15.5" hidden="1" x14ac:dyDescent="0.35">
      <c r="B781" s="75" t="s">
        <v>135</v>
      </c>
      <c r="C781" s="75" t="s">
        <v>130</v>
      </c>
      <c r="D781" s="73" t="s">
        <v>690</v>
      </c>
      <c r="E781" s="74">
        <v>0.03</v>
      </c>
      <c r="F781" s="78" t="s">
        <v>237</v>
      </c>
      <c r="G781" s="77" t="s">
        <v>621</v>
      </c>
      <c r="H781" t="str">
        <f>VLOOKUP(D781,'DETALLE PRECIO INGREDIENTES'!B:B,1,0)</f>
        <v>NARANJA DE JUGO</v>
      </c>
    </row>
    <row r="782" spans="2:8" ht="15.5" hidden="1" x14ac:dyDescent="0.35">
      <c r="B782" s="75" t="s">
        <v>135</v>
      </c>
      <c r="C782" s="75" t="s">
        <v>130</v>
      </c>
      <c r="D782" s="73" t="s">
        <v>680</v>
      </c>
      <c r="E782" s="74">
        <v>0.03</v>
      </c>
      <c r="F782" s="78" t="s">
        <v>237</v>
      </c>
      <c r="G782" s="77" t="s">
        <v>621</v>
      </c>
      <c r="H782" t="str">
        <f>VLOOKUP(D782,'DETALLE PRECIO INGREDIENTES'!B:B,1,0)</f>
        <v>LIMON DE JUGO</v>
      </c>
    </row>
    <row r="783" spans="2:8" ht="15.5" hidden="1" x14ac:dyDescent="0.35">
      <c r="B783" s="75" t="s">
        <v>135</v>
      </c>
      <c r="C783" s="75" t="s">
        <v>130</v>
      </c>
      <c r="D783" s="73" t="s">
        <v>472</v>
      </c>
      <c r="E783" s="74">
        <v>2.5000000000000001E-2</v>
      </c>
      <c r="F783" s="78" t="s">
        <v>222</v>
      </c>
      <c r="G783" s="77" t="s">
        <v>220</v>
      </c>
      <c r="H783" t="str">
        <f>VLOOKUP(D783,'DETALLE PRECIO INGREDIENTES'!B:B,1,0)</f>
        <v>VINAGRE BLANCO</v>
      </c>
    </row>
    <row r="784" spans="2:8" ht="15.5" hidden="1" x14ac:dyDescent="0.35">
      <c r="B784" s="75" t="s">
        <v>135</v>
      </c>
      <c r="C784" s="75" t="s">
        <v>130</v>
      </c>
      <c r="D784" s="73" t="s">
        <v>649</v>
      </c>
      <c r="E784" s="74">
        <v>0.25</v>
      </c>
      <c r="F784" s="78" t="s">
        <v>259</v>
      </c>
      <c r="G784" s="77" t="s">
        <v>621</v>
      </c>
      <c r="H784" t="str">
        <f>VLOOKUP(D784,'DETALLE PRECIO INGREDIENTES'!B:B,1,0)</f>
        <v>CHALOTA</v>
      </c>
    </row>
    <row r="785" spans="2:8" ht="15.5" hidden="1" x14ac:dyDescent="0.35">
      <c r="B785" s="75" t="s">
        <v>135</v>
      </c>
      <c r="C785" s="75" t="s">
        <v>130</v>
      </c>
      <c r="D785" s="73" t="s">
        <v>707</v>
      </c>
      <c r="E785" s="74">
        <v>0.25</v>
      </c>
      <c r="F785" s="78" t="s">
        <v>259</v>
      </c>
      <c r="G785" s="77" t="s">
        <v>621</v>
      </c>
      <c r="H785" t="str">
        <f>VLOOKUP(D785,'DETALLE PRECIO INGREDIENTES'!B:B,1,0)</f>
        <v>PUERROS</v>
      </c>
    </row>
    <row r="786" spans="2:8" ht="15.5" hidden="1" x14ac:dyDescent="0.35">
      <c r="B786" s="75" t="s">
        <v>135</v>
      </c>
      <c r="C786" s="75" t="s">
        <v>130</v>
      </c>
      <c r="D786" s="73" t="s">
        <v>411</v>
      </c>
      <c r="E786" s="74">
        <v>0.35</v>
      </c>
      <c r="F786" s="78" t="s">
        <v>237</v>
      </c>
      <c r="G786" s="77" t="s">
        <v>621</v>
      </c>
      <c r="H786" t="str">
        <f>VLOOKUP(D786,'DETALLE PRECIO INGREDIENTES'!B:B,1,0)</f>
        <v>PAPAS</v>
      </c>
    </row>
    <row r="787" spans="2:8" ht="15.5" hidden="1" x14ac:dyDescent="0.35">
      <c r="B787" s="75" t="s">
        <v>135</v>
      </c>
      <c r="C787" s="75" t="s">
        <v>130</v>
      </c>
      <c r="D787" s="73" t="s">
        <v>915</v>
      </c>
      <c r="E787" s="74">
        <v>7.4999999999999997E-2</v>
      </c>
      <c r="F787" s="78" t="s">
        <v>237</v>
      </c>
      <c r="G787" s="77" t="s">
        <v>839</v>
      </c>
      <c r="H787" t="str">
        <f>VLOOKUP(D787,'DETALLE PRECIO INGREDIENTES'!B:B,1,0)</f>
        <v>HUESOS DE POLLO</v>
      </c>
    </row>
    <row r="788" spans="2:8" ht="15.5" hidden="1" x14ac:dyDescent="0.35">
      <c r="B788" s="75" t="s">
        <v>135</v>
      </c>
      <c r="C788" s="75" t="s">
        <v>130</v>
      </c>
      <c r="D788" s="73" t="s">
        <v>720</v>
      </c>
      <c r="E788" s="74">
        <v>2.5000000000000001E-2</v>
      </c>
      <c r="F788" s="78" t="s">
        <v>237</v>
      </c>
      <c r="G788" s="77" t="s">
        <v>621</v>
      </c>
      <c r="H788" t="str">
        <f>VLOOKUP(D788,'DETALLE PRECIO INGREDIENTES'!B:B,1,0)</f>
        <v>ZANAHORIA</v>
      </c>
    </row>
    <row r="789" spans="2:8" ht="15.5" x14ac:dyDescent="0.35">
      <c r="B789" s="75" t="s">
        <v>135</v>
      </c>
      <c r="C789" s="75" t="s">
        <v>130</v>
      </c>
      <c r="D789" s="73" t="s">
        <v>903</v>
      </c>
      <c r="E789" s="74">
        <v>0.25</v>
      </c>
      <c r="F789" s="78" t="s">
        <v>259</v>
      </c>
      <c r="G789" s="77" t="s">
        <v>621</v>
      </c>
      <c r="H789" t="e">
        <f>VLOOKUP(D789,'DETALLE PRECIO INGREDIENTES'!B:B,1,0)</f>
        <v>#N/A</v>
      </c>
    </row>
    <row r="790" spans="2:8" ht="15.5" hidden="1" x14ac:dyDescent="0.35">
      <c r="B790" s="75" t="s">
        <v>135</v>
      </c>
      <c r="C790" s="75" t="s">
        <v>130</v>
      </c>
      <c r="D790" s="73" t="s">
        <v>907</v>
      </c>
      <c r="E790" s="74">
        <v>3.7499999999999999E-2</v>
      </c>
      <c r="F790" s="78" t="s">
        <v>222</v>
      </c>
      <c r="G790" s="77" t="s">
        <v>220</v>
      </c>
      <c r="H790" t="str">
        <f>VLOOKUP(D790,'DETALLE PRECIO INGREDIENTES'!B:B,1,0)</f>
        <v>ACEITE DE OLIVA</v>
      </c>
    </row>
    <row r="791" spans="2:8" ht="15.5" hidden="1" x14ac:dyDescent="0.35">
      <c r="B791" s="75" t="s">
        <v>135</v>
      </c>
      <c r="C791" s="75" t="s">
        <v>130</v>
      </c>
      <c r="D791" s="73" t="s">
        <v>916</v>
      </c>
      <c r="E791" s="74">
        <v>7.4999999999999997E-3</v>
      </c>
      <c r="F791" s="78" t="s">
        <v>237</v>
      </c>
      <c r="G791" s="77" t="s">
        <v>621</v>
      </c>
      <c r="H791" t="str">
        <f>VLOOKUP(D791,'DETALLE PRECIO INGREDIENTES'!B:B,1,0)</f>
        <v>TOMILLO FRESCO</v>
      </c>
    </row>
    <row r="792" spans="2:8" ht="15.5" hidden="1" x14ac:dyDescent="0.35">
      <c r="B792" s="75" t="s">
        <v>135</v>
      </c>
      <c r="C792" s="75" t="s">
        <v>130</v>
      </c>
      <c r="D792" s="73" t="s">
        <v>711</v>
      </c>
      <c r="E792" s="74">
        <v>2.5000000000000001E-3</v>
      </c>
      <c r="F792" s="78" t="s">
        <v>237</v>
      </c>
      <c r="G792" s="77" t="s">
        <v>621</v>
      </c>
      <c r="H792" t="str">
        <f>VLOOKUP(D792,'DETALLE PRECIO INGREDIENTES'!B:B,1,0)</f>
        <v>ROMERO FRESCO EN RAMA</v>
      </c>
    </row>
    <row r="793" spans="2:8" ht="15.5" hidden="1" x14ac:dyDescent="0.35">
      <c r="B793" s="75" t="s">
        <v>135</v>
      </c>
      <c r="C793" s="75" t="s">
        <v>130</v>
      </c>
      <c r="D793" s="73" t="s">
        <v>628</v>
      </c>
      <c r="E793" s="74">
        <v>0.2</v>
      </c>
      <c r="F793" s="78" t="s">
        <v>259</v>
      </c>
      <c r="G793" s="77" t="s">
        <v>621</v>
      </c>
      <c r="H793" t="str">
        <f>VLOOKUP(D793,'DETALLE PRECIO INGREDIENTES'!B:B,1,0)</f>
        <v>AJO CABEZA</v>
      </c>
    </row>
    <row r="794" spans="2:8" ht="15.5" hidden="1" x14ac:dyDescent="0.35">
      <c r="B794" s="75" t="s">
        <v>135</v>
      </c>
      <c r="C794" s="75" t="s">
        <v>130</v>
      </c>
      <c r="D794" s="73" t="s">
        <v>687</v>
      </c>
      <c r="E794" s="74">
        <v>0.02</v>
      </c>
      <c r="F794" s="78" t="s">
        <v>259</v>
      </c>
      <c r="G794" s="77" t="s">
        <v>621</v>
      </c>
      <c r="H794" t="str">
        <f>VLOOKUP(D794,'DETALLE PRECIO INGREDIENTES'!B:B,1,0)</f>
        <v>MIX HOJAS VERDES</v>
      </c>
    </row>
    <row r="795" spans="2:8" ht="15.5" hidden="1" x14ac:dyDescent="0.35">
      <c r="B795" s="75" t="s">
        <v>135</v>
      </c>
      <c r="C795" s="75" t="s">
        <v>130</v>
      </c>
      <c r="D795" s="73" t="s">
        <v>235</v>
      </c>
      <c r="E795" s="74">
        <v>0.25</v>
      </c>
      <c r="F795" s="78" t="s">
        <v>222</v>
      </c>
      <c r="G795" s="77" t="s">
        <v>220</v>
      </c>
      <c r="H795" t="str">
        <f>VLOOKUP(D795,'DETALLE PRECIO INGREDIENTES'!B:B,1,0)</f>
        <v>ACEITE VEGETAL</v>
      </c>
    </row>
    <row r="796" spans="2:8" ht="15.5" hidden="1" x14ac:dyDescent="0.35">
      <c r="B796" s="75" t="s">
        <v>135</v>
      </c>
      <c r="C796" s="75" t="s">
        <v>130</v>
      </c>
      <c r="D796" s="73" t="s">
        <v>711</v>
      </c>
      <c r="E796" s="74">
        <v>0.01</v>
      </c>
      <c r="F796" s="78" t="s">
        <v>237</v>
      </c>
      <c r="G796" s="77" t="s">
        <v>621</v>
      </c>
      <c r="H796" t="str">
        <f>VLOOKUP(D796,'DETALLE PRECIO INGREDIENTES'!B:B,1,0)</f>
        <v>ROMERO FRESCO EN RAMA</v>
      </c>
    </row>
    <row r="797" spans="2:8" ht="15.5" hidden="1" x14ac:dyDescent="0.35">
      <c r="B797" s="75" t="s">
        <v>135</v>
      </c>
      <c r="C797" s="75" t="s">
        <v>130</v>
      </c>
      <c r="D797" s="73" t="s">
        <v>748</v>
      </c>
      <c r="E797" s="74">
        <v>0.05</v>
      </c>
      <c r="F797" s="78" t="s">
        <v>222</v>
      </c>
      <c r="G797" s="77" t="s">
        <v>736</v>
      </c>
      <c r="H797" t="str">
        <f>VLOOKUP(D797,'DETALLE PRECIO INGREDIENTES'!B:B,1,0)</f>
        <v>LECHE ENTERA</v>
      </c>
    </row>
    <row r="798" spans="2:8" ht="15.5" hidden="1" x14ac:dyDescent="0.35">
      <c r="B798" s="75" t="s">
        <v>135</v>
      </c>
      <c r="C798" s="75" t="s">
        <v>129</v>
      </c>
      <c r="D798" s="73" t="s">
        <v>862</v>
      </c>
      <c r="E798" s="74">
        <v>0.09</v>
      </c>
      <c r="F798" s="78" t="s">
        <v>237</v>
      </c>
      <c r="G798" s="77" t="s">
        <v>852</v>
      </c>
      <c r="H798" t="str">
        <f>VLOOKUP(D798,'DETALLE PRECIO INGREDIENTES'!B:B,1,0)</f>
        <v>VACUNO FILETE ENTERO</v>
      </c>
    </row>
    <row r="799" spans="2:8" ht="15.5" hidden="1" x14ac:dyDescent="0.35">
      <c r="B799" s="75" t="s">
        <v>135</v>
      </c>
      <c r="C799" s="75" t="s">
        <v>129</v>
      </c>
      <c r="D799" s="73" t="s">
        <v>235</v>
      </c>
      <c r="E799" s="74">
        <v>0.02</v>
      </c>
      <c r="F799" s="78" t="s">
        <v>222</v>
      </c>
      <c r="G799" s="77" t="s">
        <v>220</v>
      </c>
      <c r="H799" t="str">
        <f>VLOOKUP(D799,'DETALLE PRECIO INGREDIENTES'!B:B,1,0)</f>
        <v>ACEITE VEGETAL</v>
      </c>
    </row>
    <row r="800" spans="2:8" ht="15.5" hidden="1" x14ac:dyDescent="0.35">
      <c r="B800" s="75" t="s">
        <v>135</v>
      </c>
      <c r="C800" s="75" t="s">
        <v>129</v>
      </c>
      <c r="D800" s="73" t="s">
        <v>427</v>
      </c>
      <c r="E800" s="74">
        <v>0.01</v>
      </c>
      <c r="F800" s="78" t="s">
        <v>237</v>
      </c>
      <c r="G800" s="77" t="s">
        <v>220</v>
      </c>
      <c r="H800" t="str">
        <f>VLOOKUP(D800,'DETALLE PRECIO INGREDIENTES'!B:B,1,0)</f>
        <v>PIMIENTA NEGRA ENTERA</v>
      </c>
    </row>
    <row r="801" spans="2:8" ht="15.5" hidden="1" x14ac:dyDescent="0.35">
      <c r="B801" s="75" t="s">
        <v>135</v>
      </c>
      <c r="C801" s="75" t="s">
        <v>129</v>
      </c>
      <c r="D801" s="73" t="s">
        <v>398</v>
      </c>
      <c r="E801" s="74">
        <v>1.2999999999999999E-2</v>
      </c>
      <c r="F801" s="78" t="s">
        <v>237</v>
      </c>
      <c r="G801" s="77" t="s">
        <v>220</v>
      </c>
      <c r="H801" t="str">
        <f>VLOOKUP(D801,'DETALLE PRECIO INGREDIENTES'!B:B,1,0)</f>
        <v>MOSTAZA DIJON</v>
      </c>
    </row>
    <row r="802" spans="2:8" ht="15.5" hidden="1" x14ac:dyDescent="0.35">
      <c r="B802" s="75" t="s">
        <v>135</v>
      </c>
      <c r="C802" s="75" t="s">
        <v>129</v>
      </c>
      <c r="D802" s="73" t="s">
        <v>649</v>
      </c>
      <c r="E802" s="74">
        <v>0.25</v>
      </c>
      <c r="F802" s="78" t="s">
        <v>259</v>
      </c>
      <c r="G802" s="77" t="s">
        <v>621</v>
      </c>
      <c r="H802" t="str">
        <f>VLOOKUP(D802,'DETALLE PRECIO INGREDIENTES'!B:B,1,0)</f>
        <v>CHALOTA</v>
      </c>
    </row>
    <row r="803" spans="2:8" ht="15.5" hidden="1" x14ac:dyDescent="0.35">
      <c r="B803" s="75" t="s">
        <v>135</v>
      </c>
      <c r="C803" s="75" t="s">
        <v>129</v>
      </c>
      <c r="D803" s="73" t="s">
        <v>628</v>
      </c>
      <c r="E803" s="74">
        <v>0.09</v>
      </c>
      <c r="F803" s="78" t="s">
        <v>259</v>
      </c>
      <c r="G803" s="77" t="s">
        <v>621</v>
      </c>
      <c r="H803" t="str">
        <f>VLOOKUP(D803,'DETALLE PRECIO INGREDIENTES'!B:B,1,0)</f>
        <v>AJO CABEZA</v>
      </c>
    </row>
    <row r="804" spans="2:8" ht="15.5" hidden="1" x14ac:dyDescent="0.35">
      <c r="B804" s="75" t="s">
        <v>135</v>
      </c>
      <c r="C804" s="75" t="s">
        <v>129</v>
      </c>
      <c r="D804" s="73" t="s">
        <v>917</v>
      </c>
      <c r="E804" s="74">
        <v>0.1</v>
      </c>
      <c r="F804" s="78" t="s">
        <v>237</v>
      </c>
      <c r="G804" s="77" t="s">
        <v>621</v>
      </c>
      <c r="H804" t="str">
        <f>VLOOKUP(D804,'DETALLE PRECIO INGREDIENTES'!B:B,1,0)</f>
        <v>CHAMPIÑON PARIS</v>
      </c>
    </row>
    <row r="805" spans="2:8" ht="15.5" hidden="1" x14ac:dyDescent="0.35">
      <c r="B805" s="75" t="s">
        <v>135</v>
      </c>
      <c r="C805" s="75" t="s">
        <v>129</v>
      </c>
      <c r="D805" s="73" t="s">
        <v>650</v>
      </c>
      <c r="E805" s="74">
        <v>0.02</v>
      </c>
      <c r="F805" s="78" t="s">
        <v>237</v>
      </c>
      <c r="G805" s="77" t="s">
        <v>621</v>
      </c>
      <c r="H805" t="str">
        <f>VLOOKUP(D805,'DETALLE PRECIO INGREDIENTES'!B:B,1,0)</f>
        <v>CHAMPIÑON OSTRA</v>
      </c>
    </row>
    <row r="806" spans="2:8" ht="15.5" hidden="1" x14ac:dyDescent="0.35">
      <c r="B806" s="75" t="s">
        <v>135</v>
      </c>
      <c r="C806" s="75" t="s">
        <v>129</v>
      </c>
      <c r="D806" s="73" t="s">
        <v>750</v>
      </c>
      <c r="E806" s="74">
        <v>0.05</v>
      </c>
      <c r="F806" s="78" t="s">
        <v>237</v>
      </c>
      <c r="G806" s="77" t="s">
        <v>736</v>
      </c>
      <c r="H806" t="str">
        <f>VLOOKUP(D806,'DETALLE PRECIO INGREDIENTES'!B:B,1,0)</f>
        <v>MANTEQUILLA CON SAL</v>
      </c>
    </row>
    <row r="807" spans="2:8" ht="15.5" hidden="1" x14ac:dyDescent="0.35">
      <c r="B807" s="75" t="s">
        <v>135</v>
      </c>
      <c r="C807" s="75" t="s">
        <v>129</v>
      </c>
      <c r="D807" s="73" t="s">
        <v>778</v>
      </c>
      <c r="E807" s="74">
        <v>0.01</v>
      </c>
      <c r="F807" s="78" t="s">
        <v>259</v>
      </c>
      <c r="G807" s="77" t="s">
        <v>776</v>
      </c>
      <c r="H807" t="str">
        <f>VLOOKUP(D807,'DETALLE PRECIO INGREDIENTES'!B:B,1,0)</f>
        <v>BRANDY TRES PALOS</v>
      </c>
    </row>
    <row r="808" spans="2:8" ht="15.5" hidden="1" x14ac:dyDescent="0.35">
      <c r="B808" s="75" t="s">
        <v>135</v>
      </c>
      <c r="C808" s="75" t="s">
        <v>129</v>
      </c>
      <c r="D808" s="73" t="s">
        <v>882</v>
      </c>
      <c r="E808" s="74">
        <v>0.02</v>
      </c>
      <c r="F808" s="78" t="s">
        <v>222</v>
      </c>
      <c r="G808" s="77" t="s">
        <v>876</v>
      </c>
      <c r="H808" t="str">
        <f>VLOOKUP(D808,'DETALLE PRECIO INGREDIENTES'!B:B,1,0)</f>
        <v>VINO TINTO TETRA</v>
      </c>
    </row>
    <row r="809" spans="2:8" ht="15.5" hidden="1" x14ac:dyDescent="0.35">
      <c r="B809" s="75" t="s">
        <v>135</v>
      </c>
      <c r="C809" s="75" t="s">
        <v>129</v>
      </c>
      <c r="D809" s="73" t="s">
        <v>718</v>
      </c>
      <c r="E809" s="74">
        <v>0.01</v>
      </c>
      <c r="F809" s="78" t="s">
        <v>237</v>
      </c>
      <c r="G809" s="77" t="s">
        <v>621</v>
      </c>
      <c r="H809" t="str">
        <f>VLOOKUP(D809,'DETALLE PRECIO INGREDIENTES'!B:B,1,0)</f>
        <v>TOMILLO FRESCO</v>
      </c>
    </row>
    <row r="810" spans="2:8" ht="15.5" hidden="1" x14ac:dyDescent="0.35">
      <c r="B810" s="75" t="s">
        <v>135</v>
      </c>
      <c r="C810" s="75" t="s">
        <v>129</v>
      </c>
      <c r="D810" s="73" t="s">
        <v>542</v>
      </c>
      <c r="E810" s="74">
        <v>0.02</v>
      </c>
      <c r="F810" s="78" t="s">
        <v>237</v>
      </c>
      <c r="G810" s="77" t="s">
        <v>525</v>
      </c>
      <c r="H810" t="str">
        <f>VLOOKUP(D810,'DETALLE PRECIO INGREDIENTES'!B:B,1,0)</f>
        <v>JAMON SERRANO LAMINADO</v>
      </c>
    </row>
    <row r="811" spans="2:8" ht="15.5" hidden="1" x14ac:dyDescent="0.35">
      <c r="B811" s="75" t="s">
        <v>135</v>
      </c>
      <c r="C811" s="75" t="s">
        <v>129</v>
      </c>
      <c r="D811" s="73" t="s">
        <v>729</v>
      </c>
      <c r="E811" s="74">
        <v>0.5</v>
      </c>
      <c r="F811" s="78" t="s">
        <v>259</v>
      </c>
      <c r="G811" s="77" t="s">
        <v>728</v>
      </c>
      <c r="H811" t="str">
        <f>VLOOKUP(D811,'DETALLE PRECIO INGREDIENTES'!B:B,1,0)</f>
        <v>HUEVO EXTRA BLANCO</v>
      </c>
    </row>
    <row r="812" spans="2:8" ht="15.5" hidden="1" x14ac:dyDescent="0.35">
      <c r="B812" s="75" t="s">
        <v>135</v>
      </c>
      <c r="C812" s="75" t="s">
        <v>129</v>
      </c>
      <c r="D812" s="73" t="s">
        <v>791</v>
      </c>
      <c r="E812" s="74">
        <v>0.1</v>
      </c>
      <c r="F812" s="78" t="s">
        <v>237</v>
      </c>
      <c r="G812" s="77" t="s">
        <v>790</v>
      </c>
      <c r="H812" t="str">
        <f>VLOOKUP(D812,'DETALLE PRECIO INGREDIENTES'!B:B,1,0)</f>
        <v>MASA DE HOJA</v>
      </c>
    </row>
    <row r="813" spans="2:8" ht="15.5" hidden="1" x14ac:dyDescent="0.35">
      <c r="B813" s="75" t="s">
        <v>135</v>
      </c>
      <c r="C813" s="75" t="s">
        <v>129</v>
      </c>
      <c r="D813" s="73" t="s">
        <v>411</v>
      </c>
      <c r="E813" s="74">
        <v>0.2</v>
      </c>
      <c r="F813" s="78" t="s">
        <v>237</v>
      </c>
      <c r="G813" s="77" t="s">
        <v>621</v>
      </c>
      <c r="H813" t="str">
        <f>VLOOKUP(D813,'DETALLE PRECIO INGREDIENTES'!B:B,1,0)</f>
        <v>PAPAS</v>
      </c>
    </row>
    <row r="814" spans="2:8" ht="15.5" hidden="1" x14ac:dyDescent="0.35">
      <c r="B814" s="75" t="s">
        <v>135</v>
      </c>
      <c r="C814" s="75" t="s">
        <v>129</v>
      </c>
      <c r="D814" s="73" t="s">
        <v>748</v>
      </c>
      <c r="E814" s="74">
        <v>0.2</v>
      </c>
      <c r="F814" s="78" t="s">
        <v>222</v>
      </c>
      <c r="G814" s="77" t="s">
        <v>736</v>
      </c>
      <c r="H814" t="str">
        <f>VLOOKUP(D814,'DETALLE PRECIO INGREDIENTES'!B:B,1,0)</f>
        <v>LECHE ENTERA</v>
      </c>
    </row>
    <row r="815" spans="2:8" ht="15.5" hidden="1" x14ac:dyDescent="0.35">
      <c r="B815" s="75" t="s">
        <v>135</v>
      </c>
      <c r="C815" s="75" t="s">
        <v>129</v>
      </c>
      <c r="D815" s="73" t="s">
        <v>739</v>
      </c>
      <c r="E815" s="74">
        <v>0.04</v>
      </c>
      <c r="F815" s="78" t="s">
        <v>222</v>
      </c>
      <c r="G815" s="77" t="s">
        <v>736</v>
      </c>
      <c r="H815" t="str">
        <f>VLOOKUP(D815,'DETALLE PRECIO INGREDIENTES'!B:B,1,0)</f>
        <v>CREMA DE LECHE</v>
      </c>
    </row>
    <row r="816" spans="2:8" ht="15.5" hidden="1" x14ac:dyDescent="0.35">
      <c r="B816" s="75" t="s">
        <v>135</v>
      </c>
      <c r="C816" s="75" t="s">
        <v>129</v>
      </c>
      <c r="D816" s="73" t="s">
        <v>404</v>
      </c>
      <c r="E816" s="74">
        <v>2.5000000000000001E-4</v>
      </c>
      <c r="F816" s="78" t="s">
        <v>237</v>
      </c>
      <c r="G816" s="77" t="s">
        <v>220</v>
      </c>
      <c r="H816" t="str">
        <f>VLOOKUP(D816,'DETALLE PRECIO INGREDIENTES'!B:B,1,0)</f>
        <v>NUEZ MOSCADA ENTERA</v>
      </c>
    </row>
    <row r="817" spans="2:8" ht="15.5" hidden="1" x14ac:dyDescent="0.35">
      <c r="B817" s="75" t="s">
        <v>135</v>
      </c>
      <c r="C817" s="75" t="s">
        <v>129</v>
      </c>
      <c r="D817" s="73" t="s">
        <v>864</v>
      </c>
      <c r="E817" s="74">
        <v>0.1</v>
      </c>
      <c r="F817" s="78" t="s">
        <v>237</v>
      </c>
      <c r="G817" s="77" t="s">
        <v>852</v>
      </c>
      <c r="H817" t="str">
        <f>VLOOKUP(D817,'DETALLE PRECIO INGREDIENTES'!B:B,1,0)</f>
        <v>VACUNO HUESOS</v>
      </c>
    </row>
    <row r="818" spans="2:8" ht="15.5" hidden="1" x14ac:dyDescent="0.35">
      <c r="B818" s="75" t="s">
        <v>135</v>
      </c>
      <c r="C818" s="75" t="s">
        <v>129</v>
      </c>
      <c r="D818" s="73" t="s">
        <v>546</v>
      </c>
      <c r="E818" s="74">
        <v>1.4999999999999999E-2</v>
      </c>
      <c r="F818" s="78" t="s">
        <v>237</v>
      </c>
      <c r="G818" s="77" t="s">
        <v>525</v>
      </c>
      <c r="H818" t="str">
        <f>VLOOKUP(D818,'DETALLE PRECIO INGREDIENTES'!B:B,1,0)</f>
        <v>TOCINO LAMINADO</v>
      </c>
    </row>
    <row r="819" spans="2:8" ht="15.5" hidden="1" x14ac:dyDescent="0.35">
      <c r="B819" s="75" t="s">
        <v>135</v>
      </c>
      <c r="C819" s="75" t="s">
        <v>129</v>
      </c>
      <c r="D819" s="73" t="s">
        <v>720</v>
      </c>
      <c r="E819" s="74">
        <v>0.04</v>
      </c>
      <c r="F819" s="78" t="s">
        <v>237</v>
      </c>
      <c r="G819" s="77" t="s">
        <v>621</v>
      </c>
      <c r="H819" t="str">
        <f>VLOOKUP(D819,'DETALLE PRECIO INGREDIENTES'!B:B,1,0)</f>
        <v>ZANAHORIA</v>
      </c>
    </row>
    <row r="820" spans="2:8" ht="15.5" hidden="1" x14ac:dyDescent="0.35">
      <c r="B820" s="75" t="s">
        <v>135</v>
      </c>
      <c r="C820" s="75" t="s">
        <v>129</v>
      </c>
      <c r="D820" s="73" t="s">
        <v>644</v>
      </c>
      <c r="E820" s="74">
        <v>0.05</v>
      </c>
      <c r="F820" s="78" t="s">
        <v>237</v>
      </c>
      <c r="G820" s="77" t="s">
        <v>621</v>
      </c>
      <c r="H820" t="str">
        <f>VLOOKUP(D820,'DETALLE PRECIO INGREDIENTES'!B:B,1,0)</f>
        <v>CEBOLLA BLANCA</v>
      </c>
    </row>
    <row r="821" spans="2:8" ht="15.5" hidden="1" x14ac:dyDescent="0.35">
      <c r="B821" s="75" t="s">
        <v>135</v>
      </c>
      <c r="C821" s="75" t="s">
        <v>129</v>
      </c>
      <c r="D821" s="73" t="s">
        <v>716</v>
      </c>
      <c r="E821" s="74">
        <v>6.25E-2</v>
      </c>
      <c r="F821" s="78" t="s">
        <v>237</v>
      </c>
      <c r="G821" s="77" t="s">
        <v>621</v>
      </c>
      <c r="H821" t="str">
        <f>VLOOKUP(D821,'DETALLE PRECIO INGREDIENTES'!B:B,1,0)</f>
        <v>TOMATE LARGA VIDA</v>
      </c>
    </row>
    <row r="822" spans="2:8" ht="15.5" hidden="1" x14ac:dyDescent="0.35">
      <c r="B822" s="75" t="s">
        <v>135</v>
      </c>
      <c r="C822" s="75" t="s">
        <v>129</v>
      </c>
      <c r="D822" s="73" t="s">
        <v>455</v>
      </c>
      <c r="E822" s="74">
        <v>2.5000000000000001E-3</v>
      </c>
      <c r="F822" s="78" t="s">
        <v>237</v>
      </c>
      <c r="G822" s="77" t="s">
        <v>220</v>
      </c>
      <c r="H822" t="str">
        <f>VLOOKUP(D822,'DETALLE PRECIO INGREDIENTES'!B:B,1,0)</f>
        <v>SEMILLAS DE CILANTRO</v>
      </c>
    </row>
    <row r="823" spans="2:8" ht="15.5" hidden="1" x14ac:dyDescent="0.35">
      <c r="B823" s="75" t="s">
        <v>135</v>
      </c>
      <c r="C823" s="75" t="s">
        <v>129</v>
      </c>
      <c r="D823" s="73" t="s">
        <v>310</v>
      </c>
      <c r="E823" s="74">
        <v>0.01</v>
      </c>
      <c r="F823" s="78" t="s">
        <v>237</v>
      </c>
      <c r="G823" s="77" t="s">
        <v>220</v>
      </c>
      <c r="H823" t="str">
        <f>VLOOKUP(D823,'DETALLE PRECIO INGREDIENTES'!B:B,1,0)</f>
        <v>CONCENTRADO DE TOMATE</v>
      </c>
    </row>
    <row r="824" spans="2:8" ht="15.5" hidden="1" x14ac:dyDescent="0.35">
      <c r="B824" s="75" t="s">
        <v>135</v>
      </c>
      <c r="C824" s="75" t="s">
        <v>129</v>
      </c>
      <c r="D824" s="73" t="s">
        <v>354</v>
      </c>
      <c r="E824" s="74">
        <v>2.5000000000000001E-2</v>
      </c>
      <c r="F824" s="78" t="s">
        <v>237</v>
      </c>
      <c r="G824" s="77" t="s">
        <v>220</v>
      </c>
      <c r="H824" t="str">
        <f>VLOOKUP(D824,'DETALLE PRECIO INGREDIENTES'!B:B,1,0)</f>
        <v>HARINA BIZCOCHERA</v>
      </c>
    </row>
    <row r="825" spans="2:8" ht="15.5" hidden="1" x14ac:dyDescent="0.35">
      <c r="B825" s="75" t="s">
        <v>135</v>
      </c>
      <c r="C825" s="75" t="s">
        <v>129</v>
      </c>
      <c r="D825" s="73" t="s">
        <v>882</v>
      </c>
      <c r="E825" s="74">
        <v>0.05</v>
      </c>
      <c r="F825" s="78" t="s">
        <v>222</v>
      </c>
      <c r="G825" s="77" t="s">
        <v>876</v>
      </c>
      <c r="H825" t="str">
        <f>VLOOKUP(D825,'DETALLE PRECIO INGREDIENTES'!B:B,1,0)</f>
        <v>VINO TINTO TETRA</v>
      </c>
    </row>
    <row r="826" spans="2:8" ht="15.5" hidden="1" x14ac:dyDescent="0.35">
      <c r="B826" s="75" t="s">
        <v>135</v>
      </c>
      <c r="C826" s="75" t="s">
        <v>129</v>
      </c>
      <c r="D826" s="73" t="s">
        <v>342</v>
      </c>
      <c r="E826" s="74">
        <v>0.04</v>
      </c>
      <c r="F826" s="78" t="s">
        <v>237</v>
      </c>
      <c r="G826" s="77" t="s">
        <v>220</v>
      </c>
      <c r="H826" t="str">
        <f>VLOOKUP(D826,'DETALLE PRECIO INGREDIENTES'!B:B,1,0)</f>
        <v>GARBANZOS</v>
      </c>
    </row>
    <row r="827" spans="2:8" ht="15.5" hidden="1" x14ac:dyDescent="0.35">
      <c r="B827" s="75" t="s">
        <v>135</v>
      </c>
      <c r="C827" s="75" t="s">
        <v>129</v>
      </c>
      <c r="D827" s="73" t="s">
        <v>918</v>
      </c>
      <c r="E827" s="74">
        <v>0.18</v>
      </c>
      <c r="F827" s="78" t="s">
        <v>259</v>
      </c>
      <c r="G827" s="77" t="s">
        <v>621</v>
      </c>
      <c r="H827" t="str">
        <f>VLOOKUP(D827,'DETALLE PRECIO INGREDIENTES'!B:B,1,0)</f>
        <v>PIMIENTO ROJO</v>
      </c>
    </row>
    <row r="828" spans="2:8" ht="15.5" hidden="1" x14ac:dyDescent="0.35">
      <c r="B828" s="75" t="s">
        <v>135</v>
      </c>
      <c r="C828" s="75" t="s">
        <v>129</v>
      </c>
      <c r="D828" s="73" t="s">
        <v>700</v>
      </c>
      <c r="E828" s="74">
        <v>0.18</v>
      </c>
      <c r="F828" s="78" t="s">
        <v>259</v>
      </c>
      <c r="G828" s="77" t="s">
        <v>621</v>
      </c>
      <c r="H828" t="str">
        <f>VLOOKUP(D828,'DETALLE PRECIO INGREDIENTES'!B:B,1,0)</f>
        <v>pimiento amarillo</v>
      </c>
    </row>
    <row r="829" spans="2:8" ht="15.5" hidden="1" x14ac:dyDescent="0.35">
      <c r="B829" s="75" t="s">
        <v>135</v>
      </c>
      <c r="C829" s="75" t="s">
        <v>129</v>
      </c>
      <c r="D829" s="73" t="s">
        <v>919</v>
      </c>
      <c r="E829" s="74">
        <v>0.15</v>
      </c>
      <c r="F829" s="78" t="s">
        <v>259</v>
      </c>
      <c r="G829" s="77" t="s">
        <v>621</v>
      </c>
      <c r="H829" t="str">
        <f>VLOOKUP(D829,'DETALLE PRECIO INGREDIENTES'!B:B,1,0)</f>
        <v>CEBOLLIN</v>
      </c>
    </row>
    <row r="830" spans="2:8" ht="15.5" hidden="1" x14ac:dyDescent="0.35">
      <c r="B830" s="75" t="s">
        <v>135</v>
      </c>
      <c r="C830" s="75" t="s">
        <v>129</v>
      </c>
      <c r="D830" s="73" t="s">
        <v>723</v>
      </c>
      <c r="E830" s="74">
        <v>0.18</v>
      </c>
      <c r="F830" s="78" t="s">
        <v>259</v>
      </c>
      <c r="G830" s="77" t="s">
        <v>621</v>
      </c>
      <c r="H830" t="str">
        <f>VLOOKUP(D830,'DETALLE PRECIO INGREDIENTES'!B:B,1,0)</f>
        <v>ZAPALLO ITALIANO</v>
      </c>
    </row>
    <row r="831" spans="2:8" ht="15.5" hidden="1" x14ac:dyDescent="0.35">
      <c r="B831" s="75" t="s">
        <v>135</v>
      </c>
      <c r="C831" s="75" t="s">
        <v>129</v>
      </c>
      <c r="D831" s="73" t="s">
        <v>680</v>
      </c>
      <c r="E831" s="74">
        <v>0.03</v>
      </c>
      <c r="F831" s="78" t="s">
        <v>237</v>
      </c>
      <c r="G831" s="77" t="s">
        <v>621</v>
      </c>
      <c r="H831" t="str">
        <f>VLOOKUP(D831,'DETALLE PRECIO INGREDIENTES'!B:B,1,0)</f>
        <v>LIMON DE JUGO</v>
      </c>
    </row>
    <row r="832" spans="2:8" ht="15.5" hidden="1" x14ac:dyDescent="0.35">
      <c r="B832" s="75" t="s">
        <v>135</v>
      </c>
      <c r="C832" s="75" t="s">
        <v>128</v>
      </c>
      <c r="D832" s="73" t="s">
        <v>703</v>
      </c>
      <c r="E832" s="74">
        <v>0.25</v>
      </c>
      <c r="F832" s="78" t="s">
        <v>259</v>
      </c>
      <c r="G832" s="77" t="s">
        <v>621</v>
      </c>
      <c r="H832" t="str">
        <f>VLOOKUP(D832,'DETALLE PRECIO INGREDIENTES'!B:B,1,0)</f>
        <v>PIMIENTO VERDE</v>
      </c>
    </row>
    <row r="833" spans="2:8" ht="15.5" hidden="1" x14ac:dyDescent="0.35">
      <c r="B833" s="75" t="s">
        <v>135</v>
      </c>
      <c r="C833" s="75" t="s">
        <v>128</v>
      </c>
      <c r="D833" s="73" t="s">
        <v>803</v>
      </c>
      <c r="E833" s="74">
        <v>0.02</v>
      </c>
      <c r="F833" s="78" t="s">
        <v>259</v>
      </c>
      <c r="G833" s="77" t="s">
        <v>795</v>
      </c>
      <c r="H833" t="str">
        <f>VLOOKUP(D833,'DETALLE PRECIO INGREDIENTES'!B:B,1,0)</f>
        <v>PAN MOLDE BLANCO LAMINA</v>
      </c>
    </row>
    <row r="834" spans="2:8" ht="15.5" hidden="1" x14ac:dyDescent="0.35">
      <c r="B834" s="75" t="s">
        <v>135</v>
      </c>
      <c r="C834" s="75" t="s">
        <v>128</v>
      </c>
      <c r="D834" s="73" t="s">
        <v>716</v>
      </c>
      <c r="E834" s="74">
        <v>0.6</v>
      </c>
      <c r="F834" s="78" t="s">
        <v>237</v>
      </c>
      <c r="G834" s="77" t="s">
        <v>621</v>
      </c>
      <c r="H834" t="str">
        <f>VLOOKUP(D834,'DETALLE PRECIO INGREDIENTES'!B:B,1,0)</f>
        <v>TOMATE LARGA VIDA</v>
      </c>
    </row>
    <row r="835" spans="2:8" ht="15.5" hidden="1" x14ac:dyDescent="0.35">
      <c r="B835" s="75" t="s">
        <v>135</v>
      </c>
      <c r="C835" s="75" t="s">
        <v>128</v>
      </c>
      <c r="D835" s="73" t="s">
        <v>920</v>
      </c>
      <c r="E835" s="74">
        <v>0.25</v>
      </c>
      <c r="F835" s="78" t="s">
        <v>259</v>
      </c>
      <c r="G835" s="77" t="s">
        <v>621</v>
      </c>
      <c r="H835" t="str">
        <f>VLOOKUP(D835,'DETALLE PRECIO INGREDIENTES'!B:B,1,0)</f>
        <v>PEPINO ENSALADA</v>
      </c>
    </row>
    <row r="836" spans="2:8" ht="15.5" hidden="1" x14ac:dyDescent="0.35">
      <c r="B836" s="75" t="s">
        <v>135</v>
      </c>
      <c r="C836" s="75" t="s">
        <v>128</v>
      </c>
      <c r="D836" s="73" t="s">
        <v>628</v>
      </c>
      <c r="E836" s="74">
        <v>0.1</v>
      </c>
      <c r="F836" s="78" t="s">
        <v>259</v>
      </c>
      <c r="G836" s="77" t="s">
        <v>621</v>
      </c>
      <c r="H836" t="str">
        <f>VLOOKUP(D836,'DETALLE PRECIO INGREDIENTES'!B:B,1,0)</f>
        <v>AJO CABEZA</v>
      </c>
    </row>
    <row r="837" spans="2:8" ht="15.5" hidden="1" x14ac:dyDescent="0.35">
      <c r="B837" s="75" t="s">
        <v>135</v>
      </c>
      <c r="C837" s="75" t="s">
        <v>128</v>
      </c>
      <c r="D837" s="73" t="s">
        <v>644</v>
      </c>
      <c r="E837" s="74">
        <v>0.35</v>
      </c>
      <c r="F837" s="78" t="s">
        <v>237</v>
      </c>
      <c r="G837" s="77" t="s">
        <v>621</v>
      </c>
      <c r="H837" t="str">
        <f>VLOOKUP(D837,'DETALLE PRECIO INGREDIENTES'!B:B,1,0)</f>
        <v>CEBOLLA BLANCA</v>
      </c>
    </row>
    <row r="838" spans="2:8" ht="15.5" x14ac:dyDescent="0.35">
      <c r="B838" s="75" t="s">
        <v>135</v>
      </c>
      <c r="C838" s="75" t="s">
        <v>128</v>
      </c>
      <c r="D838" s="73" t="s">
        <v>903</v>
      </c>
      <c r="E838" s="74">
        <v>0.05</v>
      </c>
      <c r="F838" s="78" t="s">
        <v>259</v>
      </c>
      <c r="G838" s="77" t="s">
        <v>621</v>
      </c>
      <c r="H838" t="e">
        <f>VLOOKUP(D838,'DETALLE PRECIO INGREDIENTES'!B:B,1,0)</f>
        <v>#N/A</v>
      </c>
    </row>
    <row r="839" spans="2:8" ht="15.5" hidden="1" x14ac:dyDescent="0.35">
      <c r="B839" s="75" t="s">
        <v>135</v>
      </c>
      <c r="C839" s="75" t="s">
        <v>128</v>
      </c>
      <c r="D839" s="73" t="s">
        <v>428</v>
      </c>
      <c r="E839" s="74">
        <v>5.0000000000000001E-4</v>
      </c>
      <c r="F839" s="78" t="s">
        <v>237</v>
      </c>
      <c r="G839" s="77" t="s">
        <v>220</v>
      </c>
      <c r="H839" t="str">
        <f>VLOOKUP(D839,'DETALLE PRECIO INGREDIENTES'!B:B,1,0)</f>
        <v>PIMIENTA NEGRA MOLIDA</v>
      </c>
    </row>
    <row r="840" spans="2:8" ht="15.5" hidden="1" x14ac:dyDescent="0.35">
      <c r="B840" s="75" t="s">
        <v>135</v>
      </c>
      <c r="C840" s="75" t="s">
        <v>128</v>
      </c>
      <c r="D840" s="73" t="s">
        <v>475</v>
      </c>
      <c r="E840" s="74">
        <v>5.0000000000000001E-3</v>
      </c>
      <c r="F840" s="78" t="s">
        <v>222</v>
      </c>
      <c r="G840" s="77" t="s">
        <v>220</v>
      </c>
      <c r="H840" t="str">
        <f>VLOOKUP(D840,'DETALLE PRECIO INGREDIENTES'!B:B,1,0)</f>
        <v>vinagre de jerez</v>
      </c>
    </row>
    <row r="841" spans="2:8" ht="15.5" hidden="1" x14ac:dyDescent="0.35">
      <c r="B841" s="75" t="s">
        <v>135</v>
      </c>
      <c r="C841" s="75" t="s">
        <v>128</v>
      </c>
      <c r="D841" s="73" t="s">
        <v>907</v>
      </c>
      <c r="E841" s="74">
        <v>0.04</v>
      </c>
      <c r="F841" s="78" t="s">
        <v>222</v>
      </c>
      <c r="G841" s="77" t="s">
        <v>220</v>
      </c>
      <c r="H841" t="str">
        <f>VLOOKUP(D841,'DETALLE PRECIO INGREDIENTES'!B:B,1,0)</f>
        <v>ACEITE DE OLIVA</v>
      </c>
    </row>
    <row r="842" spans="2:8" ht="15.5" hidden="1" x14ac:dyDescent="0.35">
      <c r="B842" s="75" t="s">
        <v>135</v>
      </c>
      <c r="C842" s="75" t="s">
        <v>128</v>
      </c>
      <c r="D842" s="73" t="s">
        <v>921</v>
      </c>
      <c r="E842" s="74">
        <v>0.15</v>
      </c>
      <c r="F842" s="78" t="s">
        <v>237</v>
      </c>
      <c r="G842" s="77" t="s">
        <v>621</v>
      </c>
      <c r="H842" t="str">
        <f>VLOOKUP(D842,'DETALLE PRECIO INGREDIENTES'!B:B,1,0)</f>
        <v>PAPAS</v>
      </c>
    </row>
    <row r="843" spans="2:8" ht="15.5" hidden="1" x14ac:dyDescent="0.35">
      <c r="B843" s="75" t="s">
        <v>135</v>
      </c>
      <c r="C843" s="75" t="s">
        <v>128</v>
      </c>
      <c r="D843" s="73" t="s">
        <v>541</v>
      </c>
      <c r="E843" s="74">
        <v>3.7499999999999999E-2</v>
      </c>
      <c r="F843" s="78" t="s">
        <v>237</v>
      </c>
      <c r="G843" s="77" t="s">
        <v>525</v>
      </c>
      <c r="H843" t="str">
        <f>VLOOKUP(D843,'DETALLE PRECIO INGREDIENTES'!B:B,1,0)</f>
        <v>chorizo español</v>
      </c>
    </row>
    <row r="844" spans="2:8" ht="15.5" hidden="1" x14ac:dyDescent="0.35">
      <c r="B844" s="75" t="s">
        <v>135</v>
      </c>
      <c r="C844" s="75" t="s">
        <v>128</v>
      </c>
      <c r="D844" s="73" t="s">
        <v>910</v>
      </c>
      <c r="E844" s="74">
        <v>0.02</v>
      </c>
      <c r="F844" s="78" t="s">
        <v>237</v>
      </c>
      <c r="G844" s="77" t="s">
        <v>621</v>
      </c>
      <c r="H844" t="str">
        <f>VLOOKUP(D844,'DETALLE PRECIO INGREDIENTES'!B:B,1,0)</f>
        <v>PEREJIL</v>
      </c>
    </row>
    <row r="845" spans="2:8" ht="15.5" hidden="1" x14ac:dyDescent="0.35">
      <c r="B845" s="75" t="s">
        <v>135</v>
      </c>
      <c r="C845" s="75" t="s">
        <v>128</v>
      </c>
      <c r="D845" s="73" t="s">
        <v>233</v>
      </c>
      <c r="E845" s="74">
        <v>0.2</v>
      </c>
      <c r="F845" s="78" t="s">
        <v>222</v>
      </c>
      <c r="G845" s="77" t="s">
        <v>220</v>
      </c>
      <c r="H845" t="str">
        <f>VLOOKUP(D845,'DETALLE PRECIO INGREDIENTES'!B:B,1,0)</f>
        <v>ACEITE PARA FREIR</v>
      </c>
    </row>
    <row r="846" spans="2:8" ht="15.5" hidden="1" x14ac:dyDescent="0.35">
      <c r="B846" s="75" t="s">
        <v>135</v>
      </c>
      <c r="C846" s="75" t="s">
        <v>128</v>
      </c>
      <c r="D846" s="73" t="s">
        <v>729</v>
      </c>
      <c r="E846" s="74">
        <v>1</v>
      </c>
      <c r="F846" s="78" t="s">
        <v>259</v>
      </c>
      <c r="G846" s="77" t="s">
        <v>728</v>
      </c>
      <c r="H846" t="str">
        <f>VLOOKUP(D846,'DETALLE PRECIO INGREDIENTES'!B:B,1,0)</f>
        <v>HUEVO EXTRA BLANCO</v>
      </c>
    </row>
    <row r="847" spans="2:8" ht="15.5" hidden="1" x14ac:dyDescent="0.35">
      <c r="B847" s="75" t="s">
        <v>135</v>
      </c>
      <c r="C847" s="75" t="s">
        <v>128</v>
      </c>
      <c r="D847" s="73" t="s">
        <v>922</v>
      </c>
      <c r="E847" s="74">
        <v>0.15</v>
      </c>
      <c r="F847" s="78" t="s">
        <v>237</v>
      </c>
      <c r="G847" s="77" t="s">
        <v>839</v>
      </c>
      <c r="H847" t="str">
        <f>VLOOKUP(D847,'DETALLE PRECIO INGREDIENTES'!B:B,1,0)</f>
        <v>POLLO TRUTRO CORTO</v>
      </c>
    </row>
    <row r="848" spans="2:8" ht="15.5" hidden="1" x14ac:dyDescent="0.35">
      <c r="B848" s="75" t="s">
        <v>135</v>
      </c>
      <c r="C848" s="75" t="s">
        <v>128</v>
      </c>
      <c r="D848" s="73" t="s">
        <v>539</v>
      </c>
      <c r="E848" s="74">
        <v>0.05</v>
      </c>
      <c r="F848" s="78" t="s">
        <v>237</v>
      </c>
      <c r="G848" s="77" t="s">
        <v>525</v>
      </c>
      <c r="H848" t="str">
        <f>VLOOKUP(D848,'DETALLE PRECIO INGREDIENTES'!B:B,1,0)</f>
        <v>CERDO PULPA SIN HUESO</v>
      </c>
    </row>
    <row r="849" spans="2:8" ht="15.5" hidden="1" x14ac:dyDescent="0.35">
      <c r="B849" s="75" t="s">
        <v>135</v>
      </c>
      <c r="C849" s="75" t="s">
        <v>128</v>
      </c>
      <c r="D849" s="73" t="s">
        <v>706</v>
      </c>
      <c r="E849" s="74">
        <v>0.05</v>
      </c>
      <c r="F849" s="78" t="s">
        <v>237</v>
      </c>
      <c r="G849" s="77" t="s">
        <v>621</v>
      </c>
      <c r="H849" t="str">
        <f>VLOOKUP(D849,'DETALLE PRECIO INGREDIENTES'!B:B,1,0)</f>
        <v>POROTOS VERDES FRESCOS</v>
      </c>
    </row>
    <row r="850" spans="2:8" ht="15.5" hidden="1" x14ac:dyDescent="0.35">
      <c r="B850" s="75" t="s">
        <v>135</v>
      </c>
      <c r="C850" s="75" t="s">
        <v>128</v>
      </c>
      <c r="D850" s="73" t="s">
        <v>702</v>
      </c>
      <c r="E850" s="74">
        <v>0.25</v>
      </c>
      <c r="F850" s="78" t="s">
        <v>259</v>
      </c>
      <c r="G850" s="77" t="s">
        <v>621</v>
      </c>
      <c r="H850" t="str">
        <f>VLOOKUP(D850,'DETALLE PRECIO INGREDIENTES'!B:B,1,0)</f>
        <v>PIMIENTO ROJO</v>
      </c>
    </row>
    <row r="851" spans="2:8" ht="15.5" hidden="1" x14ac:dyDescent="0.35">
      <c r="B851" s="75" t="s">
        <v>135</v>
      </c>
      <c r="C851" s="75" t="s">
        <v>128</v>
      </c>
      <c r="D851" s="73" t="s">
        <v>276</v>
      </c>
      <c r="E851" s="74">
        <v>0.125</v>
      </c>
      <c r="F851" s="78" t="s">
        <v>259</v>
      </c>
      <c r="G851" s="77" t="s">
        <v>220</v>
      </c>
      <c r="H851" t="str">
        <f>VLOOKUP(D851,'DETALLE PRECIO INGREDIENTES'!B:B,1,0)</f>
        <v>azafran</v>
      </c>
    </row>
    <row r="852" spans="2:8" ht="15.5" hidden="1" x14ac:dyDescent="0.35">
      <c r="B852" s="75" t="s">
        <v>135</v>
      </c>
      <c r="C852" s="75" t="s">
        <v>128</v>
      </c>
      <c r="D852" s="73" t="s">
        <v>268</v>
      </c>
      <c r="E852" s="74">
        <v>0.1</v>
      </c>
      <c r="F852" s="78" t="s">
        <v>237</v>
      </c>
      <c r="G852" s="77" t="s">
        <v>220</v>
      </c>
      <c r="H852" t="str">
        <f>VLOOKUP(D852,'DETALLE PRECIO INGREDIENTES'!B:B,1,0)</f>
        <v>ARROZ GRANO LARGO GRADO 1</v>
      </c>
    </row>
    <row r="853" spans="2:8" ht="15.5" hidden="1" x14ac:dyDescent="0.35">
      <c r="B853" s="75" t="s">
        <v>135</v>
      </c>
      <c r="C853" s="75" t="s">
        <v>128</v>
      </c>
      <c r="D853" s="73" t="s">
        <v>667</v>
      </c>
      <c r="E853" s="74">
        <v>0.25</v>
      </c>
      <c r="F853" s="78" t="s">
        <v>259</v>
      </c>
      <c r="G853" s="77" t="s">
        <v>621</v>
      </c>
      <c r="H853" t="str">
        <f>VLOOKUP(D853,'DETALLE PRECIO INGREDIENTES'!B:B,1,0)</f>
        <v>FONDOS DE ALCACHOFA</v>
      </c>
    </row>
    <row r="854" spans="2:8" ht="15.5" hidden="1" x14ac:dyDescent="0.35">
      <c r="B854" s="75" t="s">
        <v>135</v>
      </c>
      <c r="C854" s="75" t="s">
        <v>127</v>
      </c>
      <c r="D854" s="73" t="s">
        <v>267</v>
      </c>
      <c r="E854" s="74">
        <v>0.25</v>
      </c>
      <c r="F854" s="78" t="s">
        <v>237</v>
      </c>
      <c r="G854" s="77" t="s">
        <v>220</v>
      </c>
      <c r="H854" t="str">
        <f>VLOOKUP(D854,'DETALLE PRECIO INGREDIENTES'!B:B,1,0)</f>
        <v>ARROZ GRANO CORTO GRADO 2</v>
      </c>
    </row>
    <row r="855" spans="2:8" ht="15.5" hidden="1" x14ac:dyDescent="0.35">
      <c r="B855" s="75" t="s">
        <v>135</v>
      </c>
      <c r="C855" s="75" t="s">
        <v>127</v>
      </c>
      <c r="D855" s="73" t="s">
        <v>445</v>
      </c>
      <c r="E855" s="74">
        <v>4.2500000000000003E-3</v>
      </c>
      <c r="F855" s="78" t="s">
        <v>237</v>
      </c>
      <c r="G855" s="77" t="s">
        <v>220</v>
      </c>
      <c r="H855" t="str">
        <f>VLOOKUP(D855,'DETALLE PRECIO INGREDIENTES'!B:B,1,0)</f>
        <v>SAL DE MESA LOBOS</v>
      </c>
    </row>
    <row r="856" spans="2:8" ht="15.5" hidden="1" x14ac:dyDescent="0.35">
      <c r="B856" s="75" t="s">
        <v>135</v>
      </c>
      <c r="C856" s="75" t="s">
        <v>127</v>
      </c>
      <c r="D856" s="73" t="s">
        <v>277</v>
      </c>
      <c r="E856" s="74">
        <v>7.0000000000000007E-2</v>
      </c>
      <c r="F856" s="78" t="s">
        <v>237</v>
      </c>
      <c r="G856" s="77" t="s">
        <v>220</v>
      </c>
      <c r="H856" t="str">
        <f>VLOOKUP(D856,'DETALLE PRECIO INGREDIENTES'!B:B,1,0)</f>
        <v>AZUCAR BLANCA GRANULADA</v>
      </c>
    </row>
    <row r="857" spans="2:8" ht="15.5" hidden="1" x14ac:dyDescent="0.35">
      <c r="B857" s="75" t="s">
        <v>135</v>
      </c>
      <c r="C857" s="75" t="s">
        <v>127</v>
      </c>
      <c r="D857" s="73" t="s">
        <v>474</v>
      </c>
      <c r="E857" s="74">
        <v>0.08</v>
      </c>
      <c r="F857" s="78" t="s">
        <v>222</v>
      </c>
      <c r="G857" s="77" t="s">
        <v>220</v>
      </c>
      <c r="H857" t="str">
        <f>VLOOKUP(D857,'DETALLE PRECIO INGREDIENTES'!B:B,1,0)</f>
        <v>vinagre de arroz</v>
      </c>
    </row>
    <row r="858" spans="2:8" ht="15.5" hidden="1" x14ac:dyDescent="0.35">
      <c r="B858" s="75" t="s">
        <v>135</v>
      </c>
      <c r="C858" s="75" t="s">
        <v>127</v>
      </c>
      <c r="D858" s="73" t="s">
        <v>257</v>
      </c>
      <c r="E858" s="74">
        <v>5.0000000000000001E-3</v>
      </c>
      <c r="F858" s="78" t="s">
        <v>237</v>
      </c>
      <c r="G858" s="77" t="s">
        <v>220</v>
      </c>
      <c r="H858" t="str">
        <f>VLOOKUP(D858,'DETALLE PRECIO INGREDIENTES'!B:B,1,0)</f>
        <v>ALGA KOMBU</v>
      </c>
    </row>
    <row r="859" spans="2:8" ht="15.5" hidden="1" x14ac:dyDescent="0.35">
      <c r="B859" s="75" t="s">
        <v>135</v>
      </c>
      <c r="C859" s="75" t="s">
        <v>127</v>
      </c>
      <c r="D859" s="73" t="s">
        <v>838</v>
      </c>
      <c r="E859" s="74">
        <v>0.05</v>
      </c>
      <c r="F859" s="78" t="s">
        <v>237</v>
      </c>
      <c r="G859" s="77" t="s">
        <v>806</v>
      </c>
      <c r="H859" t="str">
        <f>VLOOKUP(D859,'DETALLE PRECIO INGREDIENTES'!B:B,1,0)</f>
        <v>SALMON FRESCO FILETE C/PIEL</v>
      </c>
    </row>
    <row r="860" spans="2:8" ht="15.5" hidden="1" x14ac:dyDescent="0.35">
      <c r="B860" s="75" t="s">
        <v>135</v>
      </c>
      <c r="C860" s="75" t="s">
        <v>127</v>
      </c>
      <c r="D860" s="73" t="s">
        <v>816</v>
      </c>
      <c r="E860" s="74">
        <v>0.05</v>
      </c>
      <c r="F860" s="78" t="s">
        <v>237</v>
      </c>
      <c r="G860" s="77" t="s">
        <v>806</v>
      </c>
      <c r="H860" t="str">
        <f>VLOOKUP(D860,'DETALLE PRECIO INGREDIENTES'!B:B,1,0)</f>
        <v>CAMARON ECUATORIANO 36-40</v>
      </c>
    </row>
    <row r="861" spans="2:8" ht="15.5" hidden="1" x14ac:dyDescent="0.35">
      <c r="B861" s="75" t="s">
        <v>135</v>
      </c>
      <c r="C861" s="75" t="s">
        <v>127</v>
      </c>
      <c r="D861" s="73" t="s">
        <v>825</v>
      </c>
      <c r="E861" s="74">
        <v>6.2500000000000003E-3</v>
      </c>
      <c r="F861" s="78" t="s">
        <v>259</v>
      </c>
      <c r="G861" s="77" t="s">
        <v>806</v>
      </c>
      <c r="H861" t="str">
        <f>VLOOKUP(D861,'DETALLE PRECIO INGREDIENTES'!B:B,1,0)</f>
        <v>huevas de salmon</v>
      </c>
    </row>
    <row r="862" spans="2:8" ht="15.5" hidden="1" x14ac:dyDescent="0.35">
      <c r="B862" s="75" t="s">
        <v>135</v>
      </c>
      <c r="C862" s="75" t="s">
        <v>127</v>
      </c>
      <c r="D862" s="73" t="s">
        <v>478</v>
      </c>
      <c r="E862" s="74">
        <v>2.5000000000000001E-3</v>
      </c>
      <c r="F862" s="78" t="s">
        <v>237</v>
      </c>
      <c r="G862" s="77" t="s">
        <v>220</v>
      </c>
      <c r="H862" t="str">
        <f>VLOOKUP(D862,'DETALLE PRECIO INGREDIENTES'!B:B,1,0)</f>
        <v>wasabi</v>
      </c>
    </row>
    <row r="863" spans="2:8" ht="15.5" hidden="1" x14ac:dyDescent="0.35">
      <c r="B863" s="75" t="s">
        <v>135</v>
      </c>
      <c r="C863" s="75" t="s">
        <v>127</v>
      </c>
      <c r="D863" s="73" t="s">
        <v>919</v>
      </c>
      <c r="E863" s="74">
        <v>0.25</v>
      </c>
      <c r="F863" s="78" t="s">
        <v>259</v>
      </c>
      <c r="G863" s="77" t="s">
        <v>621</v>
      </c>
      <c r="H863" t="str">
        <f>VLOOKUP(D863,'DETALLE PRECIO INGREDIENTES'!B:B,1,0)</f>
        <v>CEBOLLIN</v>
      </c>
    </row>
    <row r="864" spans="2:8" ht="15.5" hidden="1" x14ac:dyDescent="0.35">
      <c r="B864" s="75" t="s">
        <v>135</v>
      </c>
      <c r="C864" s="75" t="s">
        <v>127</v>
      </c>
      <c r="D864" s="73" t="s">
        <v>258</v>
      </c>
      <c r="E864" s="74">
        <v>2</v>
      </c>
      <c r="F864" s="78" t="s">
        <v>259</v>
      </c>
      <c r="G864" s="77" t="s">
        <v>220</v>
      </c>
      <c r="H864" t="str">
        <f>VLOOKUP(D864,'DETALLE PRECIO INGREDIENTES'!B:B,1,0)</f>
        <v>alga nori</v>
      </c>
    </row>
    <row r="865" spans="2:8" ht="15.5" hidden="1" x14ac:dyDescent="0.35">
      <c r="B865" s="75" t="s">
        <v>135</v>
      </c>
      <c r="C865" s="75" t="s">
        <v>127</v>
      </c>
      <c r="D865" s="73" t="s">
        <v>840</v>
      </c>
      <c r="E865" s="74">
        <v>3.7499999999999999E-2</v>
      </c>
      <c r="F865" s="78" t="s">
        <v>237</v>
      </c>
      <c r="G865" s="77" t="s">
        <v>839</v>
      </c>
      <c r="H865" t="str">
        <f>VLOOKUP(D865,'DETALLE PRECIO INGREDIENTES'!B:B,1,0)</f>
        <v>HUESOS DE POLLO</v>
      </c>
    </row>
    <row r="866" spans="2:8" ht="15.5" hidden="1" x14ac:dyDescent="0.35">
      <c r="B866" s="75" t="s">
        <v>135</v>
      </c>
      <c r="C866" s="75" t="s">
        <v>127</v>
      </c>
      <c r="D866" s="73" t="s">
        <v>923</v>
      </c>
      <c r="E866" s="74">
        <v>0.125</v>
      </c>
      <c r="F866" s="78" t="s">
        <v>222</v>
      </c>
      <c r="G866" s="77" t="s">
        <v>220</v>
      </c>
      <c r="H866" t="str">
        <f>VLOOKUP(D866,'DETALLE PRECIO INGREDIENTES'!B:B,1,0)</f>
        <v>SALSA DE SOYA</v>
      </c>
    </row>
    <row r="867" spans="2:8" ht="15.5" hidden="1" x14ac:dyDescent="0.35">
      <c r="B867" s="75" t="s">
        <v>135</v>
      </c>
      <c r="C867" s="75" t="s">
        <v>127</v>
      </c>
      <c r="D867" s="73" t="s">
        <v>784</v>
      </c>
      <c r="E867" s="74">
        <v>2.5000000000000001E-2</v>
      </c>
      <c r="F867" s="78" t="s">
        <v>222</v>
      </c>
      <c r="G867" s="77" t="s">
        <v>776</v>
      </c>
      <c r="H867" t="str">
        <f>VLOOKUP(D867,'DETALLE PRECIO INGREDIENTES'!B:B,1,0)</f>
        <v>MIRIN/LICOR DE ARROZ DULCE</v>
      </c>
    </row>
    <row r="868" spans="2:8" ht="15.5" hidden="1" x14ac:dyDescent="0.35">
      <c r="B868" s="75" t="s">
        <v>135</v>
      </c>
      <c r="C868" s="75" t="s">
        <v>127</v>
      </c>
      <c r="D868" s="73" t="s">
        <v>231</v>
      </c>
      <c r="E868" s="74">
        <v>2.5000000000000001E-3</v>
      </c>
      <c r="F868" s="78" t="s">
        <v>222</v>
      </c>
      <c r="G868" s="77" t="s">
        <v>220</v>
      </c>
      <c r="H868" t="str">
        <f>VLOOKUP(D868,'DETALLE PRECIO INGREDIENTES'!B:B,1,0)</f>
        <v>ACEITE DE SESAMO</v>
      </c>
    </row>
    <row r="869" spans="2:8" ht="15.5" hidden="1" x14ac:dyDescent="0.35">
      <c r="B869" s="75" t="s">
        <v>135</v>
      </c>
      <c r="C869" s="75" t="s">
        <v>127</v>
      </c>
      <c r="D869" s="73" t="s">
        <v>924</v>
      </c>
      <c r="E869" s="74">
        <v>0.02</v>
      </c>
      <c r="F869" s="78" t="s">
        <v>237</v>
      </c>
      <c r="G869" s="77" t="s">
        <v>621</v>
      </c>
      <c r="H869" t="str">
        <f>VLOOKUP(D869,'DETALLE PRECIO INGREDIENTES'!B:B,1,0)</f>
        <v>JENGIBRE</v>
      </c>
    </row>
    <row r="870" spans="2:8" ht="15.5" hidden="1" x14ac:dyDescent="0.35">
      <c r="B870" s="75" t="s">
        <v>135</v>
      </c>
      <c r="C870" s="75" t="s">
        <v>127</v>
      </c>
      <c r="D870" s="73" t="s">
        <v>925</v>
      </c>
      <c r="E870" s="74">
        <v>1.2500000000000001E-2</v>
      </c>
      <c r="F870" s="78" t="s">
        <v>237</v>
      </c>
      <c r="G870" s="77" t="s">
        <v>621</v>
      </c>
      <c r="H870" t="str">
        <f>VLOOKUP(D870,'DETALLE PRECIO INGREDIENTES'!B:B,1,0)</f>
        <v>ZANAHORIA</v>
      </c>
    </row>
    <row r="871" spans="2:8" ht="15.5" hidden="1" x14ac:dyDescent="0.35">
      <c r="B871" s="75" t="s">
        <v>135</v>
      </c>
      <c r="C871" s="75" t="s">
        <v>127</v>
      </c>
      <c r="D871" s="73" t="s">
        <v>703</v>
      </c>
      <c r="E871" s="74">
        <v>1.2500000000000001E-2</v>
      </c>
      <c r="F871" s="78" t="s">
        <v>259</v>
      </c>
      <c r="G871" s="77" t="s">
        <v>621</v>
      </c>
      <c r="H871" t="str">
        <f>VLOOKUP(D871,'DETALLE PRECIO INGREDIENTES'!B:B,1,0)</f>
        <v>PIMIENTO VERDE</v>
      </c>
    </row>
    <row r="872" spans="2:8" ht="15.5" hidden="1" x14ac:dyDescent="0.35">
      <c r="B872" s="75" t="s">
        <v>135</v>
      </c>
      <c r="C872" s="75" t="s">
        <v>127</v>
      </c>
      <c r="D872" s="73" t="s">
        <v>788</v>
      </c>
      <c r="E872" s="74">
        <v>0.01</v>
      </c>
      <c r="F872" s="78" t="s">
        <v>259</v>
      </c>
      <c r="G872" s="77" t="s">
        <v>776</v>
      </c>
      <c r="H872" t="str">
        <f>VLOOKUP(D872,'DETALLE PRECIO INGREDIENTES'!B:B,1,0)</f>
        <v>SAKE / LICOR DE ARROZ JAPONES</v>
      </c>
    </row>
    <row r="873" spans="2:8" ht="15.5" hidden="1" x14ac:dyDescent="0.35">
      <c r="B873" s="75" t="s">
        <v>135</v>
      </c>
      <c r="C873" s="75" t="s">
        <v>127</v>
      </c>
      <c r="D873" s="73" t="s">
        <v>926</v>
      </c>
      <c r="E873" s="74">
        <v>2.5000000000000001E-2</v>
      </c>
      <c r="F873" s="78" t="s">
        <v>237</v>
      </c>
      <c r="G873" s="77" t="s">
        <v>621</v>
      </c>
      <c r="H873" t="str">
        <f>VLOOKUP(D873,'DETALLE PRECIO INGREDIENTES'!B:B,1,0)</f>
        <v>CEBOLLA BLANCA</v>
      </c>
    </row>
    <row r="874" spans="2:8" ht="15.5" hidden="1" x14ac:dyDescent="0.35">
      <c r="B874" s="75" t="s">
        <v>135</v>
      </c>
      <c r="C874" s="75" t="s">
        <v>127</v>
      </c>
      <c r="D874" s="73" t="s">
        <v>716</v>
      </c>
      <c r="E874" s="74">
        <v>0.05</v>
      </c>
      <c r="F874" s="78" t="s">
        <v>237</v>
      </c>
      <c r="G874" s="77" t="s">
        <v>621</v>
      </c>
      <c r="H874" t="str">
        <f>VLOOKUP(D874,'DETALLE PRECIO INGREDIENTES'!B:B,1,0)</f>
        <v>TOMATE LARGA VIDA</v>
      </c>
    </row>
    <row r="875" spans="2:8" ht="15.5" hidden="1" x14ac:dyDescent="0.35">
      <c r="B875" s="75" t="s">
        <v>135</v>
      </c>
      <c r="C875" s="75" t="s">
        <v>127</v>
      </c>
      <c r="D875" s="73" t="s">
        <v>920</v>
      </c>
      <c r="E875" s="74">
        <v>0.125</v>
      </c>
      <c r="F875" s="78" t="s">
        <v>259</v>
      </c>
      <c r="G875" s="77" t="s">
        <v>621</v>
      </c>
      <c r="H875" t="str">
        <f>VLOOKUP(D875,'DETALLE PRECIO INGREDIENTES'!B:B,1,0)</f>
        <v>PEPINO ENSALADA</v>
      </c>
    </row>
    <row r="876" spans="2:8" ht="15.5" hidden="1" x14ac:dyDescent="0.35">
      <c r="B876" s="75" t="s">
        <v>135</v>
      </c>
      <c r="C876" s="75" t="s">
        <v>127</v>
      </c>
      <c r="D876" s="73" t="s">
        <v>628</v>
      </c>
      <c r="E876" s="74">
        <v>2.75E-2</v>
      </c>
      <c r="F876" s="78" t="s">
        <v>259</v>
      </c>
      <c r="G876" s="77" t="s">
        <v>621</v>
      </c>
      <c r="H876" t="str">
        <f>VLOOKUP(D876,'DETALLE PRECIO INGREDIENTES'!B:B,1,0)</f>
        <v>AJO CABEZA</v>
      </c>
    </row>
    <row r="877" spans="2:8" ht="15.5" hidden="1" x14ac:dyDescent="0.35">
      <c r="B877" s="75" t="s">
        <v>135</v>
      </c>
      <c r="C877" s="75" t="s">
        <v>127</v>
      </c>
      <c r="D877" s="73" t="s">
        <v>927</v>
      </c>
      <c r="E877" s="74">
        <v>0.02</v>
      </c>
      <c r="F877" s="78" t="s">
        <v>237</v>
      </c>
      <c r="G877" s="77" t="s">
        <v>621</v>
      </c>
      <c r="H877" t="str">
        <f>VLOOKUP(D877,'DETALLE PRECIO INGREDIENTES'!B:B,1,0)</f>
        <v>CILANTRO</v>
      </c>
    </row>
    <row r="878" spans="2:8" ht="15.5" hidden="1" x14ac:dyDescent="0.35">
      <c r="B878" s="75" t="s">
        <v>135</v>
      </c>
      <c r="C878" s="75" t="s">
        <v>127</v>
      </c>
      <c r="D878" s="73" t="s">
        <v>673</v>
      </c>
      <c r="E878" s="74">
        <v>2.5000000000000001E-3</v>
      </c>
      <c r="F878" s="78" t="s">
        <v>237</v>
      </c>
      <c r="G878" s="77" t="s">
        <v>621</v>
      </c>
      <c r="H878" t="str">
        <f>VLOOKUP(D878,'DETALLE PRECIO INGREDIENTES'!B:B,1,0)</f>
        <v>HIERBABUENA</v>
      </c>
    </row>
    <row r="879" spans="2:8" ht="15.5" hidden="1" x14ac:dyDescent="0.35">
      <c r="B879" s="75" t="s">
        <v>135</v>
      </c>
      <c r="C879" s="75" t="s">
        <v>127</v>
      </c>
      <c r="D879" s="73" t="s">
        <v>428</v>
      </c>
      <c r="E879" s="74">
        <v>2.5000000000000001E-4</v>
      </c>
      <c r="F879" s="78" t="s">
        <v>237</v>
      </c>
      <c r="G879" s="77" t="s">
        <v>220</v>
      </c>
      <c r="H879" t="str">
        <f>VLOOKUP(D879,'DETALLE PRECIO INGREDIENTES'!B:B,1,0)</f>
        <v>PIMIENTA NEGRA MOLIDA</v>
      </c>
    </row>
    <row r="880" spans="2:8" ht="15.5" hidden="1" x14ac:dyDescent="0.35">
      <c r="B880" s="75" t="s">
        <v>135</v>
      </c>
      <c r="C880" s="75" t="s">
        <v>127</v>
      </c>
      <c r="D880" s="73" t="s">
        <v>309</v>
      </c>
      <c r="E880" s="74">
        <v>1E-3</v>
      </c>
      <c r="F880" s="78" t="s">
        <v>237</v>
      </c>
      <c r="G880" s="77" t="s">
        <v>220</v>
      </c>
      <c r="H880" t="str">
        <f>VLOOKUP(D880,'DETALLE PRECIO INGREDIENTES'!B:B,1,0)</f>
        <v>COMINO MOLIDO</v>
      </c>
    </row>
    <row r="881" spans="2:8" ht="15.5" hidden="1" x14ac:dyDescent="0.35">
      <c r="B881" s="75" t="s">
        <v>135</v>
      </c>
      <c r="C881" s="75" t="s">
        <v>127</v>
      </c>
      <c r="D881" s="73" t="s">
        <v>409</v>
      </c>
      <c r="E881" s="74">
        <v>1.2500000000000001E-2</v>
      </c>
      <c r="F881" s="78" t="s">
        <v>237</v>
      </c>
      <c r="G881" s="77" t="s">
        <v>220</v>
      </c>
      <c r="H881" t="str">
        <f>VLOOKUP(D881,'DETALLE PRECIO INGREDIENTES'!B:B,1,0)</f>
        <v>PAN RALLADO</v>
      </c>
    </row>
    <row r="882" spans="2:8" ht="15.5" hidden="1" x14ac:dyDescent="0.35">
      <c r="B882" s="75" t="s">
        <v>135</v>
      </c>
      <c r="C882" s="75" t="s">
        <v>127</v>
      </c>
      <c r="D882" s="73" t="s">
        <v>698</v>
      </c>
      <c r="E882" s="74">
        <v>1E-3</v>
      </c>
      <c r="F882" s="78" t="s">
        <v>237</v>
      </c>
      <c r="G882" s="77" t="s">
        <v>621</v>
      </c>
      <c r="H882" t="str">
        <f>VLOOKUP(D882,'DETALLE PRECIO INGREDIENTES'!B:B,1,0)</f>
        <v>PEREJIL</v>
      </c>
    </row>
    <row r="883" spans="2:8" ht="15.5" hidden="1" x14ac:dyDescent="0.35">
      <c r="B883" s="75" t="s">
        <v>135</v>
      </c>
      <c r="C883" s="75" t="s">
        <v>127</v>
      </c>
      <c r="D883" s="73" t="s">
        <v>233</v>
      </c>
      <c r="E883" s="74">
        <v>0.12</v>
      </c>
      <c r="F883" s="78" t="s">
        <v>222</v>
      </c>
      <c r="G883" s="77" t="s">
        <v>220</v>
      </c>
      <c r="H883" t="str">
        <f>VLOOKUP(D883,'DETALLE PRECIO INGREDIENTES'!B:B,1,0)</f>
        <v>ACEITE PARA FREIR</v>
      </c>
    </row>
    <row r="884" spans="2:8" ht="15.5" hidden="1" x14ac:dyDescent="0.35">
      <c r="B884" s="75" t="s">
        <v>135</v>
      </c>
      <c r="C884" s="75" t="s">
        <v>127</v>
      </c>
      <c r="D884" s="73" t="s">
        <v>886</v>
      </c>
      <c r="E884" s="74">
        <v>0.05</v>
      </c>
      <c r="F884" s="78" t="s">
        <v>237</v>
      </c>
      <c r="G884" s="77" t="s">
        <v>884</v>
      </c>
      <c r="H884" t="str">
        <f>VLOOKUP(D884,'DETALLE PRECIO INGREDIENTES'!B:B,1,0)</f>
        <v>yogurt natural</v>
      </c>
    </row>
    <row r="885" spans="2:8" ht="15.5" hidden="1" x14ac:dyDescent="0.35">
      <c r="B885" s="75" t="s">
        <v>135</v>
      </c>
      <c r="C885" s="75" t="s">
        <v>127</v>
      </c>
      <c r="D885" s="73" t="s">
        <v>928</v>
      </c>
      <c r="E885" s="74">
        <v>2.5000000000000001E-2</v>
      </c>
      <c r="F885" s="78" t="s">
        <v>237</v>
      </c>
      <c r="G885" s="77" t="s">
        <v>621</v>
      </c>
      <c r="H885" t="str">
        <f>VLOOKUP(D885,'DETALLE PRECIO INGREDIENTES'!B:B,1,0)</f>
        <v>LIMON DE JUGO</v>
      </c>
    </row>
    <row r="886" spans="2:8" ht="15.5" hidden="1" x14ac:dyDescent="0.35">
      <c r="B886" s="75" t="s">
        <v>135</v>
      </c>
      <c r="C886" s="75" t="s">
        <v>127</v>
      </c>
      <c r="D886" s="73" t="s">
        <v>416</v>
      </c>
      <c r="E886" s="74">
        <v>0.01</v>
      </c>
      <c r="F886" s="78" t="s">
        <v>237</v>
      </c>
      <c r="G886" s="77" t="s">
        <v>220</v>
      </c>
      <c r="H886" t="str">
        <f>VLOOKUP(D886,'DETALLE PRECIO INGREDIENTES'!B:B,1,0)</f>
        <v>PASTA CURRY VERDE</v>
      </c>
    </row>
    <row r="887" spans="2:8" ht="15.5" hidden="1" x14ac:dyDescent="0.35">
      <c r="B887" s="75" t="s">
        <v>135</v>
      </c>
      <c r="C887" s="75" t="s">
        <v>127</v>
      </c>
      <c r="D887" s="73" t="s">
        <v>929</v>
      </c>
      <c r="E887" s="74">
        <v>5.0000000000000001E-3</v>
      </c>
      <c r="F887" s="78" t="s">
        <v>237</v>
      </c>
      <c r="G887" s="77" t="s">
        <v>621</v>
      </c>
      <c r="H887" t="str">
        <f>VLOOKUP(D887,'DETALLE PRECIO INGREDIENTES'!B:B,1,0)</f>
        <v>MENTA</v>
      </c>
    </row>
    <row r="888" spans="2:8" ht="15.5" hidden="1" x14ac:dyDescent="0.35">
      <c r="B888" s="75" t="s">
        <v>135</v>
      </c>
      <c r="C888" s="75" t="s">
        <v>127</v>
      </c>
      <c r="D888" s="73" t="s">
        <v>265</v>
      </c>
      <c r="E888" s="74">
        <v>7.4999999999999997E-2</v>
      </c>
      <c r="F888" s="78" t="s">
        <v>237</v>
      </c>
      <c r="G888" s="77" t="s">
        <v>220</v>
      </c>
      <c r="H888" t="str">
        <f>VLOOKUP(D888,'DETALLE PRECIO INGREDIENTES'!B:B,1,0)</f>
        <v>arroz basmati</v>
      </c>
    </row>
    <row r="889" spans="2:8" ht="15.5" hidden="1" x14ac:dyDescent="0.35">
      <c r="B889" s="75" t="s">
        <v>135</v>
      </c>
      <c r="C889" s="75" t="s">
        <v>127</v>
      </c>
      <c r="D889" s="73" t="s">
        <v>930</v>
      </c>
      <c r="E889" s="74">
        <v>0.03</v>
      </c>
      <c r="F889" s="78" t="s">
        <v>237</v>
      </c>
      <c r="G889" s="77" t="s">
        <v>736</v>
      </c>
      <c r="H889" t="str">
        <f>VLOOKUP(D889,'DETALLE PRECIO INGREDIENTES'!B:B,1,0)</f>
        <v>QUESO CREMA</v>
      </c>
    </row>
    <row r="890" spans="2:8" ht="15.5" hidden="1" x14ac:dyDescent="0.35">
      <c r="B890" s="75" t="s">
        <v>135</v>
      </c>
      <c r="C890" s="75" t="s">
        <v>127</v>
      </c>
      <c r="D890" s="73" t="s">
        <v>691</v>
      </c>
      <c r="E890" s="74">
        <v>0.03</v>
      </c>
      <c r="F890" s="78" t="s">
        <v>237</v>
      </c>
      <c r="G890" s="77" t="s">
        <v>621</v>
      </c>
      <c r="H890" t="str">
        <f>VLOOKUP(D890,'DETALLE PRECIO INGREDIENTES'!B:B,1,0)</f>
        <v>PALTA HASS</v>
      </c>
    </row>
    <row r="891" spans="2:8" ht="15.5" hidden="1" x14ac:dyDescent="0.35">
      <c r="B891" s="75" t="s">
        <v>135</v>
      </c>
      <c r="C891" s="75" t="s">
        <v>127</v>
      </c>
      <c r="D891" s="73" t="s">
        <v>743</v>
      </c>
      <c r="E891" s="74">
        <v>7.0000000000000007E-2</v>
      </c>
      <c r="F891" s="78" t="s">
        <v>222</v>
      </c>
      <c r="G891" s="77" t="s">
        <v>736</v>
      </c>
      <c r="H891" t="str">
        <f>VLOOKUP(D891,'DETALLE PRECIO INGREDIENTES'!B:B,1,0)</f>
        <v>LECHE DE COCO</v>
      </c>
    </row>
    <row r="892" spans="2:8" ht="15.5" hidden="1" x14ac:dyDescent="0.35">
      <c r="B892" s="75" t="s">
        <v>135</v>
      </c>
      <c r="C892" s="75" t="s">
        <v>127</v>
      </c>
      <c r="D892" s="73" t="s">
        <v>843</v>
      </c>
      <c r="E892" s="74">
        <v>0.09</v>
      </c>
      <c r="F892" s="78" t="s">
        <v>237</v>
      </c>
      <c r="G892" s="77" t="s">
        <v>839</v>
      </c>
      <c r="H892" t="str">
        <f>VLOOKUP(D892,'DETALLE PRECIO INGREDIENTES'!B:B,1,0)</f>
        <v>POLLO PECHUGA S/HUESO</v>
      </c>
    </row>
    <row r="893" spans="2:8" ht="15.5" hidden="1" x14ac:dyDescent="0.35">
      <c r="B893" s="75" t="s">
        <v>135</v>
      </c>
      <c r="C893" s="75" t="s">
        <v>127</v>
      </c>
      <c r="D893" s="73" t="s">
        <v>458</v>
      </c>
      <c r="E893" s="74">
        <v>1.2500000000000001E-2</v>
      </c>
      <c r="F893" s="78" t="s">
        <v>237</v>
      </c>
      <c r="G893" s="77" t="s">
        <v>220</v>
      </c>
      <c r="H893" t="str">
        <f>VLOOKUP(D893,'DETALLE PRECIO INGREDIENTES'!B:B,1,0)</f>
        <v>SEMILLAS DE SESAMO BLANCO</v>
      </c>
    </row>
    <row r="894" spans="2:8" ht="15.5" hidden="1" x14ac:dyDescent="0.35">
      <c r="B894" s="75" t="s">
        <v>135</v>
      </c>
      <c r="C894" s="75" t="s">
        <v>127</v>
      </c>
      <c r="D894" s="73" t="s">
        <v>656</v>
      </c>
      <c r="E894" s="74">
        <v>2.5000000000000001E-2</v>
      </c>
      <c r="F894" s="78" t="s">
        <v>259</v>
      </c>
      <c r="G894" s="77" t="s">
        <v>621</v>
      </c>
      <c r="H894" t="str">
        <f>VLOOKUP(D894,'DETALLE PRECIO INGREDIENTES'!B:B,1,0)</f>
        <v>CIBOULETTE ATADO</v>
      </c>
    </row>
    <row r="895" spans="2:8" ht="15.5" hidden="1" x14ac:dyDescent="0.35">
      <c r="B895" s="75" t="s">
        <v>135</v>
      </c>
      <c r="C895" s="75" t="s">
        <v>127</v>
      </c>
      <c r="D895" s="73" t="s">
        <v>459</v>
      </c>
      <c r="E895" s="74">
        <v>1.2500000000000001E-2</v>
      </c>
      <c r="F895" s="78" t="s">
        <v>237</v>
      </c>
      <c r="G895" s="77" t="s">
        <v>220</v>
      </c>
      <c r="H895" t="str">
        <f>VLOOKUP(D895,'DETALLE PRECIO INGREDIENTES'!B:B,1,0)</f>
        <v>SEMILLAS DE SESAMO NEGRO</v>
      </c>
    </row>
    <row r="896" spans="2:8" ht="15.5" hidden="1" x14ac:dyDescent="0.35">
      <c r="B896" s="75" t="s">
        <v>135</v>
      </c>
      <c r="C896" s="75" t="s">
        <v>127</v>
      </c>
      <c r="D896" s="73" t="s">
        <v>702</v>
      </c>
      <c r="E896" s="74">
        <v>2.5000000000000001E-2</v>
      </c>
      <c r="F896" s="78" t="s">
        <v>259</v>
      </c>
      <c r="G896" s="77" t="s">
        <v>621</v>
      </c>
      <c r="H896" t="str">
        <f>VLOOKUP(D896,'DETALLE PRECIO INGREDIENTES'!B:B,1,0)</f>
        <v>PIMIENTO ROJO</v>
      </c>
    </row>
    <row r="897" spans="2:8" ht="15.5" hidden="1" x14ac:dyDescent="0.35">
      <c r="B897" s="75" t="s">
        <v>135</v>
      </c>
      <c r="C897" s="75" t="s">
        <v>127</v>
      </c>
      <c r="D897" s="73" t="s">
        <v>811</v>
      </c>
      <c r="E897" s="74">
        <v>2.5000000000000001E-2</v>
      </c>
      <c r="F897" s="78" t="s">
        <v>237</v>
      </c>
      <c r="G897" s="77" t="s">
        <v>806</v>
      </c>
      <c r="H897" t="str">
        <f>VLOOKUP(D897,'DETALLE PRECIO INGREDIENTES'!B:B,1,0)</f>
        <v>ATUN FRESCO</v>
      </c>
    </row>
    <row r="898" spans="2:8" ht="15.5" hidden="1" x14ac:dyDescent="0.35">
      <c r="B898" s="75" t="s">
        <v>135</v>
      </c>
      <c r="C898" s="75" t="s">
        <v>127</v>
      </c>
      <c r="D898" s="73" t="s">
        <v>931</v>
      </c>
      <c r="E898" s="74">
        <v>5.0000000000000001E-3</v>
      </c>
      <c r="F898" s="78" t="s">
        <v>237</v>
      </c>
      <c r="G898" s="77" t="s">
        <v>220</v>
      </c>
      <c r="H898" t="str">
        <f>VLOOKUP(D898,'DETALLE PRECIO INGREDIENTES'!B:B,1,0)</f>
        <v>AZUCAR RUBIA</v>
      </c>
    </row>
    <row r="899" spans="2:8" ht="15.5" hidden="1" x14ac:dyDescent="0.35">
      <c r="B899" s="75" t="s">
        <v>135</v>
      </c>
      <c r="C899" s="75" t="s">
        <v>127</v>
      </c>
      <c r="D899" s="73" t="s">
        <v>448</v>
      </c>
      <c r="E899" s="74">
        <v>2.5000000000000001E-3</v>
      </c>
      <c r="F899" s="78" t="s">
        <v>222</v>
      </c>
      <c r="G899" s="77" t="s">
        <v>220</v>
      </c>
      <c r="H899" t="str">
        <f>VLOOKUP(D899,'DETALLE PRECIO INGREDIENTES'!B:B,1,0)</f>
        <v>salsa de pescado</v>
      </c>
    </row>
    <row r="900" spans="2:8" ht="15.5" hidden="1" x14ac:dyDescent="0.35">
      <c r="B900" s="75" t="s">
        <v>135</v>
      </c>
      <c r="C900" s="75" t="s">
        <v>127</v>
      </c>
      <c r="D900" s="73" t="s">
        <v>932</v>
      </c>
      <c r="E900" s="74">
        <v>0.125</v>
      </c>
      <c r="F900" s="78" t="s">
        <v>259</v>
      </c>
      <c r="G900" s="77" t="s">
        <v>621</v>
      </c>
      <c r="H900" t="str">
        <f>VLOOKUP(D900,'DETALLE PRECIO INGREDIENTES'!B:B,1,0)</f>
        <v>ZAPALLO ITALIANO</v>
      </c>
    </row>
    <row r="901" spans="2:8" ht="15.5" hidden="1" x14ac:dyDescent="0.35">
      <c r="B901" s="75" t="s">
        <v>135</v>
      </c>
      <c r="C901" s="75" t="s">
        <v>127</v>
      </c>
      <c r="D901" s="73" t="s">
        <v>674</v>
      </c>
      <c r="E901" s="74">
        <v>1E-3</v>
      </c>
      <c r="F901" s="78" t="s">
        <v>237</v>
      </c>
      <c r="G901" s="77" t="s">
        <v>621</v>
      </c>
      <c r="H901" t="str">
        <f>VLOOKUP(D901,'DETALLE PRECIO INGREDIENTES'!B:B,1,0)</f>
        <v>HOJAS DE KAFFIR</v>
      </c>
    </row>
    <row r="902" spans="2:8" ht="15.5" hidden="1" x14ac:dyDescent="0.35">
      <c r="B902" s="75" t="s">
        <v>135</v>
      </c>
      <c r="C902" s="75" t="s">
        <v>127</v>
      </c>
      <c r="D902" s="73" t="s">
        <v>933</v>
      </c>
      <c r="E902" s="74">
        <v>0.01</v>
      </c>
      <c r="F902" s="78" t="s">
        <v>237</v>
      </c>
      <c r="G902" s="77" t="s">
        <v>621</v>
      </c>
      <c r="H902" t="str">
        <f>VLOOKUP(D902,'DETALLE PRECIO INGREDIENTES'!B:B,1,0)</f>
        <v>ALBAHACA FRESCA</v>
      </c>
    </row>
    <row r="903" spans="2:8" ht="15.5" hidden="1" x14ac:dyDescent="0.35">
      <c r="B903" s="75" t="s">
        <v>135</v>
      </c>
      <c r="C903" s="75" t="s">
        <v>127</v>
      </c>
      <c r="D903" s="73" t="s">
        <v>320</v>
      </c>
      <c r="E903" s="74">
        <v>2.2499999999999998E-3</v>
      </c>
      <c r="F903" s="78" t="s">
        <v>237</v>
      </c>
      <c r="G903" s="77" t="s">
        <v>220</v>
      </c>
      <c r="H903" t="str">
        <f>VLOOKUP(D903,'DETALLE PRECIO INGREDIENTES'!B:B,1,0)</f>
        <v>CURCUMA EN POLVO</v>
      </c>
    </row>
    <row r="904" spans="2:8" ht="15.5" hidden="1" x14ac:dyDescent="0.35">
      <c r="B904" s="75" t="s">
        <v>135</v>
      </c>
      <c r="C904" s="75" t="s">
        <v>127</v>
      </c>
      <c r="D904" s="73" t="s">
        <v>924</v>
      </c>
      <c r="E904" s="74">
        <v>0.01</v>
      </c>
      <c r="F904" s="78" t="s">
        <v>237</v>
      </c>
      <c r="G904" s="77" t="s">
        <v>621</v>
      </c>
      <c r="H904" t="str">
        <f>VLOOKUP(D904,'DETALLE PRECIO INGREDIENTES'!B:B,1,0)</f>
        <v>JENGIBRE</v>
      </c>
    </row>
    <row r="905" spans="2:8" ht="15.5" hidden="1" x14ac:dyDescent="0.35">
      <c r="B905" s="75" t="s">
        <v>135</v>
      </c>
      <c r="C905" s="75" t="s">
        <v>127</v>
      </c>
      <c r="D905" s="73" t="s">
        <v>393</v>
      </c>
      <c r="E905" s="74">
        <v>0.01</v>
      </c>
      <c r="F905" s="78" t="s">
        <v>237</v>
      </c>
      <c r="G905" s="77" t="s">
        <v>220</v>
      </c>
      <c r="H905" t="str">
        <f>VLOOKUP(D905,'DETALLE PRECIO INGREDIENTES'!B:B,1,0)</f>
        <v>miel</v>
      </c>
    </row>
    <row r="906" spans="2:8" ht="15.5" hidden="1" x14ac:dyDescent="0.35">
      <c r="B906" s="75" t="s">
        <v>135</v>
      </c>
      <c r="C906" s="75" t="s">
        <v>127</v>
      </c>
      <c r="D906" s="73" t="s">
        <v>934</v>
      </c>
      <c r="E906" s="74">
        <v>0.5</v>
      </c>
      <c r="F906" s="78" t="s">
        <v>259</v>
      </c>
      <c r="G906" s="77" t="s">
        <v>621</v>
      </c>
      <c r="H906" t="str">
        <f>VLOOKUP(D906,'DETALLE PRECIO INGREDIENTES'!B:B,1,0)</f>
        <v>CHALOTA</v>
      </c>
    </row>
    <row r="907" spans="2:8" ht="15.5" hidden="1" x14ac:dyDescent="0.35">
      <c r="B907" s="75" t="s">
        <v>135</v>
      </c>
      <c r="C907" s="75" t="s">
        <v>127</v>
      </c>
      <c r="D907" s="73" t="s">
        <v>472</v>
      </c>
      <c r="E907" s="74">
        <v>0.02</v>
      </c>
      <c r="F907" s="78" t="s">
        <v>222</v>
      </c>
      <c r="G907" s="77" t="s">
        <v>220</v>
      </c>
      <c r="H907" t="str">
        <f>VLOOKUP(D907,'DETALLE PRECIO INGREDIENTES'!B:B,1,0)</f>
        <v>VINAGRE BLANCO</v>
      </c>
    </row>
    <row r="908" spans="2:8" ht="15.5" hidden="1" x14ac:dyDescent="0.35">
      <c r="B908" s="75" t="s">
        <v>135</v>
      </c>
      <c r="C908" s="75" t="s">
        <v>127</v>
      </c>
      <c r="D908" s="73" t="s">
        <v>382</v>
      </c>
      <c r="E908" s="74">
        <v>1.2500000000000001E-2</v>
      </c>
      <c r="F908" s="78" t="s">
        <v>237</v>
      </c>
      <c r="G908" s="77" t="s">
        <v>220</v>
      </c>
      <c r="H908" t="str">
        <f>VLOOKUP(D908,'DETALLE PRECIO INGREDIENTES'!B:B,1,0)</f>
        <v>MANTEQUILLA DE MANÍ CROCANTE</v>
      </c>
    </row>
    <row r="909" spans="2:8" ht="15.5" hidden="1" x14ac:dyDescent="0.35">
      <c r="B909" s="75" t="s">
        <v>135</v>
      </c>
      <c r="C909" s="75" t="s">
        <v>127</v>
      </c>
      <c r="D909" s="73" t="s">
        <v>844</v>
      </c>
      <c r="E909" s="74">
        <v>0.1</v>
      </c>
      <c r="F909" s="78" t="s">
        <v>237</v>
      </c>
      <c r="G909" s="77" t="s">
        <v>839</v>
      </c>
      <c r="H909" t="str">
        <f>VLOOKUP(D909,'DETALLE PRECIO INGREDIENTES'!B:B,1,0)</f>
        <v>POLLO TRUTRO ALA</v>
      </c>
    </row>
    <row r="910" spans="2:8" ht="15.5" hidden="1" x14ac:dyDescent="0.35">
      <c r="B910" s="75" t="s">
        <v>135</v>
      </c>
      <c r="C910" s="75" t="s">
        <v>126</v>
      </c>
      <c r="D910" s="73" t="s">
        <v>267</v>
      </c>
      <c r="E910" s="74">
        <v>0.125</v>
      </c>
      <c r="F910" s="78" t="s">
        <v>237</v>
      </c>
      <c r="G910" s="77" t="s">
        <v>220</v>
      </c>
      <c r="H910" t="str">
        <f>VLOOKUP(D910,'DETALLE PRECIO INGREDIENTES'!B:B,1,0)</f>
        <v>ARROZ GRANO CORTO GRADO 2</v>
      </c>
    </row>
    <row r="911" spans="2:8" ht="15.5" hidden="1" x14ac:dyDescent="0.35">
      <c r="B911" s="75" t="s">
        <v>135</v>
      </c>
      <c r="C911" s="75" t="s">
        <v>126</v>
      </c>
      <c r="D911" s="73" t="s">
        <v>445</v>
      </c>
      <c r="E911" s="74">
        <v>4.2500000000000003E-3</v>
      </c>
      <c r="F911" s="78" t="s">
        <v>237</v>
      </c>
      <c r="G911" s="77" t="s">
        <v>220</v>
      </c>
      <c r="H911" t="str">
        <f>VLOOKUP(D911,'DETALLE PRECIO INGREDIENTES'!B:B,1,0)</f>
        <v>SAL DE MESA LOBOS</v>
      </c>
    </row>
    <row r="912" spans="2:8" ht="15.5" hidden="1" x14ac:dyDescent="0.35">
      <c r="B912" s="75" t="s">
        <v>135</v>
      </c>
      <c r="C912" s="75" t="s">
        <v>126</v>
      </c>
      <c r="D912" s="73" t="s">
        <v>277</v>
      </c>
      <c r="E912" s="74">
        <v>4.2000000000000003E-2</v>
      </c>
      <c r="F912" s="78" t="s">
        <v>237</v>
      </c>
      <c r="G912" s="77" t="s">
        <v>220</v>
      </c>
      <c r="H912" t="str">
        <f>VLOOKUP(D912,'DETALLE PRECIO INGREDIENTES'!B:B,1,0)</f>
        <v>AZUCAR BLANCA GRANULADA</v>
      </c>
    </row>
    <row r="913" spans="2:8" ht="15.5" hidden="1" x14ac:dyDescent="0.35">
      <c r="B913" s="75" t="s">
        <v>135</v>
      </c>
      <c r="C913" s="75" t="s">
        <v>126</v>
      </c>
      <c r="D913" s="73" t="s">
        <v>474</v>
      </c>
      <c r="E913" s="74">
        <v>3.5000000000000001E-3</v>
      </c>
      <c r="F913" s="78" t="s">
        <v>222</v>
      </c>
      <c r="G913" s="77" t="s">
        <v>220</v>
      </c>
      <c r="H913" t="str">
        <f>VLOOKUP(D913,'DETALLE PRECIO INGREDIENTES'!B:B,1,0)</f>
        <v>vinagre de arroz</v>
      </c>
    </row>
    <row r="914" spans="2:8" ht="15.5" hidden="1" x14ac:dyDescent="0.35">
      <c r="B914" s="75" t="s">
        <v>135</v>
      </c>
      <c r="C914" s="75" t="s">
        <v>126</v>
      </c>
      <c r="D914" s="73" t="s">
        <v>257</v>
      </c>
      <c r="E914" s="74">
        <v>2.5000000000000001E-4</v>
      </c>
      <c r="F914" s="78" t="s">
        <v>237</v>
      </c>
      <c r="G914" s="77" t="s">
        <v>220</v>
      </c>
      <c r="H914" t="str">
        <f>VLOOKUP(D914,'DETALLE PRECIO INGREDIENTES'!B:B,1,0)</f>
        <v>ALGA KOMBU</v>
      </c>
    </row>
    <row r="915" spans="2:8" ht="15.5" hidden="1" x14ac:dyDescent="0.35">
      <c r="B915" s="75" t="s">
        <v>135</v>
      </c>
      <c r="C915" s="75" t="s">
        <v>126</v>
      </c>
      <c r="D915" s="73" t="s">
        <v>838</v>
      </c>
      <c r="E915" s="74">
        <v>0.06</v>
      </c>
      <c r="F915" s="78" t="s">
        <v>237</v>
      </c>
      <c r="G915" s="77" t="s">
        <v>806</v>
      </c>
      <c r="H915" t="str">
        <f>VLOOKUP(D915,'DETALLE PRECIO INGREDIENTES'!B:B,1,0)</f>
        <v>SALMON FRESCO FILETE C/PIEL</v>
      </c>
    </row>
    <row r="916" spans="2:8" ht="15.5" hidden="1" x14ac:dyDescent="0.35">
      <c r="B916" s="75" t="s">
        <v>135</v>
      </c>
      <c r="C916" s="75" t="s">
        <v>126</v>
      </c>
      <c r="D916" s="73" t="s">
        <v>816</v>
      </c>
      <c r="E916" s="74">
        <v>0.05</v>
      </c>
      <c r="F916" s="78" t="s">
        <v>237</v>
      </c>
      <c r="G916" s="77" t="s">
        <v>806</v>
      </c>
      <c r="H916" t="str">
        <f>VLOOKUP(D916,'DETALLE PRECIO INGREDIENTES'!B:B,1,0)</f>
        <v>CAMARON ECUATORIANO 36-40</v>
      </c>
    </row>
    <row r="917" spans="2:8" ht="15.5" hidden="1" x14ac:dyDescent="0.35">
      <c r="B917" s="75" t="s">
        <v>135</v>
      </c>
      <c r="C917" s="75" t="s">
        <v>126</v>
      </c>
      <c r="D917" s="73" t="s">
        <v>478</v>
      </c>
      <c r="E917" s="74">
        <v>2.5000000000000001E-3</v>
      </c>
      <c r="F917" s="78" t="s">
        <v>237</v>
      </c>
      <c r="G917" s="77" t="s">
        <v>220</v>
      </c>
      <c r="H917" t="str">
        <f>VLOOKUP(D917,'DETALLE PRECIO INGREDIENTES'!B:B,1,0)</f>
        <v>wasabi</v>
      </c>
    </row>
    <row r="918" spans="2:8" ht="15.5" hidden="1" x14ac:dyDescent="0.35">
      <c r="B918" s="75" t="s">
        <v>135</v>
      </c>
      <c r="C918" s="75" t="s">
        <v>126</v>
      </c>
      <c r="D918" s="73" t="s">
        <v>919</v>
      </c>
      <c r="E918" s="74">
        <v>0.27500000000000002</v>
      </c>
      <c r="F918" s="78" t="s">
        <v>259</v>
      </c>
      <c r="G918" s="77" t="s">
        <v>621</v>
      </c>
      <c r="H918" t="str">
        <f>VLOOKUP(D918,'DETALLE PRECIO INGREDIENTES'!B:B,1,0)</f>
        <v>CEBOLLIN</v>
      </c>
    </row>
    <row r="919" spans="2:8" ht="15.5" hidden="1" x14ac:dyDescent="0.35">
      <c r="B919" s="75" t="s">
        <v>135</v>
      </c>
      <c r="C919" s="75" t="s">
        <v>126</v>
      </c>
      <c r="D919" s="73" t="s">
        <v>258</v>
      </c>
      <c r="E919" s="74">
        <v>1</v>
      </c>
      <c r="F919" s="78" t="s">
        <v>259</v>
      </c>
      <c r="G919" s="77" t="s">
        <v>220</v>
      </c>
      <c r="H919" t="str">
        <f>VLOOKUP(D919,'DETALLE PRECIO INGREDIENTES'!B:B,1,0)</f>
        <v>alga nori</v>
      </c>
    </row>
    <row r="920" spans="2:8" ht="15.5" hidden="1" x14ac:dyDescent="0.35">
      <c r="B920" s="75" t="s">
        <v>135</v>
      </c>
      <c r="C920" s="75" t="s">
        <v>126</v>
      </c>
      <c r="D920" s="73" t="s">
        <v>841</v>
      </c>
      <c r="E920" s="74">
        <v>3.7499999999999999E-2</v>
      </c>
      <c r="F920" s="78" t="s">
        <v>237</v>
      </c>
      <c r="G920" s="77" t="s">
        <v>839</v>
      </c>
      <c r="H920" t="str">
        <f>VLOOKUP(D920,'DETALLE PRECIO INGREDIENTES'!B:B,1,0)</f>
        <v>POLLO HUESOS</v>
      </c>
    </row>
    <row r="921" spans="2:8" ht="15.5" hidden="1" x14ac:dyDescent="0.35">
      <c r="B921" s="75" t="s">
        <v>135</v>
      </c>
      <c r="C921" s="75" t="s">
        <v>126</v>
      </c>
      <c r="D921" s="73" t="s">
        <v>923</v>
      </c>
      <c r="E921" s="74">
        <v>2.5000000000000001E-2</v>
      </c>
      <c r="F921" s="78" t="s">
        <v>222</v>
      </c>
      <c r="G921" s="77" t="s">
        <v>220</v>
      </c>
      <c r="H921" t="str">
        <f>VLOOKUP(D921,'DETALLE PRECIO INGREDIENTES'!B:B,1,0)</f>
        <v>SALSA DE SOYA</v>
      </c>
    </row>
    <row r="922" spans="2:8" ht="15.5" hidden="1" x14ac:dyDescent="0.35">
      <c r="B922" s="75" t="s">
        <v>135</v>
      </c>
      <c r="C922" s="75" t="s">
        <v>126</v>
      </c>
      <c r="D922" s="73" t="s">
        <v>784</v>
      </c>
      <c r="E922" s="74">
        <v>1.2E-2</v>
      </c>
      <c r="F922" s="78" t="s">
        <v>222</v>
      </c>
      <c r="G922" s="77" t="s">
        <v>776</v>
      </c>
      <c r="H922" t="str">
        <f>VLOOKUP(D922,'DETALLE PRECIO INGREDIENTES'!B:B,1,0)</f>
        <v>MIRIN/LICOR DE ARROZ DULCE</v>
      </c>
    </row>
    <row r="923" spans="2:8" ht="15.5" hidden="1" x14ac:dyDescent="0.35">
      <c r="B923" s="75" t="s">
        <v>135</v>
      </c>
      <c r="C923" s="75" t="s">
        <v>126</v>
      </c>
      <c r="D923" s="73" t="s">
        <v>231</v>
      </c>
      <c r="E923" s="74">
        <v>7.4999999999999997E-3</v>
      </c>
      <c r="F923" s="78" t="s">
        <v>222</v>
      </c>
      <c r="G923" s="77" t="s">
        <v>220</v>
      </c>
      <c r="H923" t="str">
        <f>VLOOKUP(D923,'DETALLE PRECIO INGREDIENTES'!B:B,1,0)</f>
        <v>ACEITE DE SESAMO</v>
      </c>
    </row>
    <row r="924" spans="2:8" ht="15.5" hidden="1" x14ac:dyDescent="0.35">
      <c r="B924" s="75" t="s">
        <v>135</v>
      </c>
      <c r="C924" s="75" t="s">
        <v>126</v>
      </c>
      <c r="D924" s="73" t="s">
        <v>924</v>
      </c>
      <c r="E924" s="74">
        <v>1.2500000000000001E-2</v>
      </c>
      <c r="F924" s="78" t="s">
        <v>237</v>
      </c>
      <c r="G924" s="77" t="s">
        <v>621</v>
      </c>
      <c r="H924" t="str">
        <f>VLOOKUP(D924,'DETALLE PRECIO INGREDIENTES'!B:B,1,0)</f>
        <v>JENGIBRE</v>
      </c>
    </row>
    <row r="925" spans="2:8" ht="15.5" hidden="1" x14ac:dyDescent="0.35">
      <c r="B925" s="75" t="s">
        <v>135</v>
      </c>
      <c r="C925" s="75" t="s">
        <v>126</v>
      </c>
      <c r="D925" s="73" t="s">
        <v>925</v>
      </c>
      <c r="E925" s="74">
        <v>0.05</v>
      </c>
      <c r="F925" s="78" t="s">
        <v>237</v>
      </c>
      <c r="G925" s="77" t="s">
        <v>621</v>
      </c>
      <c r="H925" t="str">
        <f>VLOOKUP(D925,'DETALLE PRECIO INGREDIENTES'!B:B,1,0)</f>
        <v>ZANAHORIA</v>
      </c>
    </row>
    <row r="926" spans="2:8" ht="15.5" hidden="1" x14ac:dyDescent="0.35">
      <c r="B926" s="75" t="s">
        <v>135</v>
      </c>
      <c r="C926" s="75" t="s">
        <v>126</v>
      </c>
      <c r="D926" s="73" t="s">
        <v>703</v>
      </c>
      <c r="E926" s="74">
        <v>1.2500000000000001E-2</v>
      </c>
      <c r="F926" s="78" t="s">
        <v>259</v>
      </c>
      <c r="G926" s="77" t="s">
        <v>621</v>
      </c>
      <c r="H926" t="str">
        <f>VLOOKUP(D926,'DETALLE PRECIO INGREDIENTES'!B:B,1,0)</f>
        <v>PIMIENTO VERDE</v>
      </c>
    </row>
    <row r="927" spans="2:8" ht="15.5" hidden="1" x14ac:dyDescent="0.35">
      <c r="B927" s="75" t="s">
        <v>135</v>
      </c>
      <c r="C927" s="75" t="s">
        <v>126</v>
      </c>
      <c r="D927" s="73" t="s">
        <v>788</v>
      </c>
      <c r="E927" s="74">
        <v>1.2500000000000001E-2</v>
      </c>
      <c r="F927" s="78" t="s">
        <v>259</v>
      </c>
      <c r="G927" s="77" t="s">
        <v>776</v>
      </c>
      <c r="H927" t="str">
        <f>VLOOKUP(D927,'DETALLE PRECIO INGREDIENTES'!B:B,1,0)</f>
        <v>SAKE / LICOR DE ARROZ JAPONES</v>
      </c>
    </row>
    <row r="928" spans="2:8" ht="15.5" hidden="1" x14ac:dyDescent="0.35">
      <c r="B928" s="75" t="s">
        <v>135</v>
      </c>
      <c r="C928" s="75" t="s">
        <v>126</v>
      </c>
      <c r="D928" s="73" t="s">
        <v>930</v>
      </c>
      <c r="E928" s="74">
        <v>0.06</v>
      </c>
      <c r="F928" s="78" t="s">
        <v>237</v>
      </c>
      <c r="G928" s="77" t="s">
        <v>736</v>
      </c>
      <c r="H928" t="str">
        <f>VLOOKUP(D928,'DETALLE PRECIO INGREDIENTES'!B:B,1,0)</f>
        <v>QUESO CREMA</v>
      </c>
    </row>
    <row r="929" spans="2:8" ht="15.5" hidden="1" x14ac:dyDescent="0.35">
      <c r="B929" s="75" t="s">
        <v>135</v>
      </c>
      <c r="C929" s="75" t="s">
        <v>126</v>
      </c>
      <c r="D929" s="73" t="s">
        <v>691</v>
      </c>
      <c r="E929" s="74">
        <v>0.15</v>
      </c>
      <c r="F929" s="78" t="s">
        <v>237</v>
      </c>
      <c r="G929" s="77" t="s">
        <v>621</v>
      </c>
      <c r="H929" t="str">
        <f>VLOOKUP(D929,'DETALLE PRECIO INGREDIENTES'!B:B,1,0)</f>
        <v>PALTA HASS</v>
      </c>
    </row>
    <row r="930" spans="2:8" ht="15.5" hidden="1" x14ac:dyDescent="0.35">
      <c r="B930" s="75" t="s">
        <v>135</v>
      </c>
      <c r="C930" s="75" t="s">
        <v>126</v>
      </c>
      <c r="D930" s="73" t="s">
        <v>815</v>
      </c>
      <c r="E930" s="74">
        <v>0.04</v>
      </c>
      <c r="F930" s="78" t="s">
        <v>237</v>
      </c>
      <c r="G930" s="77" t="s">
        <v>806</v>
      </c>
      <c r="H930" t="str">
        <f>VLOOKUP(D930,'DETALLE PRECIO INGREDIENTES'!B:B,1,0)</f>
        <v>CAMARON ECUATORIANO 21-25</v>
      </c>
    </row>
    <row r="931" spans="2:8" ht="15.5" hidden="1" x14ac:dyDescent="0.35">
      <c r="B931" s="75" t="s">
        <v>135</v>
      </c>
      <c r="C931" s="75" t="s">
        <v>126</v>
      </c>
      <c r="D931" s="73" t="s">
        <v>843</v>
      </c>
      <c r="E931" s="74">
        <v>0.1</v>
      </c>
      <c r="F931" s="78" t="s">
        <v>237</v>
      </c>
      <c r="G931" s="77" t="s">
        <v>839</v>
      </c>
      <c r="H931" t="str">
        <f>VLOOKUP(D931,'DETALLE PRECIO INGREDIENTES'!B:B,1,0)</f>
        <v>POLLO PECHUGA S/HUESO</v>
      </c>
    </row>
    <row r="932" spans="2:8" ht="15.5" hidden="1" x14ac:dyDescent="0.35">
      <c r="B932" s="75" t="s">
        <v>135</v>
      </c>
      <c r="C932" s="75" t="s">
        <v>126</v>
      </c>
      <c r="D932" s="73" t="s">
        <v>458</v>
      </c>
      <c r="E932" s="74">
        <v>8.7500000000000008E-3</v>
      </c>
      <c r="F932" s="78" t="s">
        <v>237</v>
      </c>
      <c r="G932" s="77" t="s">
        <v>220</v>
      </c>
      <c r="H932" t="str">
        <f>VLOOKUP(D932,'DETALLE PRECIO INGREDIENTES'!B:B,1,0)</f>
        <v>SEMILLAS DE SESAMO BLANCO</v>
      </c>
    </row>
    <row r="933" spans="2:8" ht="15.5" hidden="1" x14ac:dyDescent="0.35">
      <c r="B933" s="75" t="s">
        <v>135</v>
      </c>
      <c r="C933" s="75" t="s">
        <v>126</v>
      </c>
      <c r="D933" s="73" t="s">
        <v>656</v>
      </c>
      <c r="E933" s="74">
        <v>0.375</v>
      </c>
      <c r="F933" s="78" t="s">
        <v>259</v>
      </c>
      <c r="G933" s="77" t="s">
        <v>621</v>
      </c>
      <c r="H933" t="str">
        <f>VLOOKUP(D933,'DETALLE PRECIO INGREDIENTES'!B:B,1,0)</f>
        <v>CIBOULETTE ATADO</v>
      </c>
    </row>
    <row r="934" spans="2:8" ht="15.5" hidden="1" x14ac:dyDescent="0.35">
      <c r="B934" s="75" t="s">
        <v>135</v>
      </c>
      <c r="C934" s="75" t="s">
        <v>126</v>
      </c>
      <c r="D934" s="73" t="s">
        <v>459</v>
      </c>
      <c r="E934" s="74">
        <v>8.7500000000000008E-3</v>
      </c>
      <c r="F934" s="78" t="s">
        <v>237</v>
      </c>
      <c r="G934" s="77" t="s">
        <v>220</v>
      </c>
      <c r="H934" t="str">
        <f>VLOOKUP(D934,'DETALLE PRECIO INGREDIENTES'!B:B,1,0)</f>
        <v>SEMILLAS DE SESAMO NEGRO</v>
      </c>
    </row>
    <row r="935" spans="2:8" ht="15.5" hidden="1" x14ac:dyDescent="0.35">
      <c r="B935" s="75" t="s">
        <v>135</v>
      </c>
      <c r="C935" s="75" t="s">
        <v>126</v>
      </c>
      <c r="D935" s="73" t="s">
        <v>702</v>
      </c>
      <c r="E935" s="74">
        <v>6.25E-2</v>
      </c>
      <c r="F935" s="78" t="s">
        <v>259</v>
      </c>
      <c r="G935" s="77" t="s">
        <v>621</v>
      </c>
      <c r="H935" t="str">
        <f>VLOOKUP(D935,'DETALLE PRECIO INGREDIENTES'!B:B,1,0)</f>
        <v>PIMIENTO ROJO</v>
      </c>
    </row>
    <row r="936" spans="2:8" ht="15.5" hidden="1" x14ac:dyDescent="0.35">
      <c r="B936" s="75" t="s">
        <v>135</v>
      </c>
      <c r="C936" s="75" t="s">
        <v>126</v>
      </c>
      <c r="D936" s="73" t="s">
        <v>935</v>
      </c>
      <c r="E936" s="74">
        <v>1.2500000000000001E-2</v>
      </c>
      <c r="F936" s="78" t="s">
        <v>237</v>
      </c>
      <c r="G936" s="77" t="s">
        <v>621</v>
      </c>
      <c r="H936" t="str">
        <f>VLOOKUP(D936,'DETALLE PRECIO INGREDIENTES'!B:B,1,0)</f>
        <v>ESPINACA</v>
      </c>
    </row>
    <row r="937" spans="2:8" ht="15.5" hidden="1" x14ac:dyDescent="0.35">
      <c r="B937" s="75" t="s">
        <v>135</v>
      </c>
      <c r="C937" s="75" t="s">
        <v>126</v>
      </c>
      <c r="D937" s="73" t="s">
        <v>367</v>
      </c>
      <c r="E937" s="74">
        <v>1.2500000000000001E-2</v>
      </c>
      <c r="F937" s="78" t="s">
        <v>237</v>
      </c>
      <c r="G937" s="77" t="s">
        <v>220</v>
      </c>
      <c r="H937" t="str">
        <f>VLOOKUP(D937,'DETALLE PRECIO INGREDIENTES'!B:B,1,0)</f>
        <v>jengibre encurtido</v>
      </c>
    </row>
    <row r="938" spans="2:8" ht="15.5" hidden="1" x14ac:dyDescent="0.35">
      <c r="B938" s="75" t="s">
        <v>135</v>
      </c>
      <c r="C938" s="75" t="s">
        <v>126</v>
      </c>
      <c r="D938" s="73" t="s">
        <v>449</v>
      </c>
      <c r="E938" s="74">
        <v>2.5000000000000001E-2</v>
      </c>
      <c r="F938" s="78" t="s">
        <v>222</v>
      </c>
      <c r="G938" s="77" t="s">
        <v>220</v>
      </c>
      <c r="H938" t="str">
        <f>VLOOKUP(D938,'DETALLE PRECIO INGREDIENTES'!B:B,1,0)</f>
        <v>SALSA DE SOYA</v>
      </c>
    </row>
    <row r="939" spans="2:8" ht="15.5" hidden="1" x14ac:dyDescent="0.35">
      <c r="B939" s="75" t="s">
        <v>135</v>
      </c>
      <c r="C939" s="75" t="s">
        <v>126</v>
      </c>
      <c r="D939" s="73" t="s">
        <v>936</v>
      </c>
      <c r="E939" s="74">
        <v>1.2500000000000001E-2</v>
      </c>
      <c r="F939" s="78" t="s">
        <v>222</v>
      </c>
      <c r="G939" s="77" t="s">
        <v>220</v>
      </c>
      <c r="H939" t="str">
        <f>VLOOKUP(D939,'DETALLE PRECIO INGREDIENTES'!B:B,1,0)</f>
        <v>ACEITE VEGETAL</v>
      </c>
    </row>
    <row r="940" spans="2:8" ht="15.5" hidden="1" x14ac:dyDescent="0.35">
      <c r="B940" s="75" t="s">
        <v>135</v>
      </c>
      <c r="C940" s="75" t="s">
        <v>126</v>
      </c>
      <c r="D940" s="73" t="s">
        <v>937</v>
      </c>
      <c r="E940" s="74">
        <v>1.2500000000000001E-2</v>
      </c>
      <c r="F940" s="78" t="s">
        <v>237</v>
      </c>
      <c r="G940" s="77" t="s">
        <v>220</v>
      </c>
      <c r="H940" t="str">
        <f>VLOOKUP(D940,'DETALLE PRECIO INGREDIENTES'!B:B,1,0)</f>
        <v>PASTA CURRY VERDE</v>
      </c>
    </row>
    <row r="941" spans="2:8" ht="15.5" hidden="1" x14ac:dyDescent="0.35">
      <c r="B941" s="75" t="s">
        <v>135</v>
      </c>
      <c r="C941" s="75" t="s">
        <v>126</v>
      </c>
      <c r="D941" s="73" t="s">
        <v>738</v>
      </c>
      <c r="E941" s="74">
        <v>0.05</v>
      </c>
      <c r="F941" s="78" t="s">
        <v>222</v>
      </c>
      <c r="G941" s="77" t="s">
        <v>736</v>
      </c>
      <c r="H941" t="str">
        <f>VLOOKUP(D941,'DETALLE PRECIO INGREDIENTES'!B:B,1,0)</f>
        <v>CREMA DE COCO</v>
      </c>
    </row>
    <row r="942" spans="2:8" ht="15.5" hidden="1" x14ac:dyDescent="0.35">
      <c r="B942" s="75" t="s">
        <v>135</v>
      </c>
      <c r="C942" s="75" t="s">
        <v>126</v>
      </c>
      <c r="D942" s="73" t="s">
        <v>931</v>
      </c>
      <c r="E942" s="74">
        <v>0.01</v>
      </c>
      <c r="F942" s="78" t="s">
        <v>237</v>
      </c>
      <c r="G942" s="77" t="s">
        <v>220</v>
      </c>
      <c r="H942" t="str">
        <f>VLOOKUP(D942,'DETALLE PRECIO INGREDIENTES'!B:B,1,0)</f>
        <v>AZUCAR RUBIA</v>
      </c>
    </row>
    <row r="943" spans="2:8" ht="15.5" hidden="1" x14ac:dyDescent="0.35">
      <c r="B943" s="75" t="s">
        <v>135</v>
      </c>
      <c r="C943" s="75" t="s">
        <v>126</v>
      </c>
      <c r="D943" s="73" t="s">
        <v>448</v>
      </c>
      <c r="E943" s="74">
        <v>5.0000000000000001E-3</v>
      </c>
      <c r="F943" s="78" t="s">
        <v>222</v>
      </c>
      <c r="G943" s="77" t="s">
        <v>220</v>
      </c>
      <c r="H943" t="str">
        <f>VLOOKUP(D943,'DETALLE PRECIO INGREDIENTES'!B:B,1,0)</f>
        <v>salsa de pescado</v>
      </c>
    </row>
    <row r="944" spans="2:8" ht="15.5" hidden="1" x14ac:dyDescent="0.35">
      <c r="B944" s="75" t="s">
        <v>135</v>
      </c>
      <c r="C944" s="75" t="s">
        <v>126</v>
      </c>
      <c r="D944" s="73" t="s">
        <v>932</v>
      </c>
      <c r="E944" s="74">
        <v>0.25</v>
      </c>
      <c r="F944" s="78" t="s">
        <v>259</v>
      </c>
      <c r="G944" s="77" t="s">
        <v>621</v>
      </c>
      <c r="H944" t="str">
        <f>VLOOKUP(D944,'DETALLE PRECIO INGREDIENTES'!B:B,1,0)</f>
        <v>ZAPALLO ITALIANO</v>
      </c>
    </row>
    <row r="945" spans="2:8" ht="15.5" hidden="1" x14ac:dyDescent="0.35">
      <c r="B945" s="75" t="s">
        <v>135</v>
      </c>
      <c r="C945" s="75" t="s">
        <v>126</v>
      </c>
      <c r="D945" s="73" t="s">
        <v>674</v>
      </c>
      <c r="E945" s="74">
        <v>2E-3</v>
      </c>
      <c r="F945" s="78" t="s">
        <v>237</v>
      </c>
      <c r="G945" s="77" t="s">
        <v>621</v>
      </c>
      <c r="H945" t="str">
        <f>VLOOKUP(D945,'DETALLE PRECIO INGREDIENTES'!B:B,1,0)</f>
        <v>HOJAS DE KAFFIR</v>
      </c>
    </row>
    <row r="946" spans="2:8" ht="15.5" hidden="1" x14ac:dyDescent="0.35">
      <c r="B946" s="75" t="s">
        <v>135</v>
      </c>
      <c r="C946" s="75" t="s">
        <v>126</v>
      </c>
      <c r="D946" s="73" t="s">
        <v>629</v>
      </c>
      <c r="E946" s="74">
        <v>0.01</v>
      </c>
      <c r="F946" s="78" t="s">
        <v>237</v>
      </c>
      <c r="G946" s="77" t="s">
        <v>621</v>
      </c>
      <c r="H946" t="str">
        <f>VLOOKUP(D946,'DETALLE PRECIO INGREDIENTES'!B:B,1,0)</f>
        <v>ALBAHACA FRESCA</v>
      </c>
    </row>
    <row r="947" spans="2:8" ht="15.5" hidden="1" x14ac:dyDescent="0.35">
      <c r="B947" s="75" t="s">
        <v>135</v>
      </c>
      <c r="C947" s="75" t="s">
        <v>126</v>
      </c>
      <c r="D947" s="73" t="s">
        <v>271</v>
      </c>
      <c r="E947" s="74">
        <v>0.1</v>
      </c>
      <c r="F947" s="78" t="s">
        <v>237</v>
      </c>
      <c r="G947" s="77" t="s">
        <v>220</v>
      </c>
      <c r="H947" t="str">
        <f>VLOOKUP(D947,'DETALLE PRECIO INGREDIENTES'!B:B,1,0)</f>
        <v>arroz jazmin</v>
      </c>
    </row>
    <row r="948" spans="2:8" ht="15.5" hidden="1" x14ac:dyDescent="0.35">
      <c r="B948" s="75" t="s">
        <v>135</v>
      </c>
      <c r="C948" s="75" t="s">
        <v>125</v>
      </c>
      <c r="D948" s="73" t="s">
        <v>354</v>
      </c>
      <c r="E948" s="74">
        <v>0.11</v>
      </c>
      <c r="F948" s="78" t="s">
        <v>237</v>
      </c>
      <c r="G948" s="77" t="s">
        <v>220</v>
      </c>
      <c r="H948" t="str">
        <f>VLOOKUP(D948,'DETALLE PRECIO INGREDIENTES'!B:B,1,0)</f>
        <v>HARINA BIZCOCHERA</v>
      </c>
    </row>
    <row r="949" spans="2:8" ht="15.5" hidden="1" x14ac:dyDescent="0.35">
      <c r="B949" s="75" t="s">
        <v>135</v>
      </c>
      <c r="C949" s="75" t="s">
        <v>125</v>
      </c>
      <c r="D949" s="73" t="s">
        <v>750</v>
      </c>
      <c r="E949" s="74">
        <v>0.03</v>
      </c>
      <c r="F949" s="78" t="s">
        <v>237</v>
      </c>
      <c r="G949" s="77" t="s">
        <v>736</v>
      </c>
      <c r="H949" t="str">
        <f>VLOOKUP(D949,'DETALLE PRECIO INGREDIENTES'!B:B,1,0)</f>
        <v>MANTEQUILLA CON SAL</v>
      </c>
    </row>
    <row r="950" spans="2:8" ht="15.5" hidden="1" x14ac:dyDescent="0.35">
      <c r="B950" s="75" t="s">
        <v>135</v>
      </c>
      <c r="C950" s="75" t="s">
        <v>125</v>
      </c>
      <c r="D950" s="73" t="s">
        <v>864</v>
      </c>
      <c r="E950" s="74">
        <v>0.15</v>
      </c>
      <c r="F950" s="78" t="s">
        <v>237</v>
      </c>
      <c r="G950" s="77" t="s">
        <v>852</v>
      </c>
      <c r="H950" t="str">
        <f>VLOOKUP(D950,'DETALLE PRECIO INGREDIENTES'!B:B,1,0)</f>
        <v>VACUNO HUESOS</v>
      </c>
    </row>
    <row r="951" spans="2:8" ht="15.5" hidden="1" x14ac:dyDescent="0.35">
      <c r="B951" s="75" t="s">
        <v>135</v>
      </c>
      <c r="C951" s="75" t="s">
        <v>125</v>
      </c>
      <c r="D951" s="73" t="s">
        <v>411</v>
      </c>
      <c r="E951" s="74">
        <v>0.25</v>
      </c>
      <c r="F951" s="78" t="s">
        <v>237</v>
      </c>
      <c r="G951" s="77" t="s">
        <v>621</v>
      </c>
      <c r="H951" t="str">
        <f>VLOOKUP(D951,'DETALLE PRECIO INGREDIENTES'!B:B,1,0)</f>
        <v>PAPAS</v>
      </c>
    </row>
    <row r="952" spans="2:8" ht="15.5" hidden="1" x14ac:dyDescent="0.35">
      <c r="B952" s="75" t="s">
        <v>135</v>
      </c>
      <c r="C952" s="75" t="s">
        <v>125</v>
      </c>
      <c r="D952" s="73" t="s">
        <v>233</v>
      </c>
      <c r="E952" s="74">
        <v>0.25</v>
      </c>
      <c r="F952" s="78" t="s">
        <v>222</v>
      </c>
      <c r="G952" s="77" t="s">
        <v>220</v>
      </c>
      <c r="H952" t="str">
        <f>VLOOKUP(D952,'DETALLE PRECIO INGREDIENTES'!B:B,1,0)</f>
        <v>ACEITE PARA FREIR</v>
      </c>
    </row>
    <row r="953" spans="2:8" ht="15.5" hidden="1" x14ac:dyDescent="0.35">
      <c r="B953" s="75" t="s">
        <v>135</v>
      </c>
      <c r="C953" s="75" t="s">
        <v>125</v>
      </c>
      <c r="D953" s="73" t="s">
        <v>768</v>
      </c>
      <c r="E953" s="74">
        <v>7.4999999999999997E-2</v>
      </c>
      <c r="F953" s="78" t="s">
        <v>237</v>
      </c>
      <c r="G953" s="77" t="s">
        <v>736</v>
      </c>
      <c r="H953" t="str">
        <f>VLOOKUP(D953,'DETALLE PRECIO INGREDIENTES'!B:B,1,0)</f>
        <v>QUESO MOZZARELLA</v>
      </c>
    </row>
    <row r="954" spans="2:8" ht="15.5" hidden="1" x14ac:dyDescent="0.35">
      <c r="B954" s="75" t="s">
        <v>135</v>
      </c>
      <c r="C954" s="75" t="s">
        <v>125</v>
      </c>
      <c r="D954" s="73" t="s">
        <v>644</v>
      </c>
      <c r="E954" s="74">
        <v>0.05</v>
      </c>
      <c r="F954" s="78" t="s">
        <v>237</v>
      </c>
      <c r="G954" s="77" t="s">
        <v>621</v>
      </c>
      <c r="H954" t="str">
        <f>VLOOKUP(D954,'DETALLE PRECIO INGREDIENTES'!B:B,1,0)</f>
        <v>CEBOLLA BLANCA</v>
      </c>
    </row>
    <row r="955" spans="2:8" ht="15.5" hidden="1" x14ac:dyDescent="0.35">
      <c r="B955" s="75" t="s">
        <v>135</v>
      </c>
      <c r="C955" s="75" t="s">
        <v>125</v>
      </c>
      <c r="D955" s="73" t="s">
        <v>925</v>
      </c>
      <c r="E955" s="74">
        <v>0.05</v>
      </c>
      <c r="F955" s="78" t="s">
        <v>237</v>
      </c>
      <c r="G955" s="77" t="s">
        <v>621</v>
      </c>
      <c r="H955" t="str">
        <f>VLOOKUP(D955,'DETALLE PRECIO INGREDIENTES'!B:B,1,0)</f>
        <v>ZANAHORIA</v>
      </c>
    </row>
    <row r="956" spans="2:8" ht="15.5" hidden="1" x14ac:dyDescent="0.35">
      <c r="B956" s="75" t="s">
        <v>135</v>
      </c>
      <c r="C956" s="75" t="s">
        <v>125</v>
      </c>
      <c r="D956" s="73" t="s">
        <v>455</v>
      </c>
      <c r="E956" s="74">
        <v>2.5000000000000001E-5</v>
      </c>
      <c r="F956" s="78" t="s">
        <v>237</v>
      </c>
      <c r="G956" s="77" t="s">
        <v>220</v>
      </c>
      <c r="H956" t="str">
        <f>VLOOKUP(D956,'DETALLE PRECIO INGREDIENTES'!B:B,1,0)</f>
        <v>SEMILLAS DE CILANTRO</v>
      </c>
    </row>
    <row r="957" spans="2:8" ht="15.5" hidden="1" x14ac:dyDescent="0.35">
      <c r="B957" s="75" t="s">
        <v>135</v>
      </c>
      <c r="C957" s="75" t="s">
        <v>125</v>
      </c>
      <c r="D957" s="73" t="s">
        <v>428</v>
      </c>
      <c r="E957" s="74">
        <v>2.5000000000000001E-5</v>
      </c>
      <c r="F957" s="78" t="s">
        <v>237</v>
      </c>
      <c r="G957" s="77" t="s">
        <v>220</v>
      </c>
      <c r="H957" t="str">
        <f>VLOOKUP(D957,'DETALLE PRECIO INGREDIENTES'!B:B,1,0)</f>
        <v>PIMIENTA NEGRA MOLIDA</v>
      </c>
    </row>
    <row r="958" spans="2:8" ht="15.5" hidden="1" x14ac:dyDescent="0.35">
      <c r="B958" s="75" t="s">
        <v>135</v>
      </c>
      <c r="C958" s="75" t="s">
        <v>125</v>
      </c>
      <c r="D958" s="73" t="s">
        <v>859</v>
      </c>
      <c r="E958" s="74">
        <v>0.15</v>
      </c>
      <c r="F958" s="78" t="s">
        <v>237</v>
      </c>
      <c r="G958" s="77" t="s">
        <v>852</v>
      </c>
      <c r="H958" t="str">
        <f>VLOOKUP(D958,'DETALLE PRECIO INGREDIENTES'!B:B,1,0)</f>
        <v>VACUNO CARNE MOLIDA AL 10%</v>
      </c>
    </row>
    <row r="959" spans="2:8" ht="15.5" hidden="1" x14ac:dyDescent="0.35">
      <c r="B959" s="75" t="s">
        <v>135</v>
      </c>
      <c r="C959" s="75" t="s">
        <v>125</v>
      </c>
      <c r="D959" s="73" t="s">
        <v>546</v>
      </c>
      <c r="E959" s="74">
        <v>0.05</v>
      </c>
      <c r="F959" s="78" t="s">
        <v>237</v>
      </c>
      <c r="G959" s="77" t="s">
        <v>525</v>
      </c>
      <c r="H959" t="str">
        <f>VLOOKUP(D959,'DETALLE PRECIO INGREDIENTES'!B:B,1,0)</f>
        <v>TOCINO LAMINADO</v>
      </c>
    </row>
    <row r="960" spans="2:8" ht="15.5" hidden="1" x14ac:dyDescent="0.35">
      <c r="B960" s="75" t="s">
        <v>135</v>
      </c>
      <c r="C960" s="75" t="s">
        <v>125</v>
      </c>
      <c r="D960" s="73" t="s">
        <v>716</v>
      </c>
      <c r="E960" s="74">
        <v>7.4999999999999997E-2</v>
      </c>
      <c r="F960" s="78" t="s">
        <v>237</v>
      </c>
      <c r="G960" s="77" t="s">
        <v>621</v>
      </c>
      <c r="H960" t="str">
        <f>VLOOKUP(D960,'DETALLE PRECIO INGREDIENTES'!B:B,1,0)</f>
        <v>TOMATE LARGA VIDA</v>
      </c>
    </row>
    <row r="961" spans="2:8" ht="15.5" hidden="1" x14ac:dyDescent="0.35">
      <c r="B961" s="75" t="s">
        <v>135</v>
      </c>
      <c r="C961" s="75" t="s">
        <v>125</v>
      </c>
      <c r="D961" s="73" t="s">
        <v>938</v>
      </c>
      <c r="E961" s="74">
        <v>0.05</v>
      </c>
      <c r="F961" s="78" t="s">
        <v>237</v>
      </c>
      <c r="G961" s="77" t="s">
        <v>621</v>
      </c>
      <c r="H961" t="str">
        <f>VLOOKUP(D961,'DETALLE PRECIO INGREDIENTES'!B:B,1,0)</f>
        <v>CEBOLLA MORADA</v>
      </c>
    </row>
    <row r="962" spans="2:8" ht="15.5" hidden="1" x14ac:dyDescent="0.35">
      <c r="B962" s="75" t="s">
        <v>135</v>
      </c>
      <c r="C962" s="75" t="s">
        <v>125</v>
      </c>
      <c r="D962" s="73" t="s">
        <v>678</v>
      </c>
      <c r="E962" s="74">
        <v>6.25E-2</v>
      </c>
      <c r="F962" s="78" t="s">
        <v>259</v>
      </c>
      <c r="G962" s="77" t="s">
        <v>621</v>
      </c>
      <c r="H962" t="str">
        <f>VLOOKUP(D962,'DETALLE PRECIO INGREDIENTES'!B:B,1,0)</f>
        <v>LECHUGA LOLLO GREEN</v>
      </c>
    </row>
    <row r="963" spans="2:8" ht="15.5" hidden="1" x14ac:dyDescent="0.35">
      <c r="B963" s="75" t="s">
        <v>135</v>
      </c>
      <c r="C963" s="75" t="s">
        <v>125</v>
      </c>
      <c r="D963" s="73" t="s">
        <v>604</v>
      </c>
      <c r="E963" s="74">
        <v>0.02</v>
      </c>
      <c r="F963" s="78" t="s">
        <v>237</v>
      </c>
      <c r="G963" s="77" t="s">
        <v>601</v>
      </c>
      <c r="H963" t="str">
        <f>VLOOKUP(D963,'DETALLE PRECIO INGREDIENTES'!B:B,1,0)</f>
        <v>PEPINILLO DILL</v>
      </c>
    </row>
    <row r="964" spans="2:8" ht="15.5" hidden="1" x14ac:dyDescent="0.35">
      <c r="B964" s="75" t="s">
        <v>135</v>
      </c>
      <c r="C964" s="75" t="s">
        <v>125</v>
      </c>
      <c r="D964" s="73" t="s">
        <v>758</v>
      </c>
      <c r="E964" s="74">
        <v>0.02</v>
      </c>
      <c r="F964" s="78" t="s">
        <v>237</v>
      </c>
      <c r="G964" s="77" t="s">
        <v>736</v>
      </c>
      <c r="H964" t="str">
        <f>VLOOKUP(D964,'DETALLE PRECIO INGREDIENTES'!B:B,1,0)</f>
        <v>QUESO CHEDDAR LAMINADO</v>
      </c>
    </row>
    <row r="965" spans="2:8" ht="15.5" hidden="1" x14ac:dyDescent="0.35">
      <c r="B965" s="75" t="s">
        <v>135</v>
      </c>
      <c r="C965" s="75" t="s">
        <v>125</v>
      </c>
      <c r="D965" s="73" t="s">
        <v>397</v>
      </c>
      <c r="E965" s="74">
        <v>5.0000000000000001E-3</v>
      </c>
      <c r="F965" s="78" t="s">
        <v>237</v>
      </c>
      <c r="G965" s="77" t="s">
        <v>220</v>
      </c>
      <c r="H965" t="str">
        <f>VLOOKUP(D965,'DETALLE PRECIO INGREDIENTES'!B:B,1,0)</f>
        <v>MOSTAZA</v>
      </c>
    </row>
    <row r="966" spans="2:8" ht="15.5" hidden="1" x14ac:dyDescent="0.35">
      <c r="B966" s="75" t="s">
        <v>135</v>
      </c>
      <c r="C966" s="75" t="s">
        <v>125</v>
      </c>
      <c r="D966" s="73" t="s">
        <v>369</v>
      </c>
      <c r="E966" s="74">
        <v>7.4999999999999997E-3</v>
      </c>
      <c r="F966" s="78" t="s">
        <v>237</v>
      </c>
      <c r="G966" s="77" t="s">
        <v>220</v>
      </c>
      <c r="H966" t="str">
        <f>VLOOKUP(D966,'DETALLE PRECIO INGREDIENTES'!B:B,1,0)</f>
        <v>KETCHUP HELLMANS</v>
      </c>
    </row>
    <row r="967" spans="2:8" ht="15.5" hidden="1" x14ac:dyDescent="0.35">
      <c r="B967" s="75" t="s">
        <v>135</v>
      </c>
      <c r="C967" s="75" t="s">
        <v>125</v>
      </c>
      <c r="D967" s="73" t="s">
        <v>408</v>
      </c>
      <c r="E967" s="74">
        <v>1</v>
      </c>
      <c r="F967" s="78" t="s">
        <v>259</v>
      </c>
      <c r="G967" s="77" t="s">
        <v>220</v>
      </c>
      <c r="H967" t="str">
        <f>VLOOKUP(D967,'DETALLE PRECIO INGREDIENTES'!B:B,1,0)</f>
        <v>pan de hamburguesa</v>
      </c>
    </row>
    <row r="968" spans="2:8" ht="15.5" hidden="1" x14ac:dyDescent="0.35">
      <c r="B968" s="75" t="s">
        <v>135</v>
      </c>
      <c r="C968" s="75" t="s">
        <v>125</v>
      </c>
      <c r="D968" s="73" t="s">
        <v>843</v>
      </c>
      <c r="E968" s="74">
        <v>7.0000000000000007E-2</v>
      </c>
      <c r="F968" s="78" t="s">
        <v>237</v>
      </c>
      <c r="G968" s="77" t="s">
        <v>839</v>
      </c>
      <c r="H968" t="str">
        <f>VLOOKUP(D968,'DETALLE PRECIO INGREDIENTES'!B:B,1,0)</f>
        <v>POLLO PECHUGA S/HUESO</v>
      </c>
    </row>
    <row r="969" spans="2:8" ht="15.5" hidden="1" x14ac:dyDescent="0.35">
      <c r="B969" s="75" t="s">
        <v>135</v>
      </c>
      <c r="C969" s="75" t="s">
        <v>125</v>
      </c>
      <c r="D969" s="73" t="s">
        <v>845</v>
      </c>
      <c r="E969" s="74">
        <v>0.125</v>
      </c>
      <c r="F969" s="78" t="s">
        <v>237</v>
      </c>
      <c r="G969" s="77" t="s">
        <v>839</v>
      </c>
      <c r="H969" t="str">
        <f>VLOOKUP(D969,'DETALLE PRECIO INGREDIENTES'!B:B,1,0)</f>
        <v>POLLO TRUTRO CORTO</v>
      </c>
    </row>
    <row r="970" spans="2:8" ht="15.5" hidden="1" x14ac:dyDescent="0.35">
      <c r="B970" s="75" t="s">
        <v>135</v>
      </c>
      <c r="C970" s="75" t="s">
        <v>125</v>
      </c>
      <c r="D970" s="73" t="s">
        <v>748</v>
      </c>
      <c r="E970" s="74">
        <v>0.05</v>
      </c>
      <c r="F970" s="78" t="s">
        <v>222</v>
      </c>
      <c r="G970" s="77" t="s">
        <v>736</v>
      </c>
      <c r="H970" t="str">
        <f>VLOOKUP(D970,'DETALLE PRECIO INGREDIENTES'!B:B,1,0)</f>
        <v>LECHE ENTERA</v>
      </c>
    </row>
    <row r="971" spans="2:8" ht="15.5" hidden="1" x14ac:dyDescent="0.35">
      <c r="B971" s="75" t="s">
        <v>135</v>
      </c>
      <c r="C971" s="75" t="s">
        <v>125</v>
      </c>
      <c r="D971" s="73" t="s">
        <v>939</v>
      </c>
      <c r="E971" s="74">
        <v>2.5000000000000001E-3</v>
      </c>
      <c r="F971" s="78" t="s">
        <v>237</v>
      </c>
      <c r="G971" s="77" t="s">
        <v>220</v>
      </c>
      <c r="H971" t="str">
        <f>VLOOKUP(D971,'DETALLE PRECIO INGREDIENTES'!B:B,1,0)</f>
        <v>AJI DE COLOR</v>
      </c>
    </row>
    <row r="972" spans="2:8" ht="15.5" hidden="1" x14ac:dyDescent="0.35">
      <c r="B972" s="75" t="s">
        <v>135</v>
      </c>
      <c r="C972" s="75" t="s">
        <v>125</v>
      </c>
      <c r="D972" s="73" t="s">
        <v>940</v>
      </c>
      <c r="E972" s="74">
        <v>2.5000000000000001E-3</v>
      </c>
      <c r="F972" s="78" t="s">
        <v>237</v>
      </c>
      <c r="G972" s="77" t="s">
        <v>220</v>
      </c>
      <c r="H972" t="str">
        <f>VLOOKUP(D972,'DETALLE PRECIO INGREDIENTES'!B:B,1,0)</f>
        <v>AJO EN POLVO</v>
      </c>
    </row>
    <row r="973" spans="2:8" ht="15.5" hidden="1" x14ac:dyDescent="0.35">
      <c r="B973" s="75" t="s">
        <v>135</v>
      </c>
      <c r="C973" s="75" t="s">
        <v>125</v>
      </c>
      <c r="D973" s="73" t="s">
        <v>321</v>
      </c>
      <c r="E973" s="74">
        <v>2.5000000000000001E-3</v>
      </c>
      <c r="F973" s="78" t="s">
        <v>237</v>
      </c>
      <c r="G973" s="77" t="s">
        <v>220</v>
      </c>
      <c r="H973" t="str">
        <f>VLOOKUP(D973,'DETALLE PRECIO INGREDIENTES'!B:B,1,0)</f>
        <v>curry</v>
      </c>
    </row>
    <row r="974" spans="2:8" ht="15.5" hidden="1" x14ac:dyDescent="0.35">
      <c r="B974" s="75" t="s">
        <v>135</v>
      </c>
      <c r="C974" s="75" t="s">
        <v>125</v>
      </c>
      <c r="D974" s="73" t="s">
        <v>465</v>
      </c>
      <c r="E974" s="74">
        <v>2.5000000000000001E-3</v>
      </c>
      <c r="F974" s="78" t="s">
        <v>237</v>
      </c>
      <c r="G974" s="77" t="s">
        <v>220</v>
      </c>
      <c r="H974" t="str">
        <f>VLOOKUP(D974,'DETALLE PRECIO INGREDIENTES'!B:B,1,0)</f>
        <v>TOMILLO SECO</v>
      </c>
    </row>
    <row r="975" spans="2:8" ht="15.5" hidden="1" x14ac:dyDescent="0.35">
      <c r="B975" s="75" t="s">
        <v>135</v>
      </c>
      <c r="C975" s="75" t="s">
        <v>125</v>
      </c>
      <c r="D975" s="73" t="s">
        <v>426</v>
      </c>
      <c r="E975" s="74">
        <v>2.5000000000000001E-3</v>
      </c>
      <c r="F975" s="78" t="s">
        <v>237</v>
      </c>
      <c r="G975" s="77" t="s">
        <v>220</v>
      </c>
      <c r="H975" t="str">
        <f>VLOOKUP(D975,'DETALLE PRECIO INGREDIENTES'!B:B,1,0)</f>
        <v>PIMIENTA CAYENA</v>
      </c>
    </row>
    <row r="976" spans="2:8" ht="15.5" hidden="1" x14ac:dyDescent="0.35">
      <c r="B976" s="75" t="s">
        <v>135</v>
      </c>
      <c r="C976" s="75" t="s">
        <v>125</v>
      </c>
      <c r="D976" s="73" t="s">
        <v>298</v>
      </c>
      <c r="E976" s="74">
        <v>0.05</v>
      </c>
      <c r="F976" s="78" t="s">
        <v>237</v>
      </c>
      <c r="G976" s="77" t="s">
        <v>220</v>
      </c>
      <c r="H976" t="str">
        <f>VLOOKUP(D976,'DETALLE PRECIO INGREDIENTES'!B:B,1,0)</f>
        <v>CEREAL CORN FLAKES</v>
      </c>
    </row>
    <row r="977" spans="2:8" ht="15.5" hidden="1" x14ac:dyDescent="0.35">
      <c r="B977" s="75" t="s">
        <v>135</v>
      </c>
      <c r="C977" s="75" t="s">
        <v>124</v>
      </c>
      <c r="D977" s="73" t="s">
        <v>716</v>
      </c>
      <c r="E977" s="74">
        <v>0.05</v>
      </c>
      <c r="F977" s="78" t="s">
        <v>237</v>
      </c>
      <c r="G977" s="77" t="s">
        <v>621</v>
      </c>
      <c r="H977" t="str">
        <f>VLOOKUP(D977,'DETALLE PRECIO INGREDIENTES'!B:B,1,0)</f>
        <v>TOMATE LARGA VIDA</v>
      </c>
    </row>
    <row r="978" spans="2:8" ht="15.5" hidden="1" x14ac:dyDescent="0.35">
      <c r="B978" s="75" t="s">
        <v>135</v>
      </c>
      <c r="C978" s="75" t="s">
        <v>124</v>
      </c>
      <c r="D978" s="73" t="s">
        <v>624</v>
      </c>
      <c r="E978" s="74">
        <v>0.75</v>
      </c>
      <c r="F978" s="78" t="s">
        <v>259</v>
      </c>
      <c r="G978" s="77" t="s">
        <v>621</v>
      </c>
      <c r="H978" t="str">
        <f>VLOOKUP(D978,'DETALLE PRECIO INGREDIENTES'!B:B,1,0)</f>
        <v>AJI CACHO CABRA AHUMADO</v>
      </c>
    </row>
    <row r="979" spans="2:8" ht="15.5" hidden="1" x14ac:dyDescent="0.35">
      <c r="B979" s="75" t="s">
        <v>135</v>
      </c>
      <c r="C979" s="75" t="s">
        <v>124</v>
      </c>
      <c r="D979" s="73" t="s">
        <v>247</v>
      </c>
      <c r="E979" s="74">
        <v>0.02</v>
      </c>
      <c r="F979" s="78" t="s">
        <v>237</v>
      </c>
      <c r="G979" s="77" t="s">
        <v>220</v>
      </c>
      <c r="H979" t="str">
        <f>VLOOKUP(D979,'DETALLE PRECIO INGREDIENTES'!B:B,1,0)</f>
        <v>AJI CHIPOTLE TARRO</v>
      </c>
    </row>
    <row r="980" spans="2:8" ht="15.5" hidden="1" x14ac:dyDescent="0.35">
      <c r="B980" s="75" t="s">
        <v>135</v>
      </c>
      <c r="C980" s="75" t="s">
        <v>124</v>
      </c>
      <c r="D980" s="73" t="s">
        <v>628</v>
      </c>
      <c r="E980" s="74">
        <v>0.2</v>
      </c>
      <c r="F980" s="78" t="s">
        <v>259</v>
      </c>
      <c r="G980" s="77" t="s">
        <v>621</v>
      </c>
      <c r="H980" t="str">
        <f>VLOOKUP(D980,'DETALLE PRECIO INGREDIENTES'!B:B,1,0)</f>
        <v>AJO CABEZA</v>
      </c>
    </row>
    <row r="981" spans="2:8" ht="15.5" hidden="1" x14ac:dyDescent="0.35">
      <c r="B981" s="75" t="s">
        <v>135</v>
      </c>
      <c r="C981" s="75" t="s">
        <v>124</v>
      </c>
      <c r="D981" s="73" t="s">
        <v>644</v>
      </c>
      <c r="E981" s="74">
        <v>0.15</v>
      </c>
      <c r="F981" s="78" t="s">
        <v>237</v>
      </c>
      <c r="G981" s="77" t="s">
        <v>621</v>
      </c>
      <c r="H981" t="str">
        <f>VLOOKUP(D981,'DETALLE PRECIO INGREDIENTES'!B:B,1,0)</f>
        <v>CEBOLLA BLANCA</v>
      </c>
    </row>
    <row r="982" spans="2:8" ht="15.5" hidden="1" x14ac:dyDescent="0.35">
      <c r="B982" s="75" t="s">
        <v>135</v>
      </c>
      <c r="C982" s="75" t="s">
        <v>124</v>
      </c>
      <c r="D982" s="73" t="s">
        <v>472</v>
      </c>
      <c r="E982" s="74">
        <v>1.4999999999999999E-2</v>
      </c>
      <c r="F982" s="78" t="s">
        <v>222</v>
      </c>
      <c r="G982" s="77" t="s">
        <v>220</v>
      </c>
      <c r="H982" t="str">
        <f>VLOOKUP(D982,'DETALLE PRECIO INGREDIENTES'!B:B,1,0)</f>
        <v>VINAGRE BLANCO</v>
      </c>
    </row>
    <row r="983" spans="2:8" ht="15.5" hidden="1" x14ac:dyDescent="0.35">
      <c r="B983" s="75" t="s">
        <v>135</v>
      </c>
      <c r="C983" s="75" t="s">
        <v>124</v>
      </c>
      <c r="D983" s="73" t="s">
        <v>735</v>
      </c>
      <c r="E983" s="74">
        <v>0.05</v>
      </c>
      <c r="F983" s="78" t="s">
        <v>259</v>
      </c>
      <c r="G983" s="77" t="s">
        <v>734</v>
      </c>
      <c r="H983" t="str">
        <f>VLOOKUP(D983,'DETALLE PRECIO INGREDIENTES'!B:B,1,0)</f>
        <v>JUGO DE NARANJA</v>
      </c>
    </row>
    <row r="984" spans="2:8" ht="15.5" hidden="1" x14ac:dyDescent="0.35">
      <c r="B984" s="75" t="s">
        <v>135</v>
      </c>
      <c r="C984" s="75" t="s">
        <v>124</v>
      </c>
      <c r="D984" s="73" t="s">
        <v>704</v>
      </c>
      <c r="E984" s="74">
        <v>2.5000000000000001E-2</v>
      </c>
      <c r="F984" s="78" t="s">
        <v>259</v>
      </c>
      <c r="G984" s="77" t="s">
        <v>621</v>
      </c>
      <c r="H984" t="str">
        <f>VLOOKUP(D984,'DETALLE PRECIO INGREDIENTES'!B:B,1,0)</f>
        <v>PIÑA CARAMELO</v>
      </c>
    </row>
    <row r="985" spans="2:8" ht="15.5" hidden="1" x14ac:dyDescent="0.35">
      <c r="B985" s="75" t="s">
        <v>135</v>
      </c>
      <c r="C985" s="75" t="s">
        <v>124</v>
      </c>
      <c r="D985" s="73" t="s">
        <v>303</v>
      </c>
      <c r="E985" s="74">
        <v>7.5000000000000002E-4</v>
      </c>
      <c r="F985" s="78" t="s">
        <v>237</v>
      </c>
      <c r="G985" s="77" t="s">
        <v>220</v>
      </c>
      <c r="H985" t="str">
        <f>VLOOKUP(D985,'DETALLE PRECIO INGREDIENTES'!B:B,1,0)</f>
        <v>CLAVO DE OLOR MOLIDO</v>
      </c>
    </row>
    <row r="986" spans="2:8" ht="15.5" hidden="1" x14ac:dyDescent="0.35">
      <c r="B986" s="75" t="s">
        <v>135</v>
      </c>
      <c r="C986" s="75" t="s">
        <v>124</v>
      </c>
      <c r="D986" s="73" t="s">
        <v>309</v>
      </c>
      <c r="E986" s="74">
        <v>5.0000000000000001E-4</v>
      </c>
      <c r="F986" s="78" t="s">
        <v>237</v>
      </c>
      <c r="G986" s="77" t="s">
        <v>220</v>
      </c>
      <c r="H986" t="str">
        <f>VLOOKUP(D986,'DETALLE PRECIO INGREDIENTES'!B:B,1,0)</f>
        <v>COMINO MOLIDO</v>
      </c>
    </row>
    <row r="987" spans="2:8" ht="15.5" hidden="1" x14ac:dyDescent="0.35">
      <c r="B987" s="75" t="s">
        <v>135</v>
      </c>
      <c r="C987" s="75" t="s">
        <v>124</v>
      </c>
      <c r="D987" s="73" t="s">
        <v>533</v>
      </c>
      <c r="E987" s="74">
        <v>0.125</v>
      </c>
      <c r="F987" s="78" t="s">
        <v>237</v>
      </c>
      <c r="G987" s="77" t="s">
        <v>525</v>
      </c>
      <c r="H987" t="str">
        <f>VLOOKUP(D987,'DETALLE PRECIO INGREDIENTES'!B:B,1,0)</f>
        <v>CERDO LOMO CENTRO</v>
      </c>
    </row>
    <row r="988" spans="2:8" ht="15.5" hidden="1" x14ac:dyDescent="0.35">
      <c r="B988" s="75" t="s">
        <v>135</v>
      </c>
      <c r="C988" s="75" t="s">
        <v>124</v>
      </c>
      <c r="D988" s="73" t="s">
        <v>466</v>
      </c>
      <c r="E988" s="74">
        <v>2.5</v>
      </c>
      <c r="F988" s="78" t="s">
        <v>259</v>
      </c>
      <c r="G988" s="77" t="s">
        <v>220</v>
      </c>
      <c r="H988" t="str">
        <f>VLOOKUP(D988,'DETALLE PRECIO INGREDIENTES'!B:B,1,0)</f>
        <v>TORTILLAS MEXICANA MAIZ</v>
      </c>
    </row>
    <row r="989" spans="2:8" ht="15.5" hidden="1" x14ac:dyDescent="0.35">
      <c r="B989" s="75" t="s">
        <v>135</v>
      </c>
      <c r="C989" s="75" t="s">
        <v>124</v>
      </c>
      <c r="D989" s="73" t="s">
        <v>645</v>
      </c>
      <c r="E989" s="74">
        <v>0.1</v>
      </c>
      <c r="F989" s="78" t="s">
        <v>237</v>
      </c>
      <c r="G989" s="77" t="s">
        <v>621</v>
      </c>
      <c r="H989" t="str">
        <f>VLOOKUP(D989,'DETALLE PRECIO INGREDIENTES'!B:B,1,0)</f>
        <v>CEBOLLA MORADA</v>
      </c>
    </row>
    <row r="990" spans="2:8" ht="15.5" hidden="1" x14ac:dyDescent="0.35">
      <c r="B990" s="75" t="s">
        <v>135</v>
      </c>
      <c r="C990" s="75" t="s">
        <v>124</v>
      </c>
      <c r="D990" s="73" t="s">
        <v>681</v>
      </c>
      <c r="E990" s="74">
        <v>3.7499999999999999E-2</v>
      </c>
      <c r="F990" s="78" t="s">
        <v>237</v>
      </c>
      <c r="G990" s="77" t="s">
        <v>621</v>
      </c>
      <c r="H990" t="str">
        <f>VLOOKUP(D990,'DETALLE PRECIO INGREDIENTES'!B:B,1,0)</f>
        <v>LIMON SUTIL</v>
      </c>
    </row>
    <row r="991" spans="2:8" ht="15.5" hidden="1" x14ac:dyDescent="0.35">
      <c r="B991" s="75" t="s">
        <v>135</v>
      </c>
      <c r="C991" s="75" t="s">
        <v>124</v>
      </c>
      <c r="D991" s="73" t="s">
        <v>657</v>
      </c>
      <c r="E991" s="74">
        <v>3.5000000000000003E-2</v>
      </c>
      <c r="F991" s="78" t="s">
        <v>237</v>
      </c>
      <c r="G991" s="77" t="s">
        <v>621</v>
      </c>
      <c r="H991" t="str">
        <f>VLOOKUP(D991,'DETALLE PRECIO INGREDIENTES'!B:B,1,0)</f>
        <v>CILANTRO</v>
      </c>
    </row>
    <row r="992" spans="2:8" ht="15.5" hidden="1" x14ac:dyDescent="0.35">
      <c r="B992" s="75" t="s">
        <v>135</v>
      </c>
      <c r="C992" s="75" t="s">
        <v>124</v>
      </c>
      <c r="D992" s="73" t="s">
        <v>411</v>
      </c>
      <c r="E992" s="74">
        <v>0.25</v>
      </c>
      <c r="F992" s="78" t="s">
        <v>237</v>
      </c>
      <c r="G992" s="77" t="s">
        <v>621</v>
      </c>
      <c r="H992" t="str">
        <f>VLOOKUP(D992,'DETALLE PRECIO INGREDIENTES'!B:B,1,0)</f>
        <v>PAPAS</v>
      </c>
    </row>
    <row r="993" spans="2:8" ht="15.5" hidden="1" x14ac:dyDescent="0.35">
      <c r="B993" s="75" t="s">
        <v>135</v>
      </c>
      <c r="C993" s="75" t="s">
        <v>124</v>
      </c>
      <c r="D993" s="73" t="s">
        <v>354</v>
      </c>
      <c r="E993" s="74">
        <v>0.04</v>
      </c>
      <c r="F993" s="78" t="s">
        <v>237</v>
      </c>
      <c r="G993" s="77" t="s">
        <v>220</v>
      </c>
      <c r="H993" t="str">
        <f>VLOOKUP(D993,'DETALLE PRECIO INGREDIENTES'!B:B,1,0)</f>
        <v>HARINA BIZCOCHERA</v>
      </c>
    </row>
    <row r="994" spans="2:8" ht="15.5" hidden="1" x14ac:dyDescent="0.35">
      <c r="B994" s="75" t="s">
        <v>135</v>
      </c>
      <c r="C994" s="75" t="s">
        <v>124</v>
      </c>
      <c r="D994" s="73" t="s">
        <v>729</v>
      </c>
      <c r="E994" s="74">
        <v>0.5</v>
      </c>
      <c r="F994" s="78" t="s">
        <v>259</v>
      </c>
      <c r="G994" s="77" t="s">
        <v>728</v>
      </c>
      <c r="H994" t="str">
        <f>VLOOKUP(D994,'DETALLE PRECIO INGREDIENTES'!B:B,1,0)</f>
        <v>HUEVO EXTRA BLANCO</v>
      </c>
    </row>
    <row r="995" spans="2:8" ht="15.5" hidden="1" x14ac:dyDescent="0.35">
      <c r="B995" s="75" t="s">
        <v>135</v>
      </c>
      <c r="C995" s="75" t="s">
        <v>124</v>
      </c>
      <c r="D995" s="73" t="s">
        <v>404</v>
      </c>
      <c r="E995" s="74">
        <v>5.0000000000000001E-4</v>
      </c>
      <c r="F995" s="78" t="s">
        <v>237</v>
      </c>
      <c r="G995" s="77" t="s">
        <v>220</v>
      </c>
      <c r="H995" t="str">
        <f>VLOOKUP(D995,'DETALLE PRECIO INGREDIENTES'!B:B,1,0)</f>
        <v>NUEZ MOSCADA ENTERA</v>
      </c>
    </row>
    <row r="996" spans="2:8" ht="15.5" hidden="1" x14ac:dyDescent="0.35">
      <c r="B996" s="75" t="s">
        <v>135</v>
      </c>
      <c r="C996" s="75" t="s">
        <v>124</v>
      </c>
      <c r="D996" s="73" t="s">
        <v>409</v>
      </c>
      <c r="E996" s="74">
        <v>0.04</v>
      </c>
      <c r="F996" s="78" t="s">
        <v>237</v>
      </c>
      <c r="G996" s="77" t="s">
        <v>220</v>
      </c>
      <c r="H996" t="str">
        <f>VLOOKUP(D996,'DETALLE PRECIO INGREDIENTES'!B:B,1,0)</f>
        <v>PAN RALLADO</v>
      </c>
    </row>
    <row r="997" spans="2:8" ht="15.5" hidden="1" x14ac:dyDescent="0.35">
      <c r="B997" s="75" t="s">
        <v>135</v>
      </c>
      <c r="C997" s="75" t="s">
        <v>124</v>
      </c>
      <c r="D997" s="73" t="s">
        <v>859</v>
      </c>
      <c r="E997" s="74">
        <v>0.1</v>
      </c>
      <c r="F997" s="78" t="s">
        <v>237</v>
      </c>
      <c r="G997" s="77" t="s">
        <v>852</v>
      </c>
      <c r="H997" t="str">
        <f>VLOOKUP(D997,'DETALLE PRECIO INGREDIENTES'!B:B,1,0)</f>
        <v>VACUNO CARNE MOLIDA AL 10%</v>
      </c>
    </row>
    <row r="998" spans="2:8" ht="15.5" hidden="1" x14ac:dyDescent="0.35">
      <c r="B998" s="75" t="s">
        <v>135</v>
      </c>
      <c r="C998" s="75" t="s">
        <v>124</v>
      </c>
      <c r="D998" s="73" t="s">
        <v>914</v>
      </c>
      <c r="E998" s="74">
        <v>2.5000000000000001E-3</v>
      </c>
      <c r="F998" s="78" t="s">
        <v>237</v>
      </c>
      <c r="G998" s="77" t="s">
        <v>220</v>
      </c>
      <c r="H998" t="str">
        <f>VLOOKUP(D998,'DETALLE PRECIO INGREDIENTES'!B:B,1,0)</f>
        <v>PIMIENTA NEGRA MOLIDA</v>
      </c>
    </row>
    <row r="999" spans="2:8" ht="15.5" hidden="1" x14ac:dyDescent="0.35">
      <c r="B999" s="75" t="s">
        <v>135</v>
      </c>
      <c r="C999" s="75" t="s">
        <v>124</v>
      </c>
      <c r="D999" s="73" t="s">
        <v>407</v>
      </c>
      <c r="E999" s="74">
        <v>2.5000000000000001E-3</v>
      </c>
      <c r="F999" s="78" t="s">
        <v>237</v>
      </c>
      <c r="G999" s="77" t="s">
        <v>220</v>
      </c>
      <c r="H999" t="str">
        <f>VLOOKUP(D999,'DETALLE PRECIO INGREDIENTES'!B:B,1,0)</f>
        <v>OREGANO SECO</v>
      </c>
    </row>
    <row r="1000" spans="2:8" ht="15.5" hidden="1" x14ac:dyDescent="0.35">
      <c r="B1000" s="75" t="s">
        <v>135</v>
      </c>
      <c r="C1000" s="75" t="s">
        <v>124</v>
      </c>
      <c r="D1000" s="73" t="s">
        <v>765</v>
      </c>
      <c r="E1000" s="74">
        <v>0.06</v>
      </c>
      <c r="F1000" s="78" t="s">
        <v>237</v>
      </c>
      <c r="G1000" s="77" t="s">
        <v>736</v>
      </c>
      <c r="H1000" t="str">
        <f>VLOOKUP(D1000,'DETALLE PRECIO INGREDIENTES'!B:B,1,0)</f>
        <v>QUESO MANTECOSO LAMINADO</v>
      </c>
    </row>
    <row r="1001" spans="2:8" ht="15.5" hidden="1" x14ac:dyDescent="0.35">
      <c r="B1001" s="75" t="s">
        <v>135</v>
      </c>
      <c r="C1001" s="75" t="s">
        <v>124</v>
      </c>
      <c r="D1001" s="73" t="s">
        <v>233</v>
      </c>
      <c r="E1001" s="74">
        <v>0.25</v>
      </c>
      <c r="F1001" s="78" t="s">
        <v>222</v>
      </c>
      <c r="G1001" s="77" t="s">
        <v>220</v>
      </c>
      <c r="H1001" t="str">
        <f>VLOOKUP(D1001,'DETALLE PRECIO INGREDIENTES'!B:B,1,0)</f>
        <v>ACEITE PARA FREIR</v>
      </c>
    </row>
    <row r="1002" spans="2:8" ht="15.5" hidden="1" x14ac:dyDescent="0.35">
      <c r="B1002" s="75" t="s">
        <v>135</v>
      </c>
      <c r="C1002" s="75" t="s">
        <v>124</v>
      </c>
      <c r="D1002" s="73" t="s">
        <v>748</v>
      </c>
      <c r="E1002" s="74">
        <v>7.4999999999999997E-2</v>
      </c>
      <c r="F1002" s="78" t="s">
        <v>222</v>
      </c>
      <c r="G1002" s="77" t="s">
        <v>736</v>
      </c>
      <c r="H1002" t="str">
        <f>VLOOKUP(D1002,'DETALLE PRECIO INGREDIENTES'!B:B,1,0)</f>
        <v>LECHE ENTERA</v>
      </c>
    </row>
    <row r="1003" spans="2:8" ht="15.5" hidden="1" x14ac:dyDescent="0.35">
      <c r="B1003" s="75" t="s">
        <v>135</v>
      </c>
      <c r="C1003" s="75" t="s">
        <v>124</v>
      </c>
      <c r="D1003" s="73" t="s">
        <v>234</v>
      </c>
      <c r="E1003" s="74">
        <v>3.7499999999999999E-2</v>
      </c>
      <c r="F1003" s="78" t="s">
        <v>222</v>
      </c>
      <c r="G1003" s="77" t="s">
        <v>220</v>
      </c>
      <c r="H1003" t="str">
        <f>VLOOKUP(D1003,'DETALLE PRECIO INGREDIENTES'!B:B,1,0)</f>
        <v>ACEITE SEMILLA DE GIRASOL</v>
      </c>
    </row>
    <row r="1004" spans="2:8" ht="15.5" hidden="1" x14ac:dyDescent="0.35">
      <c r="B1004" s="75" t="s">
        <v>135</v>
      </c>
      <c r="C1004" s="75" t="s">
        <v>124</v>
      </c>
      <c r="D1004" s="73" t="s">
        <v>691</v>
      </c>
      <c r="E1004" s="74">
        <v>0.03</v>
      </c>
      <c r="F1004" s="78" t="s">
        <v>237</v>
      </c>
      <c r="G1004" s="77" t="s">
        <v>621</v>
      </c>
      <c r="H1004" t="str">
        <f>VLOOKUP(D1004,'DETALLE PRECIO INGREDIENTES'!B:B,1,0)</f>
        <v>PALTA HASS</v>
      </c>
    </row>
    <row r="1005" spans="2:8" ht="15.5" x14ac:dyDescent="0.35">
      <c r="B1005" s="75" t="s">
        <v>135</v>
      </c>
      <c r="C1005" s="75" t="s">
        <v>124</v>
      </c>
      <c r="D1005" s="73" t="s">
        <v>941</v>
      </c>
      <c r="E1005" s="74">
        <v>5.0000000000000001E-3</v>
      </c>
      <c r="F1005" s="78" t="s">
        <v>259</v>
      </c>
      <c r="G1005" s="77" t="s">
        <v>621</v>
      </c>
      <c r="H1005" t="e">
        <f>VLOOKUP(D1005,'DETALLE PRECIO INGREDIENTES'!B:B,1,0)</f>
        <v>#N/A</v>
      </c>
    </row>
    <row r="1006" spans="2:8" ht="15.5" hidden="1" x14ac:dyDescent="0.35">
      <c r="B1006" s="75" t="s">
        <v>135</v>
      </c>
      <c r="C1006" s="75" t="s">
        <v>124</v>
      </c>
      <c r="D1006" s="73" t="s">
        <v>925</v>
      </c>
      <c r="E1006" s="74">
        <v>5.0000000000000001E-3</v>
      </c>
      <c r="F1006" s="78" t="s">
        <v>237</v>
      </c>
      <c r="G1006" s="77" t="s">
        <v>621</v>
      </c>
      <c r="H1006" t="str">
        <f>VLOOKUP(D1006,'DETALLE PRECIO INGREDIENTES'!B:B,1,0)</f>
        <v>ZANAHORIA</v>
      </c>
    </row>
    <row r="1007" spans="2:8" ht="15.5" hidden="1" x14ac:dyDescent="0.35">
      <c r="B1007" s="75" t="s">
        <v>135</v>
      </c>
      <c r="C1007" s="75" t="s">
        <v>124</v>
      </c>
      <c r="D1007" s="73" t="s">
        <v>843</v>
      </c>
      <c r="E1007" s="74">
        <v>0.05</v>
      </c>
      <c r="F1007" s="78" t="s">
        <v>237</v>
      </c>
      <c r="G1007" s="77" t="s">
        <v>839</v>
      </c>
      <c r="H1007" t="str">
        <f>VLOOKUP(D1007,'DETALLE PRECIO INGREDIENTES'!B:B,1,0)</f>
        <v>POLLO PECHUGA S/HUESO</v>
      </c>
    </row>
    <row r="1008" spans="2:8" ht="15.5" hidden="1" x14ac:dyDescent="0.35">
      <c r="B1008" s="75" t="s">
        <v>135</v>
      </c>
      <c r="C1008" s="75" t="s">
        <v>124</v>
      </c>
      <c r="D1008" s="73" t="s">
        <v>750</v>
      </c>
      <c r="E1008" s="74">
        <v>0.01</v>
      </c>
      <c r="F1008" s="78" t="s">
        <v>237</v>
      </c>
      <c r="G1008" s="77" t="s">
        <v>736</v>
      </c>
      <c r="H1008" t="str">
        <f>VLOOKUP(D1008,'DETALLE PRECIO INGREDIENTES'!B:B,1,0)</f>
        <v>MANTEQUILLA CON SAL</v>
      </c>
    </row>
    <row r="1009" spans="2:8" ht="15.5" hidden="1" x14ac:dyDescent="0.35">
      <c r="B1009" s="75" t="s">
        <v>135</v>
      </c>
      <c r="C1009" s="75" t="s">
        <v>124</v>
      </c>
      <c r="D1009" s="73" t="s">
        <v>359</v>
      </c>
      <c r="E1009" s="74">
        <v>0.1</v>
      </c>
      <c r="F1009" s="78" t="s">
        <v>237</v>
      </c>
      <c r="G1009" s="77" t="s">
        <v>220</v>
      </c>
      <c r="H1009" t="str">
        <f>VLOOKUP(D1009,'DETALLE PRECIO INGREDIENTES'!B:B,1,0)</f>
        <v>HARINA DE MAIZ BLANCO PAN</v>
      </c>
    </row>
    <row r="1010" spans="2:8" ht="15.5" hidden="1" x14ac:dyDescent="0.35">
      <c r="B1010" s="75" t="s">
        <v>135</v>
      </c>
      <c r="C1010" s="75" t="s">
        <v>123</v>
      </c>
      <c r="D1010" s="73" t="s">
        <v>694</v>
      </c>
      <c r="E1010" s="74">
        <v>0.1</v>
      </c>
      <c r="F1010" s="78" t="s">
        <v>986</v>
      </c>
      <c r="G1010" s="77" t="s">
        <v>621</v>
      </c>
      <c r="H1010" t="str">
        <f>VLOOKUP(D1010,'DETALLE PRECIO INGREDIENTES'!B:B,1,0)</f>
        <v>PAPAS AMARILLAS FRESCAS</v>
      </c>
    </row>
    <row r="1011" spans="2:8" ht="15.5" hidden="1" x14ac:dyDescent="0.35">
      <c r="B1011" s="75" t="s">
        <v>135</v>
      </c>
      <c r="C1011" s="75" t="s">
        <v>123</v>
      </c>
      <c r="D1011" s="73" t="s">
        <v>245</v>
      </c>
      <c r="E1011" s="74">
        <v>0.1</v>
      </c>
      <c r="F1011" s="78" t="s">
        <v>237</v>
      </c>
      <c r="G1011" s="77" t="s">
        <v>220</v>
      </c>
      <c r="H1011" t="str">
        <f>VLOOKUP(D1011,'DETALLE PRECIO INGREDIENTES'!B:B,1,0)</f>
        <v>AJI AMARILLO EN PASTA</v>
      </c>
    </row>
    <row r="1012" spans="2:8" ht="15.5" hidden="1" x14ac:dyDescent="0.35">
      <c r="B1012" s="75" t="s">
        <v>135</v>
      </c>
      <c r="C1012" s="75" t="s">
        <v>123</v>
      </c>
      <c r="D1012" s="73" t="s">
        <v>942</v>
      </c>
      <c r="E1012" s="74">
        <v>0.15</v>
      </c>
      <c r="F1012" s="78" t="s">
        <v>237</v>
      </c>
      <c r="G1012" s="77" t="s">
        <v>621</v>
      </c>
      <c r="H1012" t="str">
        <f>VLOOKUP(D1012,'DETALLE PRECIO INGREDIENTES'!B:B,1,0)</f>
        <v>LIMON SUTIL</v>
      </c>
    </row>
    <row r="1013" spans="2:8" ht="15.5" hidden="1" x14ac:dyDescent="0.35">
      <c r="B1013" s="75" t="s">
        <v>135</v>
      </c>
      <c r="C1013" s="75" t="s">
        <v>123</v>
      </c>
      <c r="D1013" s="73" t="s">
        <v>936</v>
      </c>
      <c r="E1013" s="74">
        <v>0.1</v>
      </c>
      <c r="F1013" s="78" t="s">
        <v>222</v>
      </c>
      <c r="G1013" s="77" t="s">
        <v>220</v>
      </c>
      <c r="H1013" t="str">
        <f>VLOOKUP(D1013,'DETALLE PRECIO INGREDIENTES'!B:B,1,0)</f>
        <v>ACEITE VEGETAL</v>
      </c>
    </row>
    <row r="1014" spans="2:8" ht="15.5" hidden="1" x14ac:dyDescent="0.35">
      <c r="B1014" s="75" t="s">
        <v>135</v>
      </c>
      <c r="C1014" s="75" t="s">
        <v>123</v>
      </c>
      <c r="D1014" s="73" t="s">
        <v>842</v>
      </c>
      <c r="E1014" s="74">
        <v>0.17</v>
      </c>
      <c r="F1014" s="78" t="s">
        <v>237</v>
      </c>
      <c r="G1014" s="77" t="s">
        <v>839</v>
      </c>
      <c r="H1014" t="str">
        <f>VLOOKUP(D1014,'DETALLE PRECIO INGREDIENTES'!B:B,1,0)</f>
        <v>POLLO PECHUGA ENTERA</v>
      </c>
    </row>
    <row r="1015" spans="2:8" ht="15.5" hidden="1" x14ac:dyDescent="0.35">
      <c r="B1015" s="75" t="s">
        <v>135</v>
      </c>
      <c r="C1015" s="75" t="s">
        <v>123</v>
      </c>
      <c r="D1015" s="73" t="s">
        <v>644</v>
      </c>
      <c r="E1015" s="74">
        <v>0.1</v>
      </c>
      <c r="F1015" s="78" t="s">
        <v>237</v>
      </c>
      <c r="G1015" s="77" t="s">
        <v>621</v>
      </c>
      <c r="H1015" t="str">
        <f>VLOOKUP(D1015,'DETALLE PRECIO INGREDIENTES'!B:B,1,0)</f>
        <v>CEBOLLA BLANCA</v>
      </c>
    </row>
    <row r="1016" spans="2:8" ht="15.5" hidden="1" x14ac:dyDescent="0.35">
      <c r="B1016" s="75" t="s">
        <v>135</v>
      </c>
      <c r="C1016" s="75" t="s">
        <v>123</v>
      </c>
      <c r="D1016" s="73" t="s">
        <v>385</v>
      </c>
      <c r="E1016" s="74">
        <v>0.04</v>
      </c>
      <c r="F1016" s="78" t="s">
        <v>237</v>
      </c>
      <c r="G1016" s="77" t="s">
        <v>220</v>
      </c>
      <c r="H1016" t="str">
        <f>VLOOKUP(D1016,'DETALLE PRECIO INGREDIENTES'!B:B,1,0)</f>
        <v>MAYONESA HELLMANS</v>
      </c>
    </row>
    <row r="1017" spans="2:8" ht="15.5" hidden="1" x14ac:dyDescent="0.35">
      <c r="B1017" s="75" t="s">
        <v>135</v>
      </c>
      <c r="C1017" s="75" t="s">
        <v>123</v>
      </c>
      <c r="D1017" s="73" t="s">
        <v>943</v>
      </c>
      <c r="E1017" s="74">
        <v>7.4999999999999997E-2</v>
      </c>
      <c r="F1017" s="78" t="s">
        <v>237</v>
      </c>
      <c r="G1017" s="77" t="s">
        <v>621</v>
      </c>
      <c r="H1017" t="str">
        <f>VLOOKUP(D1017,'DETALLE PRECIO INGREDIENTES'!B:B,1,0)</f>
        <v>PALTA HASS</v>
      </c>
    </row>
    <row r="1018" spans="2:8" ht="15.5" hidden="1" x14ac:dyDescent="0.35">
      <c r="B1018" s="75" t="s">
        <v>135</v>
      </c>
      <c r="C1018" s="75" t="s">
        <v>123</v>
      </c>
      <c r="D1018" s="73" t="s">
        <v>716</v>
      </c>
      <c r="E1018" s="74">
        <v>0.17499999999999999</v>
      </c>
      <c r="F1018" s="78" t="s">
        <v>237</v>
      </c>
      <c r="G1018" s="77" t="s">
        <v>621</v>
      </c>
      <c r="H1018" t="str">
        <f>VLOOKUP(D1018,'DETALLE PRECIO INGREDIENTES'!B:B,1,0)</f>
        <v>TOMATE LARGA VIDA</v>
      </c>
    </row>
    <row r="1019" spans="2:8" ht="15.5" hidden="1" x14ac:dyDescent="0.35">
      <c r="B1019" s="75" t="s">
        <v>135</v>
      </c>
      <c r="C1019" s="75" t="s">
        <v>123</v>
      </c>
      <c r="D1019" s="73" t="s">
        <v>730</v>
      </c>
      <c r="E1019" s="74">
        <v>0.5</v>
      </c>
      <c r="F1019" s="78" t="s">
        <v>259</v>
      </c>
      <c r="G1019" s="77" t="s">
        <v>728</v>
      </c>
      <c r="H1019" t="str">
        <f>VLOOKUP(D1019,'DETALLE PRECIO INGREDIENTES'!B:B,1,0)</f>
        <v>HUEVOS DE CODORNIZ</v>
      </c>
    </row>
    <row r="1020" spans="2:8" ht="15.5" hidden="1" x14ac:dyDescent="0.35">
      <c r="B1020" s="75" t="s">
        <v>135</v>
      </c>
      <c r="C1020" s="75" t="s">
        <v>123</v>
      </c>
      <c r="D1020" s="73" t="s">
        <v>910</v>
      </c>
      <c r="E1020" s="74">
        <v>0.01</v>
      </c>
      <c r="F1020" s="78" t="s">
        <v>237</v>
      </c>
      <c r="G1020" s="77" t="s">
        <v>621</v>
      </c>
      <c r="H1020" t="str">
        <f>VLOOKUP(D1020,'DETALLE PRECIO INGREDIENTES'!B:B,1,0)</f>
        <v>PEREJIL</v>
      </c>
    </row>
    <row r="1021" spans="2:8" ht="15.5" hidden="1" x14ac:dyDescent="0.35">
      <c r="B1021" s="75" t="s">
        <v>135</v>
      </c>
      <c r="C1021" s="75" t="s">
        <v>123</v>
      </c>
      <c r="D1021" s="73" t="s">
        <v>445</v>
      </c>
      <c r="E1021" s="74">
        <v>5.0000000000000001E-4</v>
      </c>
      <c r="F1021" s="78" t="s">
        <v>237</v>
      </c>
      <c r="G1021" s="77" t="s">
        <v>220</v>
      </c>
      <c r="H1021" t="str">
        <f>VLOOKUP(D1021,'DETALLE PRECIO INGREDIENTES'!B:B,1,0)</f>
        <v>SAL DE MESA LOBOS</v>
      </c>
    </row>
    <row r="1022" spans="2:8" ht="15.5" hidden="1" x14ac:dyDescent="0.35">
      <c r="B1022" s="75" t="s">
        <v>135</v>
      </c>
      <c r="C1022" s="75" t="s">
        <v>123</v>
      </c>
      <c r="D1022" s="73" t="s">
        <v>428</v>
      </c>
      <c r="E1022" s="74">
        <v>7.5000000000000002E-4</v>
      </c>
      <c r="F1022" s="78" t="s">
        <v>237</v>
      </c>
      <c r="G1022" s="77" t="s">
        <v>220</v>
      </c>
      <c r="H1022" t="str">
        <f>VLOOKUP(D1022,'DETALLE PRECIO INGREDIENTES'!B:B,1,0)</f>
        <v>PIMIENTA NEGRA MOLIDA</v>
      </c>
    </row>
    <row r="1023" spans="2:8" ht="15.5" hidden="1" x14ac:dyDescent="0.35">
      <c r="B1023" s="75" t="s">
        <v>135</v>
      </c>
      <c r="C1023" s="75" t="s">
        <v>123</v>
      </c>
      <c r="D1023" s="73" t="s">
        <v>508</v>
      </c>
      <c r="E1023" s="74">
        <v>5.0000000000000001E-4</v>
      </c>
      <c r="F1023" s="78" t="s">
        <v>237</v>
      </c>
      <c r="G1023" s="77" t="s">
        <v>485</v>
      </c>
      <c r="H1023" t="str">
        <f>VLOOKUP(D1023,'DETALLE PRECIO INGREDIENTES'!B:B,1,0)</f>
        <v>PALILLO AMARILLO PERUANO</v>
      </c>
    </row>
    <row r="1024" spans="2:8" ht="15.5" hidden="1" x14ac:dyDescent="0.35">
      <c r="B1024" s="75" t="s">
        <v>135</v>
      </c>
      <c r="C1024" s="75" t="s">
        <v>123</v>
      </c>
      <c r="D1024" s="73" t="s">
        <v>628</v>
      </c>
      <c r="E1024" s="74">
        <v>7.5000000000000011E-2</v>
      </c>
      <c r="F1024" s="78" t="s">
        <v>259</v>
      </c>
      <c r="G1024" s="77" t="s">
        <v>621</v>
      </c>
      <c r="H1024" t="str">
        <f>VLOOKUP(D1024,'DETALLE PRECIO INGREDIENTES'!B:B,1,0)</f>
        <v>AJO CABEZA</v>
      </c>
    </row>
    <row r="1025" spans="2:8" ht="15.5" hidden="1" x14ac:dyDescent="0.35">
      <c r="B1025" s="75" t="s">
        <v>135</v>
      </c>
      <c r="C1025" s="75" t="s">
        <v>123</v>
      </c>
      <c r="D1025" s="73" t="s">
        <v>403</v>
      </c>
      <c r="E1025" s="74">
        <v>0.01</v>
      </c>
      <c r="F1025" s="78" t="s">
        <v>237</v>
      </c>
      <c r="G1025" s="77" t="s">
        <v>220</v>
      </c>
      <c r="H1025" t="str">
        <f>VLOOKUP(D1025,'DETALLE PRECIO INGREDIENTES'!B:B,1,0)</f>
        <v>NUEZ MARIPOSA</v>
      </c>
    </row>
    <row r="1026" spans="2:8" ht="15.5" hidden="1" x14ac:dyDescent="0.35">
      <c r="B1026" s="75" t="s">
        <v>135</v>
      </c>
      <c r="C1026" s="75" t="s">
        <v>123</v>
      </c>
      <c r="D1026" s="73" t="s">
        <v>803</v>
      </c>
      <c r="E1026" s="74">
        <v>1</v>
      </c>
      <c r="F1026" s="78" t="s">
        <v>259</v>
      </c>
      <c r="G1026" s="77" t="s">
        <v>795</v>
      </c>
      <c r="H1026" t="str">
        <f>VLOOKUP(D1026,'DETALLE PRECIO INGREDIENTES'!B:B,1,0)</f>
        <v>PAN MOLDE BLANCO LAMINA</v>
      </c>
    </row>
    <row r="1027" spans="2:8" ht="15.5" hidden="1" x14ac:dyDescent="0.35">
      <c r="B1027" s="75" t="s">
        <v>135</v>
      </c>
      <c r="C1027" s="75" t="s">
        <v>123</v>
      </c>
      <c r="D1027" s="73" t="s">
        <v>748</v>
      </c>
      <c r="E1027" s="74">
        <v>3.7499999999999999E-2</v>
      </c>
      <c r="F1027" s="78" t="s">
        <v>222</v>
      </c>
      <c r="G1027" s="77" t="s">
        <v>736</v>
      </c>
      <c r="H1027" t="str">
        <f>VLOOKUP(D1027,'DETALLE PRECIO INGREDIENTES'!B:B,1,0)</f>
        <v>LECHE ENTERA</v>
      </c>
    </row>
    <row r="1028" spans="2:8" ht="15.5" hidden="1" x14ac:dyDescent="0.35">
      <c r="B1028" s="75" t="s">
        <v>135</v>
      </c>
      <c r="C1028" s="75" t="s">
        <v>123</v>
      </c>
      <c r="D1028" s="73" t="s">
        <v>944</v>
      </c>
      <c r="E1028" s="74">
        <v>5.0000000000000001E-3</v>
      </c>
      <c r="F1028" s="78" t="s">
        <v>237</v>
      </c>
      <c r="G1028" s="77" t="s">
        <v>736</v>
      </c>
      <c r="H1028" t="str">
        <f>VLOOKUP(D1028,'DETALLE PRECIO INGREDIENTES'!B:B,1,0)</f>
        <v>QUESO PARMESANO</v>
      </c>
    </row>
    <row r="1029" spans="2:8" ht="15.5" hidden="1" x14ac:dyDescent="0.35">
      <c r="B1029" s="75" t="s">
        <v>135</v>
      </c>
      <c r="C1029" s="75" t="s">
        <v>123</v>
      </c>
      <c r="D1029" s="73" t="s">
        <v>236</v>
      </c>
      <c r="E1029" s="74">
        <v>1.2500000000000001E-2</v>
      </c>
      <c r="F1029" s="78" t="s">
        <v>237</v>
      </c>
      <c r="G1029" s="77" t="s">
        <v>220</v>
      </c>
      <c r="H1029" t="str">
        <f>VLOOKUP(D1029,'DETALLE PRECIO INGREDIENTES'!B:B,1,0)</f>
        <v>ACEITUNAS MORADAS</v>
      </c>
    </row>
    <row r="1030" spans="2:8" ht="15.5" hidden="1" x14ac:dyDescent="0.35">
      <c r="B1030" s="75" t="s">
        <v>135</v>
      </c>
      <c r="C1030" s="75" t="s">
        <v>123</v>
      </c>
      <c r="D1030" s="73" t="s">
        <v>729</v>
      </c>
      <c r="E1030" s="74">
        <v>0.5</v>
      </c>
      <c r="F1030" s="78" t="s">
        <v>259</v>
      </c>
      <c r="G1030" s="77" t="s">
        <v>728</v>
      </c>
      <c r="H1030" t="str">
        <f>VLOOKUP(D1030,'DETALLE PRECIO INGREDIENTES'!B:B,1,0)</f>
        <v>HUEVO EXTRA BLANCO</v>
      </c>
    </row>
    <row r="1031" spans="2:8" ht="15.5" hidden="1" x14ac:dyDescent="0.35">
      <c r="B1031" s="75" t="s">
        <v>135</v>
      </c>
      <c r="C1031" s="75" t="s">
        <v>123</v>
      </c>
      <c r="D1031" s="73" t="s">
        <v>837</v>
      </c>
      <c r="E1031" s="74">
        <v>8.7499999999999994E-2</v>
      </c>
      <c r="F1031" s="78" t="s">
        <v>237</v>
      </c>
      <c r="G1031" s="77" t="s">
        <v>806</v>
      </c>
      <c r="H1031" t="str">
        <f>VLOOKUP(D1031,'DETALLE PRECIO INGREDIENTES'!B:B,1,0)</f>
        <v>REINETA FILETE FRESCA</v>
      </c>
    </row>
    <row r="1032" spans="2:8" ht="15.5" hidden="1" x14ac:dyDescent="0.35">
      <c r="B1032" s="75" t="s">
        <v>135</v>
      </c>
      <c r="C1032" s="75" t="s">
        <v>123</v>
      </c>
      <c r="D1032" s="73" t="s">
        <v>938</v>
      </c>
      <c r="E1032" s="74">
        <v>0.15</v>
      </c>
      <c r="F1032" s="78" t="s">
        <v>237</v>
      </c>
      <c r="G1032" s="77" t="s">
        <v>621</v>
      </c>
      <c r="H1032" t="str">
        <f>VLOOKUP(D1032,'DETALLE PRECIO INGREDIENTES'!B:B,1,0)</f>
        <v>CEBOLLA MORADA</v>
      </c>
    </row>
    <row r="1033" spans="2:8" ht="15.5" hidden="1" x14ac:dyDescent="0.35">
      <c r="B1033" s="75" t="s">
        <v>135</v>
      </c>
      <c r="C1033" s="75" t="s">
        <v>123</v>
      </c>
      <c r="D1033" s="73" t="s">
        <v>927</v>
      </c>
      <c r="E1033" s="74">
        <v>0.03</v>
      </c>
      <c r="F1033" s="78" t="s">
        <v>237</v>
      </c>
      <c r="G1033" s="77" t="s">
        <v>621</v>
      </c>
      <c r="H1033" t="str">
        <f>VLOOKUP(D1033,'DETALLE PRECIO INGREDIENTES'!B:B,1,0)</f>
        <v>CILANTRO</v>
      </c>
    </row>
    <row r="1034" spans="2:8" ht="15.5" hidden="1" x14ac:dyDescent="0.35">
      <c r="B1034" s="75" t="s">
        <v>135</v>
      </c>
      <c r="C1034" s="75" t="s">
        <v>123</v>
      </c>
      <c r="D1034" s="73" t="s">
        <v>626</v>
      </c>
      <c r="E1034" s="74">
        <v>0.02</v>
      </c>
      <c r="F1034" s="78" t="s">
        <v>259</v>
      </c>
      <c r="G1034" s="77" t="s">
        <v>621</v>
      </c>
      <c r="H1034" t="str">
        <f>VLOOKUP(D1034,'DETALLE PRECIO INGREDIENTES'!B:B,1,0)</f>
        <v>AJI ROCOTO</v>
      </c>
    </row>
    <row r="1035" spans="2:8" ht="15.5" hidden="1" x14ac:dyDescent="0.35">
      <c r="B1035" s="75" t="s">
        <v>135</v>
      </c>
      <c r="C1035" s="75" t="s">
        <v>123</v>
      </c>
      <c r="D1035" s="73" t="s">
        <v>924</v>
      </c>
      <c r="E1035" s="74">
        <v>5.0000000000000001E-3</v>
      </c>
      <c r="F1035" s="78" t="s">
        <v>237</v>
      </c>
      <c r="G1035" s="77" t="s">
        <v>621</v>
      </c>
      <c r="H1035" t="str">
        <f>VLOOKUP(D1035,'DETALLE PRECIO INGREDIENTES'!B:B,1,0)</f>
        <v>JENGIBRE</v>
      </c>
    </row>
    <row r="1036" spans="2:8" ht="15.5" hidden="1" x14ac:dyDescent="0.35">
      <c r="B1036" s="75" t="s">
        <v>135</v>
      </c>
      <c r="C1036" s="75" t="s">
        <v>123</v>
      </c>
      <c r="D1036" s="73" t="s">
        <v>945</v>
      </c>
      <c r="E1036" s="74">
        <v>5.0000000000000001E-4</v>
      </c>
      <c r="F1036" s="78" t="s">
        <v>237</v>
      </c>
      <c r="G1036" s="77" t="s">
        <v>220</v>
      </c>
      <c r="H1036" t="str">
        <f>VLOOKUP(D1036,'DETALLE PRECIO INGREDIENTES'!B:B,1,0)</f>
        <v>AJINOMOTO</v>
      </c>
    </row>
    <row r="1037" spans="2:8" ht="15.5" x14ac:dyDescent="0.35">
      <c r="B1037" s="75" t="s">
        <v>135</v>
      </c>
      <c r="C1037" s="75" t="s">
        <v>123</v>
      </c>
      <c r="D1037" s="73" t="s">
        <v>903</v>
      </c>
      <c r="E1037" s="74">
        <v>2.5000000000000001E-2</v>
      </c>
      <c r="F1037" s="78" t="s">
        <v>259</v>
      </c>
      <c r="G1037" s="77" t="s">
        <v>621</v>
      </c>
      <c r="H1037" t="e">
        <f>VLOOKUP(D1037,'DETALLE PRECIO INGREDIENTES'!B:B,1,0)</f>
        <v>#N/A</v>
      </c>
    </row>
    <row r="1038" spans="2:8" ht="15.5" hidden="1" x14ac:dyDescent="0.35">
      <c r="B1038" s="75" t="s">
        <v>135</v>
      </c>
      <c r="C1038" s="75" t="s">
        <v>123</v>
      </c>
      <c r="D1038" s="73" t="s">
        <v>692</v>
      </c>
      <c r="E1038" s="74">
        <v>0.05</v>
      </c>
      <c r="F1038" s="78" t="s">
        <v>237</v>
      </c>
      <c r="G1038" s="77" t="s">
        <v>621</v>
      </c>
      <c r="H1038" t="str">
        <f>VLOOKUP(D1038,'DETALLE PRECIO INGREDIENTES'!B:B,1,0)</f>
        <v>PAPA CAMOTE</v>
      </c>
    </row>
    <row r="1039" spans="2:8" ht="15.5" hidden="1" x14ac:dyDescent="0.35">
      <c r="B1039" s="75" t="s">
        <v>135</v>
      </c>
      <c r="C1039" s="75" t="s">
        <v>123</v>
      </c>
      <c r="D1039" s="73" t="s">
        <v>690</v>
      </c>
      <c r="E1039" s="74">
        <v>7.4999999999999997E-2</v>
      </c>
      <c r="F1039" s="78" t="s">
        <v>237</v>
      </c>
      <c r="G1039" s="77" t="s">
        <v>621</v>
      </c>
      <c r="H1039" t="str">
        <f>VLOOKUP(D1039,'DETALLE PRECIO INGREDIENTES'!B:B,1,0)</f>
        <v>NARANJA DE JUGO</v>
      </c>
    </row>
    <row r="1040" spans="2:8" ht="15.5" hidden="1" x14ac:dyDescent="0.35">
      <c r="B1040" s="75" t="s">
        <v>135</v>
      </c>
      <c r="C1040" s="75" t="s">
        <v>123</v>
      </c>
      <c r="D1040" s="73" t="s">
        <v>376</v>
      </c>
      <c r="E1040" s="74">
        <v>1.2500000000000001E-2</v>
      </c>
      <c r="F1040" s="78" t="s">
        <v>237</v>
      </c>
      <c r="G1040" s="77" t="s">
        <v>220</v>
      </c>
      <c r="H1040" t="str">
        <f>VLOOKUP(D1040,'DETALLE PRECIO INGREDIENTES'!B:B,1,0)</f>
        <v>MAIZ CANCHA</v>
      </c>
    </row>
    <row r="1041" spans="2:8" ht="15.5" hidden="1" x14ac:dyDescent="0.35">
      <c r="B1041" s="75" t="s">
        <v>135</v>
      </c>
      <c r="C1041" s="75" t="s">
        <v>123</v>
      </c>
      <c r="D1041" s="73" t="s">
        <v>655</v>
      </c>
      <c r="E1041" s="74">
        <v>1.2500000000000001E-2</v>
      </c>
      <c r="F1041" s="78" t="s">
        <v>237</v>
      </c>
      <c r="G1041" s="77" t="s">
        <v>621</v>
      </c>
      <c r="H1041" t="str">
        <f>VLOOKUP(D1041,'DETALLE PRECIO INGREDIENTES'!B:B,1,0)</f>
        <v>CHOCLO PERUANO</v>
      </c>
    </row>
    <row r="1042" spans="2:8" ht="15.5" hidden="1" x14ac:dyDescent="0.35">
      <c r="B1042" s="75" t="s">
        <v>135</v>
      </c>
      <c r="C1042" s="75" t="s">
        <v>123</v>
      </c>
      <c r="D1042" s="73" t="s">
        <v>866</v>
      </c>
      <c r="E1042" s="74">
        <v>0.2</v>
      </c>
      <c r="F1042" s="78" t="s">
        <v>237</v>
      </c>
      <c r="G1042" s="77" t="s">
        <v>852</v>
      </c>
      <c r="H1042" t="str">
        <f>VLOOKUP(D1042,'DETALLE PRECIO INGREDIENTES'!B:B,1,0)</f>
        <v>VACUNO LOMO LISO</v>
      </c>
    </row>
    <row r="1043" spans="2:8" ht="15.5" hidden="1" x14ac:dyDescent="0.35">
      <c r="B1043" s="75" t="s">
        <v>135</v>
      </c>
      <c r="C1043" s="75" t="s">
        <v>123</v>
      </c>
      <c r="D1043" s="73" t="s">
        <v>946</v>
      </c>
      <c r="E1043" s="74">
        <v>0.2</v>
      </c>
      <c r="F1043" s="78" t="s">
        <v>222</v>
      </c>
      <c r="G1043" s="77" t="s">
        <v>220</v>
      </c>
      <c r="H1043" t="str">
        <f>VLOOKUP(D1043,'DETALLE PRECIO INGREDIENTES'!B:B,1,0)</f>
        <v>ACEITE PARA FREIR</v>
      </c>
    </row>
    <row r="1044" spans="2:8" ht="15.5" hidden="1" x14ac:dyDescent="0.35">
      <c r="B1044" s="75" t="s">
        <v>135</v>
      </c>
      <c r="C1044" s="75" t="s">
        <v>123</v>
      </c>
      <c r="D1044" s="73" t="s">
        <v>623</v>
      </c>
      <c r="E1044" s="74">
        <v>2.5000000000000001E-2</v>
      </c>
      <c r="F1044" s="78" t="s">
        <v>237</v>
      </c>
      <c r="G1044" s="77" t="s">
        <v>621</v>
      </c>
      <c r="H1044" t="str">
        <f>VLOOKUP(D1044,'DETALLE PRECIO INGREDIENTES'!B:B,1,0)</f>
        <v>aji amarillo</v>
      </c>
    </row>
    <row r="1045" spans="2:8" ht="15.5" hidden="1" x14ac:dyDescent="0.35">
      <c r="B1045" s="75" t="s">
        <v>135</v>
      </c>
      <c r="C1045" s="75" t="s">
        <v>123</v>
      </c>
      <c r="D1045" s="73" t="s">
        <v>947</v>
      </c>
      <c r="E1045" s="74">
        <v>2.5000000000000001E-3</v>
      </c>
      <c r="F1045" s="78" t="s">
        <v>222</v>
      </c>
      <c r="G1045" s="77" t="s">
        <v>220</v>
      </c>
      <c r="H1045" t="str">
        <f>VLOOKUP(D1045,'DETALLE PRECIO INGREDIENTES'!B:B,1,0)</f>
        <v>VINAGRE BLANCO</v>
      </c>
    </row>
    <row r="1046" spans="2:8" ht="15.5" hidden="1" x14ac:dyDescent="0.35">
      <c r="B1046" s="75" t="s">
        <v>135</v>
      </c>
      <c r="C1046" s="75" t="s">
        <v>123</v>
      </c>
      <c r="D1046" s="73" t="s">
        <v>923</v>
      </c>
      <c r="E1046" s="74">
        <v>5.0000000000000001E-3</v>
      </c>
      <c r="F1046" s="78" t="s">
        <v>222</v>
      </c>
      <c r="G1046" s="77" t="s">
        <v>220</v>
      </c>
      <c r="H1046" t="str">
        <f>VLOOKUP(D1046,'DETALLE PRECIO INGREDIENTES'!B:B,1,0)</f>
        <v>SALSA DE SOYA</v>
      </c>
    </row>
    <row r="1047" spans="2:8" ht="15.5" hidden="1" x14ac:dyDescent="0.35">
      <c r="B1047" s="75" t="s">
        <v>135</v>
      </c>
      <c r="C1047" s="75" t="s">
        <v>123</v>
      </c>
      <c r="D1047" s="73" t="s">
        <v>447</v>
      </c>
      <c r="E1047" s="74">
        <v>5.0000000000000001E-3</v>
      </c>
      <c r="F1047" s="78" t="s">
        <v>222</v>
      </c>
      <c r="G1047" s="77" t="s">
        <v>220</v>
      </c>
      <c r="H1047" t="str">
        <f>VLOOKUP(D1047,'DETALLE PRECIO INGREDIENTES'!B:B,1,0)</f>
        <v>SALSA DE OSTRA</v>
      </c>
    </row>
    <row r="1048" spans="2:8" ht="15.5" hidden="1" x14ac:dyDescent="0.35">
      <c r="B1048" s="75" t="s">
        <v>135</v>
      </c>
      <c r="C1048" s="75" t="s">
        <v>123</v>
      </c>
      <c r="D1048" s="73" t="s">
        <v>919</v>
      </c>
      <c r="E1048" s="74">
        <v>0.125</v>
      </c>
      <c r="F1048" s="78" t="s">
        <v>259</v>
      </c>
      <c r="G1048" s="77" t="s">
        <v>621</v>
      </c>
      <c r="H1048" t="str">
        <f>VLOOKUP(D1048,'DETALLE PRECIO INGREDIENTES'!B:B,1,0)</f>
        <v>CEBOLLIN</v>
      </c>
    </row>
    <row r="1049" spans="2:8" ht="15.5" hidden="1" x14ac:dyDescent="0.35">
      <c r="B1049" s="75" t="s">
        <v>135</v>
      </c>
      <c r="C1049" s="75" t="s">
        <v>123</v>
      </c>
      <c r="D1049" s="73" t="s">
        <v>266</v>
      </c>
      <c r="E1049" s="74">
        <v>0.05</v>
      </c>
      <c r="F1049" s="78" t="s">
        <v>237</v>
      </c>
      <c r="G1049" s="77" t="s">
        <v>220</v>
      </c>
      <c r="H1049" t="str">
        <f>VLOOKUP(D1049,'DETALLE PRECIO INGREDIENTES'!B:B,1,0)</f>
        <v>ARROZ GRANO CORTO GRADO 1</v>
      </c>
    </row>
    <row r="1050" spans="2:8" ht="15.5" hidden="1" x14ac:dyDescent="0.35">
      <c r="B1050" s="75" t="s">
        <v>135</v>
      </c>
      <c r="C1050" s="75" t="s">
        <v>123</v>
      </c>
      <c r="D1050" s="73" t="s">
        <v>411</v>
      </c>
      <c r="E1050" s="74">
        <v>0.1</v>
      </c>
      <c r="F1050" s="78" t="s">
        <v>237</v>
      </c>
      <c r="G1050" s="77" t="s">
        <v>621</v>
      </c>
      <c r="H1050" t="str">
        <f>VLOOKUP(D1050,'DETALLE PRECIO INGREDIENTES'!B:B,1,0)</f>
        <v>PAPAS</v>
      </c>
    </row>
    <row r="1051" spans="2:8" ht="15.5" hidden="1" x14ac:dyDescent="0.35">
      <c r="B1051" s="75" t="s">
        <v>135</v>
      </c>
      <c r="C1051" s="75" t="s">
        <v>122</v>
      </c>
      <c r="D1051" s="73" t="s">
        <v>936</v>
      </c>
      <c r="E1051" s="74">
        <v>0.05</v>
      </c>
      <c r="F1051" s="78" t="s">
        <v>222</v>
      </c>
      <c r="G1051" s="77" t="s">
        <v>220</v>
      </c>
      <c r="H1051" t="str">
        <f>VLOOKUP(D1051,'DETALLE PRECIO INGREDIENTES'!B:B,1,0)</f>
        <v>ACEITE VEGETAL</v>
      </c>
    </row>
    <row r="1052" spans="2:8" ht="15.5" hidden="1" x14ac:dyDescent="0.35">
      <c r="B1052" s="75" t="s">
        <v>135</v>
      </c>
      <c r="C1052" s="75" t="s">
        <v>122</v>
      </c>
      <c r="D1052" s="73" t="s">
        <v>716</v>
      </c>
      <c r="E1052" s="74">
        <v>0.1</v>
      </c>
      <c r="F1052" s="78" t="s">
        <v>237</v>
      </c>
      <c r="G1052" s="77" t="s">
        <v>621</v>
      </c>
      <c r="H1052" t="str">
        <f>VLOOKUP(D1052,'DETALLE PRECIO INGREDIENTES'!B:B,1,0)</f>
        <v>TOMATE LARGA VIDA</v>
      </c>
    </row>
    <row r="1053" spans="2:8" ht="15.5" hidden="1" x14ac:dyDescent="0.35">
      <c r="B1053" s="75" t="s">
        <v>135</v>
      </c>
      <c r="C1053" s="75" t="s">
        <v>122</v>
      </c>
      <c r="D1053" s="73" t="s">
        <v>628</v>
      </c>
      <c r="E1053" s="74">
        <v>0.01</v>
      </c>
      <c r="F1053" s="78" t="s">
        <v>259</v>
      </c>
      <c r="G1053" s="77" t="s">
        <v>621</v>
      </c>
      <c r="H1053" t="str">
        <f>VLOOKUP(D1053,'DETALLE PRECIO INGREDIENTES'!B:B,1,0)</f>
        <v>AJO CABEZA</v>
      </c>
    </row>
    <row r="1054" spans="2:8" ht="15.5" hidden="1" x14ac:dyDescent="0.35">
      <c r="B1054" s="75" t="s">
        <v>135</v>
      </c>
      <c r="C1054" s="75" t="s">
        <v>122</v>
      </c>
      <c r="D1054" s="73" t="s">
        <v>938</v>
      </c>
      <c r="E1054" s="74">
        <v>0.08</v>
      </c>
      <c r="F1054" s="78" t="s">
        <v>237</v>
      </c>
      <c r="G1054" s="77" t="s">
        <v>621</v>
      </c>
      <c r="H1054" t="str">
        <f>VLOOKUP(D1054,'DETALLE PRECIO INGREDIENTES'!B:B,1,0)</f>
        <v>CEBOLLA MORADA</v>
      </c>
    </row>
    <row r="1055" spans="2:8" ht="15.5" hidden="1" x14ac:dyDescent="0.35">
      <c r="B1055" s="75" t="s">
        <v>135</v>
      </c>
      <c r="C1055" s="75" t="s">
        <v>122</v>
      </c>
      <c r="D1055" s="73" t="s">
        <v>866</v>
      </c>
      <c r="E1055" s="74">
        <v>0.1</v>
      </c>
      <c r="F1055" s="78" t="s">
        <v>237</v>
      </c>
      <c r="G1055" s="77" t="s">
        <v>852</v>
      </c>
      <c r="H1055" t="str">
        <f>VLOOKUP(D1055,'DETALLE PRECIO INGREDIENTES'!B:B,1,0)</f>
        <v>VACUNO LOMO LISO</v>
      </c>
    </row>
    <row r="1056" spans="2:8" ht="15.5" hidden="1" x14ac:dyDescent="0.35">
      <c r="B1056" s="75" t="s">
        <v>135</v>
      </c>
      <c r="C1056" s="75" t="s">
        <v>122</v>
      </c>
      <c r="D1056" s="73" t="s">
        <v>946</v>
      </c>
      <c r="E1056" s="74">
        <v>0.2</v>
      </c>
      <c r="F1056" s="78" t="s">
        <v>222</v>
      </c>
      <c r="G1056" s="77" t="s">
        <v>220</v>
      </c>
      <c r="H1056" t="str">
        <f>VLOOKUP(D1056,'DETALLE PRECIO INGREDIENTES'!B:B,1,0)</f>
        <v>ACEITE PARA FREIR</v>
      </c>
    </row>
    <row r="1057" spans="2:8" ht="15.5" hidden="1" x14ac:dyDescent="0.35">
      <c r="B1057" s="75" t="s">
        <v>135</v>
      </c>
      <c r="C1057" s="75" t="s">
        <v>122</v>
      </c>
      <c r="D1057" s="73" t="s">
        <v>921</v>
      </c>
      <c r="E1057" s="74">
        <v>0.2</v>
      </c>
      <c r="F1057" s="78" t="s">
        <v>237</v>
      </c>
      <c r="G1057" s="77" t="s">
        <v>621</v>
      </c>
      <c r="H1057" t="str">
        <f>VLOOKUP(D1057,'DETALLE PRECIO INGREDIENTES'!B:B,1,0)</f>
        <v>PAPAS</v>
      </c>
    </row>
    <row r="1058" spans="2:8" ht="15.5" hidden="1" x14ac:dyDescent="0.35">
      <c r="B1058" s="75" t="s">
        <v>135</v>
      </c>
      <c r="C1058" s="75" t="s">
        <v>122</v>
      </c>
      <c r="D1058" s="73" t="s">
        <v>947</v>
      </c>
      <c r="E1058" s="74">
        <v>0.01</v>
      </c>
      <c r="F1058" s="78" t="s">
        <v>222</v>
      </c>
      <c r="G1058" s="77" t="s">
        <v>220</v>
      </c>
      <c r="H1058" t="str">
        <f>VLOOKUP(D1058,'DETALLE PRECIO INGREDIENTES'!B:B,1,0)</f>
        <v>VINAGRE BLANCO</v>
      </c>
    </row>
    <row r="1059" spans="2:8" ht="15.5" hidden="1" x14ac:dyDescent="0.35">
      <c r="B1059" s="75" t="s">
        <v>135</v>
      </c>
      <c r="C1059" s="75" t="s">
        <v>122</v>
      </c>
      <c r="D1059" s="73" t="s">
        <v>923</v>
      </c>
      <c r="E1059" s="74">
        <v>0.01</v>
      </c>
      <c r="F1059" s="78" t="s">
        <v>222</v>
      </c>
      <c r="G1059" s="77" t="s">
        <v>220</v>
      </c>
      <c r="H1059" t="str">
        <f>VLOOKUP(D1059,'DETALLE PRECIO INGREDIENTES'!B:B,1,0)</f>
        <v>SALSA DE SOYA</v>
      </c>
    </row>
    <row r="1060" spans="2:8" ht="15.5" hidden="1" x14ac:dyDescent="0.35">
      <c r="B1060" s="75" t="s">
        <v>135</v>
      </c>
      <c r="C1060" s="75" t="s">
        <v>122</v>
      </c>
      <c r="D1060" s="73" t="s">
        <v>447</v>
      </c>
      <c r="E1060" s="74">
        <v>0.01</v>
      </c>
      <c r="F1060" s="78" t="s">
        <v>222</v>
      </c>
      <c r="G1060" s="77" t="s">
        <v>220</v>
      </c>
      <c r="H1060" t="str">
        <f>VLOOKUP(D1060,'DETALLE PRECIO INGREDIENTES'!B:B,1,0)</f>
        <v>SALSA DE OSTRA</v>
      </c>
    </row>
    <row r="1061" spans="2:8" ht="15.5" hidden="1" x14ac:dyDescent="0.35">
      <c r="B1061" s="75" t="s">
        <v>135</v>
      </c>
      <c r="C1061" s="75" t="s">
        <v>122</v>
      </c>
      <c r="D1061" s="73" t="s">
        <v>919</v>
      </c>
      <c r="E1061" s="74">
        <v>0.1</v>
      </c>
      <c r="F1061" s="78" t="s">
        <v>259</v>
      </c>
      <c r="G1061" s="77" t="s">
        <v>621</v>
      </c>
      <c r="H1061" t="str">
        <f>VLOOKUP(D1061,'DETALLE PRECIO INGREDIENTES'!B:B,1,0)</f>
        <v>CEBOLLIN</v>
      </c>
    </row>
    <row r="1062" spans="2:8" ht="15.5" hidden="1" x14ac:dyDescent="0.35">
      <c r="B1062" s="75" t="s">
        <v>135</v>
      </c>
      <c r="C1062" s="75" t="s">
        <v>122</v>
      </c>
      <c r="D1062" s="73" t="s">
        <v>268</v>
      </c>
      <c r="E1062" s="74">
        <v>0.1</v>
      </c>
      <c r="F1062" s="78" t="s">
        <v>237</v>
      </c>
      <c r="G1062" s="77" t="s">
        <v>220</v>
      </c>
      <c r="H1062" t="str">
        <f>VLOOKUP(D1062,'DETALLE PRECIO INGREDIENTES'!B:B,1,0)</f>
        <v>ARROZ GRANO LARGO GRADO 1</v>
      </c>
    </row>
    <row r="1063" spans="2:8" ht="15.5" hidden="1" x14ac:dyDescent="0.35">
      <c r="B1063" s="75" t="s">
        <v>135</v>
      </c>
      <c r="C1063" s="75" t="s">
        <v>122</v>
      </c>
      <c r="D1063" s="73" t="s">
        <v>623</v>
      </c>
      <c r="E1063" s="74">
        <v>0.01</v>
      </c>
      <c r="F1063" s="78" t="s">
        <v>237</v>
      </c>
      <c r="G1063" s="77" t="s">
        <v>621</v>
      </c>
      <c r="H1063" t="str">
        <f>VLOOKUP(D1063,'DETALLE PRECIO INGREDIENTES'!B:B,1,0)</f>
        <v>aji amarillo</v>
      </c>
    </row>
    <row r="1064" spans="2:8" ht="15.5" hidden="1" x14ac:dyDescent="0.35">
      <c r="B1064" s="75" t="s">
        <v>135</v>
      </c>
      <c r="C1064" s="75" t="s">
        <v>122</v>
      </c>
      <c r="D1064" s="73" t="s">
        <v>303</v>
      </c>
      <c r="E1064" s="74">
        <v>1E-3</v>
      </c>
      <c r="F1064" s="78" t="s">
        <v>237</v>
      </c>
      <c r="G1064" s="77" t="s">
        <v>220</v>
      </c>
      <c r="H1064" t="str">
        <f>VLOOKUP(D1064,'DETALLE PRECIO INGREDIENTES'!B:B,1,0)</f>
        <v>CLAVO DE OLOR MOLIDO</v>
      </c>
    </row>
    <row r="1065" spans="2:8" ht="15.5" hidden="1" x14ac:dyDescent="0.35">
      <c r="B1065" s="75" t="s">
        <v>135</v>
      </c>
      <c r="C1065" s="75" t="s">
        <v>122</v>
      </c>
      <c r="D1065" s="73" t="s">
        <v>354</v>
      </c>
      <c r="E1065" s="74">
        <v>7.0000000000000007E-2</v>
      </c>
      <c r="F1065" s="78" t="s">
        <v>237</v>
      </c>
      <c r="G1065" s="77" t="s">
        <v>220</v>
      </c>
      <c r="H1065" t="str">
        <f>VLOOKUP(D1065,'DETALLE PRECIO INGREDIENTES'!B:B,1,0)</f>
        <v>HARINA BIZCOCHERA</v>
      </c>
    </row>
    <row r="1066" spans="2:8" ht="15.5" hidden="1" x14ac:dyDescent="0.35">
      <c r="B1066" s="75" t="s">
        <v>135</v>
      </c>
      <c r="C1066" s="75" t="s">
        <v>122</v>
      </c>
      <c r="D1066" s="73" t="s">
        <v>729</v>
      </c>
      <c r="E1066" s="74">
        <v>1</v>
      </c>
      <c r="F1066" s="78" t="s">
        <v>259</v>
      </c>
      <c r="G1066" s="77" t="s">
        <v>728</v>
      </c>
      <c r="H1066" t="str">
        <f>VLOOKUP(D1066,'DETALLE PRECIO INGREDIENTES'!B:B,1,0)</f>
        <v>HUEVO EXTRA BLANCO</v>
      </c>
    </row>
    <row r="1067" spans="2:8" ht="15.5" hidden="1" x14ac:dyDescent="0.35">
      <c r="B1067" s="75" t="s">
        <v>135</v>
      </c>
      <c r="C1067" s="75" t="s">
        <v>122</v>
      </c>
      <c r="D1067" s="73" t="s">
        <v>405</v>
      </c>
      <c r="E1067" s="74">
        <v>0.01</v>
      </c>
      <c r="F1067" s="78" t="s">
        <v>237</v>
      </c>
      <c r="G1067" s="77" t="s">
        <v>220</v>
      </c>
      <c r="H1067" t="str">
        <f>VLOOKUP(D1067,'DETALLE PRECIO INGREDIENTES'!B:B,1,0)</f>
        <v>NUEZ MOSCADA MOLIDA</v>
      </c>
    </row>
    <row r="1068" spans="2:8" ht="15.5" hidden="1" x14ac:dyDescent="0.35">
      <c r="B1068" s="75" t="s">
        <v>135</v>
      </c>
      <c r="C1068" s="75" t="s">
        <v>122</v>
      </c>
      <c r="D1068" s="73" t="s">
        <v>948</v>
      </c>
      <c r="E1068" s="74">
        <v>7.0000000000000007E-2</v>
      </c>
      <c r="F1068" s="78" t="s">
        <v>237</v>
      </c>
      <c r="G1068" s="77" t="s">
        <v>220</v>
      </c>
      <c r="H1068" t="str">
        <f>VLOOKUP(D1068,'DETALLE PRECIO INGREDIENTES'!B:B,1,0)</f>
        <v>PAN RALLADO</v>
      </c>
    </row>
    <row r="1069" spans="2:8" ht="15.5" hidden="1" x14ac:dyDescent="0.35">
      <c r="B1069" s="75" t="s">
        <v>135</v>
      </c>
      <c r="C1069" s="75" t="s">
        <v>122</v>
      </c>
      <c r="D1069" s="73" t="s">
        <v>949</v>
      </c>
      <c r="E1069" s="74">
        <v>0.03</v>
      </c>
      <c r="F1069" s="78" t="s">
        <v>237</v>
      </c>
      <c r="G1069" s="77" t="s">
        <v>736</v>
      </c>
      <c r="H1069" t="str">
        <f>VLOOKUP(D1069,'DETALLE PRECIO INGREDIENTES'!B:B,1,0)</f>
        <v>QUESO MANTECOSO LAMINADO</v>
      </c>
    </row>
    <row r="1070" spans="2:8" ht="15.5" hidden="1" x14ac:dyDescent="0.35">
      <c r="B1070" s="75" t="s">
        <v>135</v>
      </c>
      <c r="C1070" s="75" t="s">
        <v>122</v>
      </c>
      <c r="D1070" s="73" t="s">
        <v>748</v>
      </c>
      <c r="E1070" s="74">
        <v>0.05</v>
      </c>
      <c r="F1070" s="78" t="s">
        <v>222</v>
      </c>
      <c r="G1070" s="77" t="s">
        <v>736</v>
      </c>
      <c r="H1070" t="str">
        <f>VLOOKUP(D1070,'DETALLE PRECIO INGREDIENTES'!B:B,1,0)</f>
        <v>LECHE ENTERA</v>
      </c>
    </row>
    <row r="1071" spans="2:8" ht="15.5" hidden="1" x14ac:dyDescent="0.35">
      <c r="B1071" s="75" t="s">
        <v>135</v>
      </c>
      <c r="C1071" s="75" t="s">
        <v>122</v>
      </c>
      <c r="D1071" s="73" t="s">
        <v>445</v>
      </c>
      <c r="E1071" s="74">
        <v>1E-3</v>
      </c>
      <c r="F1071" s="78" t="s">
        <v>237</v>
      </c>
      <c r="G1071" s="77" t="s">
        <v>220</v>
      </c>
      <c r="H1071" t="str">
        <f>VLOOKUP(D1071,'DETALLE PRECIO INGREDIENTES'!B:B,1,0)</f>
        <v>SAL DE MESA LOBOS</v>
      </c>
    </row>
    <row r="1072" spans="2:8" ht="15.5" hidden="1" x14ac:dyDescent="0.35">
      <c r="B1072" s="75" t="s">
        <v>135</v>
      </c>
      <c r="C1072" s="75" t="s">
        <v>122</v>
      </c>
      <c r="D1072" s="73" t="s">
        <v>428</v>
      </c>
      <c r="E1072" s="74">
        <v>2E-3</v>
      </c>
      <c r="F1072" s="78" t="s">
        <v>237</v>
      </c>
      <c r="G1072" s="77" t="s">
        <v>220</v>
      </c>
      <c r="H1072" t="str">
        <f>VLOOKUP(D1072,'DETALLE PRECIO INGREDIENTES'!B:B,1,0)</f>
        <v>PIMIENTA NEGRA MOLIDA</v>
      </c>
    </row>
    <row r="1073" spans="2:8" ht="15.5" hidden="1" x14ac:dyDescent="0.35">
      <c r="B1073" s="75" t="s">
        <v>135</v>
      </c>
      <c r="C1073" s="75" t="s">
        <v>121</v>
      </c>
      <c r="D1073" s="73" t="s">
        <v>911</v>
      </c>
      <c r="E1073" s="74">
        <v>5.0000000000000001E-4</v>
      </c>
      <c r="F1073" s="78" t="s">
        <v>237</v>
      </c>
      <c r="G1073" s="77" t="s">
        <v>220</v>
      </c>
      <c r="H1073" t="str">
        <f>VLOOKUP(D1073,'DETALLE PRECIO INGREDIENTES'!B:B,1,0)</f>
        <v>LAUREL</v>
      </c>
    </row>
    <row r="1074" spans="2:8" ht="15.5" hidden="1" x14ac:dyDescent="0.35">
      <c r="B1074" s="75" t="s">
        <v>135</v>
      </c>
      <c r="C1074" s="75" t="s">
        <v>121</v>
      </c>
      <c r="D1074" s="73" t="s">
        <v>523</v>
      </c>
      <c r="E1074" s="74">
        <v>0.1</v>
      </c>
      <c r="F1074" s="78" t="s">
        <v>986</v>
      </c>
      <c r="G1074" s="77" t="s">
        <v>523</v>
      </c>
      <c r="H1074" t="str">
        <f>VLOOKUP(D1074,'DETALLE PRECIO INGREDIENTES'!B:B,1,0)</f>
        <v>CABRITO</v>
      </c>
    </row>
    <row r="1075" spans="2:8" ht="15.5" hidden="1" x14ac:dyDescent="0.35">
      <c r="B1075" s="75" t="s">
        <v>135</v>
      </c>
      <c r="C1075" s="75" t="s">
        <v>121</v>
      </c>
      <c r="D1075" s="73" t="s">
        <v>234</v>
      </c>
      <c r="E1075" s="74">
        <v>1.4999999999999999E-2</v>
      </c>
      <c r="F1075" s="78" t="s">
        <v>222</v>
      </c>
      <c r="G1075" s="77" t="s">
        <v>220</v>
      </c>
      <c r="H1075" t="str">
        <f>VLOOKUP(D1075,'DETALLE PRECIO INGREDIENTES'!B:B,1,0)</f>
        <v>ACEITE SEMILLA DE GIRASOL</v>
      </c>
    </row>
    <row r="1076" spans="2:8" ht="15.5" hidden="1" x14ac:dyDescent="0.35">
      <c r="B1076" s="75" t="s">
        <v>135</v>
      </c>
      <c r="C1076" s="75" t="s">
        <v>121</v>
      </c>
      <c r="D1076" s="73" t="s">
        <v>750</v>
      </c>
      <c r="E1076" s="74">
        <v>4.4999999999999998E-2</v>
      </c>
      <c r="F1076" s="78" t="s">
        <v>237</v>
      </c>
      <c r="G1076" s="77" t="s">
        <v>736</v>
      </c>
      <c r="H1076" t="str">
        <f>VLOOKUP(D1076,'DETALLE PRECIO INGREDIENTES'!B:B,1,0)</f>
        <v>MANTEQUILLA CON SAL</v>
      </c>
    </row>
    <row r="1077" spans="2:8" ht="15.5" hidden="1" x14ac:dyDescent="0.35">
      <c r="B1077" s="75" t="s">
        <v>135</v>
      </c>
      <c r="C1077" s="75" t="s">
        <v>121</v>
      </c>
      <c r="D1077" s="73" t="s">
        <v>411</v>
      </c>
      <c r="E1077" s="74">
        <v>0.25</v>
      </c>
      <c r="F1077" s="78" t="s">
        <v>237</v>
      </c>
      <c r="G1077" s="77" t="s">
        <v>621</v>
      </c>
      <c r="H1077" t="str">
        <f>VLOOKUP(D1077,'DETALLE PRECIO INGREDIENTES'!B:B,1,0)</f>
        <v>PAPAS</v>
      </c>
    </row>
    <row r="1078" spans="2:8" ht="15.5" hidden="1" x14ac:dyDescent="0.35">
      <c r="B1078" s="75" t="s">
        <v>135</v>
      </c>
      <c r="C1078" s="75" t="s">
        <v>121</v>
      </c>
      <c r="D1078" s="73" t="s">
        <v>916</v>
      </c>
      <c r="E1078" s="74">
        <v>5.0000000000000001E-3</v>
      </c>
      <c r="F1078" s="78" t="s">
        <v>237</v>
      </c>
      <c r="G1078" s="77" t="s">
        <v>621</v>
      </c>
      <c r="H1078" t="str">
        <f>VLOOKUP(D1078,'DETALLE PRECIO INGREDIENTES'!B:B,1,0)</f>
        <v>TOMILLO FRESCO</v>
      </c>
    </row>
    <row r="1079" spans="2:8" ht="15.5" hidden="1" x14ac:dyDescent="0.35">
      <c r="B1079" s="75" t="s">
        <v>135</v>
      </c>
      <c r="C1079" s="75" t="s">
        <v>121</v>
      </c>
      <c r="D1079" s="73" t="s">
        <v>628</v>
      </c>
      <c r="E1079" s="74">
        <v>0.2</v>
      </c>
      <c r="F1079" s="78" t="s">
        <v>259</v>
      </c>
      <c r="G1079" s="77" t="s">
        <v>621</v>
      </c>
      <c r="H1079" t="str">
        <f>VLOOKUP(D1079,'DETALLE PRECIO INGREDIENTES'!B:B,1,0)</f>
        <v>AJO CABEZA</v>
      </c>
    </row>
    <row r="1080" spans="2:8" ht="15.5" hidden="1" x14ac:dyDescent="0.35">
      <c r="B1080" s="75" t="s">
        <v>135</v>
      </c>
      <c r="C1080" s="75" t="s">
        <v>121</v>
      </c>
      <c r="D1080" s="73" t="s">
        <v>919</v>
      </c>
      <c r="E1080" s="74">
        <v>0.25</v>
      </c>
      <c r="F1080" s="78" t="s">
        <v>259</v>
      </c>
      <c r="G1080" s="77" t="s">
        <v>621</v>
      </c>
      <c r="H1080" t="str">
        <f>VLOOKUP(D1080,'DETALLE PRECIO INGREDIENTES'!B:B,1,0)</f>
        <v>CEBOLLIN</v>
      </c>
    </row>
    <row r="1081" spans="2:8" ht="15.5" hidden="1" x14ac:dyDescent="0.35">
      <c r="B1081" s="75" t="s">
        <v>135</v>
      </c>
      <c r="C1081" s="75" t="s">
        <v>121</v>
      </c>
      <c r="D1081" s="73" t="s">
        <v>878</v>
      </c>
      <c r="E1081" s="74">
        <v>0.04</v>
      </c>
      <c r="F1081" s="78" t="s">
        <v>222</v>
      </c>
      <c r="G1081" s="77" t="s">
        <v>876</v>
      </c>
      <c r="H1081" t="str">
        <f>VLOOKUP(D1081,'DETALLE PRECIO INGREDIENTES'!B:B,1,0)</f>
        <v>VINO BLANCO TETRA PACK</v>
      </c>
    </row>
    <row r="1082" spans="2:8" ht="15.5" hidden="1" x14ac:dyDescent="0.35">
      <c r="B1082" s="75" t="s">
        <v>135</v>
      </c>
      <c r="C1082" s="75" t="s">
        <v>121</v>
      </c>
      <c r="D1082" s="73" t="s">
        <v>816</v>
      </c>
      <c r="E1082" s="74">
        <v>0.125</v>
      </c>
      <c r="F1082" s="78" t="s">
        <v>237</v>
      </c>
      <c r="G1082" s="77" t="s">
        <v>806</v>
      </c>
      <c r="H1082" t="str">
        <f>VLOOKUP(D1082,'DETALLE PRECIO INGREDIENTES'!B:B,1,0)</f>
        <v>CAMARON ECUATORIANO 36-40</v>
      </c>
    </row>
    <row r="1083" spans="2:8" ht="15.5" hidden="1" x14ac:dyDescent="0.35">
      <c r="B1083" s="75" t="s">
        <v>135</v>
      </c>
      <c r="C1083" s="75" t="s">
        <v>121</v>
      </c>
      <c r="D1083" s="73" t="s">
        <v>950</v>
      </c>
      <c r="E1083" s="74">
        <v>0.01</v>
      </c>
      <c r="F1083" s="78" t="s">
        <v>237</v>
      </c>
      <c r="G1083" s="77" t="s">
        <v>220</v>
      </c>
      <c r="H1083" t="str">
        <f>VLOOKUP(D1083,'DETALLE PRECIO INGREDIENTES'!B:B,1,0)</f>
        <v>OREGANO FRESCO</v>
      </c>
    </row>
    <row r="1084" spans="2:8" ht="15.5" hidden="1" x14ac:dyDescent="0.35">
      <c r="B1084" s="75" t="s">
        <v>135</v>
      </c>
      <c r="C1084" s="75" t="s">
        <v>121</v>
      </c>
      <c r="D1084" s="73" t="s">
        <v>927</v>
      </c>
      <c r="E1084" s="74">
        <v>0.03</v>
      </c>
      <c r="F1084" s="78" t="s">
        <v>237</v>
      </c>
      <c r="G1084" s="77" t="s">
        <v>621</v>
      </c>
      <c r="H1084" t="str">
        <f>VLOOKUP(D1084,'DETALLE PRECIO INGREDIENTES'!B:B,1,0)</f>
        <v>CILANTRO</v>
      </c>
    </row>
    <row r="1085" spans="2:8" ht="15.5" hidden="1" x14ac:dyDescent="0.35">
      <c r="B1085" s="75" t="s">
        <v>135</v>
      </c>
      <c r="C1085" s="75" t="s">
        <v>121</v>
      </c>
      <c r="D1085" s="73" t="s">
        <v>716</v>
      </c>
      <c r="E1085" s="74">
        <v>5.0000000000000001E-3</v>
      </c>
      <c r="F1085" s="78" t="s">
        <v>237</v>
      </c>
      <c r="G1085" s="77" t="s">
        <v>621</v>
      </c>
      <c r="H1085" t="str">
        <f>VLOOKUP(D1085,'DETALLE PRECIO INGREDIENTES'!B:B,1,0)</f>
        <v>TOMATE LARGA VIDA</v>
      </c>
    </row>
    <row r="1086" spans="2:8" ht="15.5" hidden="1" x14ac:dyDescent="0.35">
      <c r="B1086" s="75" t="s">
        <v>135</v>
      </c>
      <c r="C1086" s="75" t="s">
        <v>121</v>
      </c>
      <c r="D1086" s="73" t="s">
        <v>927</v>
      </c>
      <c r="E1086" s="74">
        <v>5.0000000000000001E-3</v>
      </c>
      <c r="F1086" s="78" t="s">
        <v>237</v>
      </c>
      <c r="G1086" s="77" t="s">
        <v>621</v>
      </c>
      <c r="H1086" t="str">
        <f>VLOOKUP(D1086,'DETALLE PRECIO INGREDIENTES'!B:B,1,0)</f>
        <v>CILANTRO</v>
      </c>
    </row>
    <row r="1087" spans="2:8" ht="15.5" hidden="1" x14ac:dyDescent="0.35">
      <c r="B1087" s="75" t="s">
        <v>135</v>
      </c>
      <c r="C1087" s="75" t="s">
        <v>121</v>
      </c>
      <c r="D1087" s="73" t="s">
        <v>698</v>
      </c>
      <c r="E1087" s="74">
        <v>0.01</v>
      </c>
      <c r="F1087" s="78" t="s">
        <v>237</v>
      </c>
      <c r="G1087" s="77" t="s">
        <v>621</v>
      </c>
      <c r="H1087" t="str">
        <f>VLOOKUP(D1087,'DETALLE PRECIO INGREDIENTES'!B:B,1,0)</f>
        <v>PEREJIL</v>
      </c>
    </row>
    <row r="1088" spans="2:8" ht="15.5" hidden="1" x14ac:dyDescent="0.35">
      <c r="B1088" s="75" t="s">
        <v>135</v>
      </c>
      <c r="C1088" s="75" t="s">
        <v>121</v>
      </c>
      <c r="D1088" s="73" t="s">
        <v>230</v>
      </c>
      <c r="E1088" s="74">
        <v>0.02</v>
      </c>
      <c r="F1088" s="78" t="s">
        <v>222</v>
      </c>
      <c r="G1088" s="77" t="s">
        <v>220</v>
      </c>
      <c r="H1088" t="str">
        <f>VLOOKUP(D1088,'DETALLE PRECIO INGREDIENTES'!B:B,1,0)</f>
        <v>ACEITE DE OLIVA</v>
      </c>
    </row>
    <row r="1089" spans="2:8" ht="15.5" hidden="1" x14ac:dyDescent="0.35">
      <c r="B1089" s="75" t="s">
        <v>135</v>
      </c>
      <c r="C1089" s="75" t="s">
        <v>121</v>
      </c>
      <c r="D1089" s="73" t="s">
        <v>354</v>
      </c>
      <c r="E1089" s="74">
        <v>0.04</v>
      </c>
      <c r="F1089" s="78" t="s">
        <v>237</v>
      </c>
      <c r="G1089" s="77" t="s">
        <v>220</v>
      </c>
      <c r="H1089" t="str">
        <f>VLOOKUP(D1089,'DETALLE PRECIO INGREDIENTES'!B:B,1,0)</f>
        <v>HARINA BIZCOCHERA</v>
      </c>
    </row>
    <row r="1090" spans="2:8" ht="15.5" hidden="1" x14ac:dyDescent="0.35">
      <c r="B1090" s="75" t="s">
        <v>135</v>
      </c>
      <c r="C1090" s="75" t="s">
        <v>120</v>
      </c>
      <c r="D1090" s="73" t="s">
        <v>873</v>
      </c>
      <c r="E1090" s="74">
        <v>0.2</v>
      </c>
      <c r="F1090" s="78" t="s">
        <v>237</v>
      </c>
      <c r="G1090" s="77" t="s">
        <v>852</v>
      </c>
      <c r="H1090" t="str">
        <f>VLOOKUP(D1090,'DETALLE PRECIO INGREDIENTES'!B:B,1,0)</f>
        <v>VACUNO POSTA ROSADA</v>
      </c>
    </row>
    <row r="1091" spans="2:8" ht="15.5" hidden="1" x14ac:dyDescent="0.35">
      <c r="B1091" s="75" t="s">
        <v>135</v>
      </c>
      <c r="C1091" s="75" t="s">
        <v>120</v>
      </c>
      <c r="D1091" s="73" t="s">
        <v>857</v>
      </c>
      <c r="E1091" s="74">
        <v>7.4999999999999997E-2</v>
      </c>
      <c r="F1091" s="78" t="s">
        <v>237</v>
      </c>
      <c r="G1091" s="77" t="s">
        <v>852</v>
      </c>
      <c r="H1091" t="str">
        <f>VLOOKUP(D1091,'DETALLE PRECIO INGREDIENTES'!B:B,1,0)</f>
        <v>VACUNO ASADO DE TIRA</v>
      </c>
    </row>
    <row r="1092" spans="2:8" ht="15.5" hidden="1" x14ac:dyDescent="0.35">
      <c r="B1092" s="75" t="s">
        <v>135</v>
      </c>
      <c r="C1092" s="75" t="s">
        <v>120</v>
      </c>
      <c r="D1092" s="73" t="s">
        <v>845</v>
      </c>
      <c r="E1092" s="74">
        <v>0.25</v>
      </c>
      <c r="F1092" s="78" t="s">
        <v>237</v>
      </c>
      <c r="G1092" s="77" t="s">
        <v>839</v>
      </c>
      <c r="H1092" t="str">
        <f>VLOOKUP(D1092,'DETALLE PRECIO INGREDIENTES'!B:B,1,0)</f>
        <v>POLLO TRUTRO CORTO</v>
      </c>
    </row>
    <row r="1093" spans="2:8" ht="15.5" hidden="1" x14ac:dyDescent="0.35">
      <c r="B1093" s="75" t="s">
        <v>135</v>
      </c>
      <c r="C1093" s="75" t="s">
        <v>120</v>
      </c>
      <c r="D1093" s="73" t="s">
        <v>644</v>
      </c>
      <c r="E1093" s="74">
        <v>0.3</v>
      </c>
      <c r="F1093" s="78" t="s">
        <v>237</v>
      </c>
      <c r="G1093" s="77" t="s">
        <v>621</v>
      </c>
      <c r="H1093" t="str">
        <f>VLOOKUP(D1093,'DETALLE PRECIO INGREDIENTES'!B:B,1,0)</f>
        <v>CEBOLLA BLANCA</v>
      </c>
    </row>
    <row r="1094" spans="2:8" ht="15.5" hidden="1" x14ac:dyDescent="0.35">
      <c r="B1094" s="75" t="s">
        <v>135</v>
      </c>
      <c r="C1094" s="75" t="s">
        <v>120</v>
      </c>
      <c r="D1094" s="73" t="s">
        <v>400</v>
      </c>
      <c r="E1094" s="74">
        <v>0.05</v>
      </c>
      <c r="F1094" s="78" t="s">
        <v>237</v>
      </c>
      <c r="G1094" s="77" t="s">
        <v>220</v>
      </c>
      <c r="H1094" t="str">
        <f>VLOOKUP(D1094,'DETALLE PRECIO INGREDIENTES'!B:B,1,0)</f>
        <v>MOTE DE MAIZ</v>
      </c>
    </row>
    <row r="1095" spans="2:8" ht="15.5" hidden="1" x14ac:dyDescent="0.35">
      <c r="B1095" s="75" t="s">
        <v>135</v>
      </c>
      <c r="C1095" s="75" t="s">
        <v>120</v>
      </c>
      <c r="D1095" s="73" t="s">
        <v>234</v>
      </c>
      <c r="E1095" s="74">
        <v>0.05</v>
      </c>
      <c r="F1095" s="78" t="s">
        <v>222</v>
      </c>
      <c r="G1095" s="77" t="s">
        <v>220</v>
      </c>
      <c r="H1095" t="str">
        <f>VLOOKUP(D1095,'DETALLE PRECIO INGREDIENTES'!B:B,1,0)</f>
        <v>ACEITE SEMILLA DE GIRASOL</v>
      </c>
    </row>
    <row r="1096" spans="2:8" ht="15.5" hidden="1" x14ac:dyDescent="0.35">
      <c r="B1096" s="75" t="s">
        <v>135</v>
      </c>
      <c r="C1096" s="75" t="s">
        <v>120</v>
      </c>
      <c r="D1096" s="73" t="s">
        <v>919</v>
      </c>
      <c r="E1096" s="74">
        <v>0.125</v>
      </c>
      <c r="F1096" s="78" t="s">
        <v>259</v>
      </c>
      <c r="G1096" s="77" t="s">
        <v>621</v>
      </c>
      <c r="H1096" t="str">
        <f>VLOOKUP(D1096,'DETALLE PRECIO INGREDIENTES'!B:B,1,0)</f>
        <v>CEBOLLIN</v>
      </c>
    </row>
    <row r="1097" spans="2:8" ht="15.5" hidden="1" x14ac:dyDescent="0.35">
      <c r="B1097" s="75" t="s">
        <v>135</v>
      </c>
      <c r="C1097" s="75" t="s">
        <v>120</v>
      </c>
      <c r="D1097" s="73" t="s">
        <v>628</v>
      </c>
      <c r="E1097" s="74">
        <v>0.20500000000000002</v>
      </c>
      <c r="F1097" s="78" t="s">
        <v>259</v>
      </c>
      <c r="G1097" s="77" t="s">
        <v>621</v>
      </c>
      <c r="H1097" t="str">
        <f>VLOOKUP(D1097,'DETALLE PRECIO INGREDIENTES'!B:B,1,0)</f>
        <v>AJO CABEZA</v>
      </c>
    </row>
    <row r="1098" spans="2:8" ht="15.5" hidden="1" x14ac:dyDescent="0.35">
      <c r="B1098" s="75" t="s">
        <v>135</v>
      </c>
      <c r="C1098" s="75" t="s">
        <v>120</v>
      </c>
      <c r="D1098" s="73" t="s">
        <v>918</v>
      </c>
      <c r="E1098" s="74">
        <v>0.125</v>
      </c>
      <c r="F1098" s="78" t="s">
        <v>259</v>
      </c>
      <c r="G1098" s="77" t="s">
        <v>621</v>
      </c>
      <c r="H1098" t="str">
        <f>VLOOKUP(D1098,'DETALLE PRECIO INGREDIENTES'!B:B,1,0)</f>
        <v>PIMIENTO ROJO</v>
      </c>
    </row>
    <row r="1099" spans="2:8" ht="15.5" hidden="1" x14ac:dyDescent="0.35">
      <c r="B1099" s="75" t="s">
        <v>135</v>
      </c>
      <c r="C1099" s="75" t="s">
        <v>120</v>
      </c>
      <c r="D1099" s="73" t="s">
        <v>927</v>
      </c>
      <c r="E1099" s="74">
        <v>0.1</v>
      </c>
      <c r="F1099" s="78" t="s">
        <v>237</v>
      </c>
      <c r="G1099" s="77" t="s">
        <v>621</v>
      </c>
      <c r="H1099" t="str">
        <f>VLOOKUP(D1099,'DETALLE PRECIO INGREDIENTES'!B:B,1,0)</f>
        <v>CILANTRO</v>
      </c>
    </row>
    <row r="1100" spans="2:8" ht="15.5" hidden="1" x14ac:dyDescent="0.35">
      <c r="B1100" s="75" t="s">
        <v>135</v>
      </c>
      <c r="C1100" s="75" t="s">
        <v>120</v>
      </c>
      <c r="D1100" s="73" t="s">
        <v>921</v>
      </c>
      <c r="E1100" s="74">
        <v>0.15</v>
      </c>
      <c r="F1100" s="78" t="s">
        <v>237</v>
      </c>
      <c r="G1100" s="77" t="s">
        <v>621</v>
      </c>
      <c r="H1100" t="str">
        <f>VLOOKUP(D1100,'DETALLE PRECIO INGREDIENTES'!B:B,1,0)</f>
        <v>PAPAS</v>
      </c>
    </row>
    <row r="1101" spans="2:8" ht="15.5" hidden="1" x14ac:dyDescent="0.35">
      <c r="B1101" s="75" t="s">
        <v>135</v>
      </c>
      <c r="C1101" s="75" t="s">
        <v>120</v>
      </c>
      <c r="D1101" s="73" t="s">
        <v>406</v>
      </c>
      <c r="E1101" s="74">
        <v>5.0000000000000001E-4</v>
      </c>
      <c r="F1101" s="78" t="s">
        <v>237</v>
      </c>
      <c r="G1101" s="77" t="s">
        <v>220</v>
      </c>
      <c r="H1101" t="str">
        <f>VLOOKUP(D1101,'DETALLE PRECIO INGREDIENTES'!B:B,1,0)</f>
        <v>OREGANO FRESCO</v>
      </c>
    </row>
    <row r="1102" spans="2:8" ht="15.5" hidden="1" x14ac:dyDescent="0.35">
      <c r="B1102" s="75" t="s">
        <v>135</v>
      </c>
      <c r="C1102" s="75" t="s">
        <v>120</v>
      </c>
      <c r="D1102" s="73" t="s">
        <v>445</v>
      </c>
      <c r="E1102" s="74">
        <v>7.5000000000000002E-4</v>
      </c>
      <c r="F1102" s="78" t="s">
        <v>237</v>
      </c>
      <c r="G1102" s="77" t="s">
        <v>220</v>
      </c>
      <c r="H1102" t="str">
        <f>VLOOKUP(D1102,'DETALLE PRECIO INGREDIENTES'!B:B,1,0)</f>
        <v>SAL DE MESA LOBOS</v>
      </c>
    </row>
    <row r="1103" spans="2:8" ht="15.5" hidden="1" x14ac:dyDescent="0.35">
      <c r="B1103" s="75" t="s">
        <v>135</v>
      </c>
      <c r="C1103" s="75" t="s">
        <v>120</v>
      </c>
      <c r="D1103" s="73" t="s">
        <v>910</v>
      </c>
      <c r="E1103" s="74">
        <v>0.1</v>
      </c>
      <c r="F1103" s="78" t="s">
        <v>237</v>
      </c>
      <c r="G1103" s="77" t="s">
        <v>621</v>
      </c>
      <c r="H1103" t="str">
        <f>VLOOKUP(D1103,'DETALLE PRECIO INGREDIENTES'!B:B,1,0)</f>
        <v>PEREJIL</v>
      </c>
    </row>
    <row r="1104" spans="2:8" ht="15.5" hidden="1" x14ac:dyDescent="0.35">
      <c r="B1104" s="75" t="s">
        <v>135</v>
      </c>
      <c r="C1104" s="75" t="s">
        <v>120</v>
      </c>
      <c r="D1104" s="73" t="s">
        <v>427</v>
      </c>
      <c r="E1104" s="74">
        <v>2.5000000000000001E-4</v>
      </c>
      <c r="F1104" s="78" t="s">
        <v>237</v>
      </c>
      <c r="G1104" s="77" t="s">
        <v>220</v>
      </c>
      <c r="H1104" t="str">
        <f>VLOOKUP(D1104,'DETALLE PRECIO INGREDIENTES'!B:B,1,0)</f>
        <v>PIMIENTA NEGRA ENTERA</v>
      </c>
    </row>
    <row r="1105" spans="2:8" ht="15.5" hidden="1" x14ac:dyDescent="0.35">
      <c r="B1105" s="75" t="s">
        <v>135</v>
      </c>
      <c r="C1105" s="75" t="s">
        <v>120</v>
      </c>
      <c r="D1105" s="73" t="s">
        <v>951</v>
      </c>
      <c r="E1105" s="74">
        <v>0.25</v>
      </c>
      <c r="F1105" s="78" t="s">
        <v>259</v>
      </c>
      <c r="G1105" s="77" t="s">
        <v>621</v>
      </c>
      <c r="H1105" t="str">
        <f>VLOOKUP(D1105,'DETALLE PRECIO INGREDIENTES'!B:B,1,0)</f>
        <v>AJI ROCOTO</v>
      </c>
    </row>
    <row r="1106" spans="2:8" ht="15.5" hidden="1" x14ac:dyDescent="0.35">
      <c r="B1106" s="75" t="s">
        <v>135</v>
      </c>
      <c r="C1106" s="75" t="s">
        <v>120</v>
      </c>
      <c r="D1106" s="73" t="s">
        <v>925</v>
      </c>
      <c r="E1106" s="74">
        <v>0.05</v>
      </c>
      <c r="F1106" s="78" t="s">
        <v>237</v>
      </c>
      <c r="G1106" s="77" t="s">
        <v>621</v>
      </c>
      <c r="H1106" t="str">
        <f>VLOOKUP(D1106,'DETALLE PRECIO INGREDIENTES'!B:B,1,0)</f>
        <v>ZANAHORIA</v>
      </c>
    </row>
    <row r="1107" spans="2:8" ht="15.5" hidden="1" x14ac:dyDescent="0.35">
      <c r="B1107" s="75" t="s">
        <v>135</v>
      </c>
      <c r="C1107" s="75" t="s">
        <v>120</v>
      </c>
      <c r="D1107" s="73" t="s">
        <v>508</v>
      </c>
      <c r="E1107" s="74">
        <v>5.0000000000000001E-4</v>
      </c>
      <c r="F1107" s="78" t="s">
        <v>237</v>
      </c>
      <c r="G1107" s="77" t="s">
        <v>485</v>
      </c>
      <c r="H1107" t="str">
        <f>VLOOKUP(D1107,'DETALLE PRECIO INGREDIENTES'!B:B,1,0)</f>
        <v>PALILLO AMARILLO PERUANO</v>
      </c>
    </row>
    <row r="1108" spans="2:8" ht="15.5" hidden="1" x14ac:dyDescent="0.35">
      <c r="B1108" s="75" t="s">
        <v>135</v>
      </c>
      <c r="C1108" s="75" t="s">
        <v>120</v>
      </c>
      <c r="D1108" s="73" t="s">
        <v>921</v>
      </c>
      <c r="E1108" s="74">
        <v>0.25</v>
      </c>
      <c r="F1108" s="78" t="s">
        <v>237</v>
      </c>
      <c r="G1108" s="77" t="s">
        <v>621</v>
      </c>
      <c r="H1108" t="str">
        <f>VLOOKUP(D1108,'DETALLE PRECIO INGREDIENTES'!B:B,1,0)</f>
        <v>PAPAS</v>
      </c>
    </row>
    <row r="1109" spans="2:8" ht="15.5" hidden="1" x14ac:dyDescent="0.35">
      <c r="B1109" s="75" t="s">
        <v>135</v>
      </c>
      <c r="C1109" s="75" t="s">
        <v>120</v>
      </c>
      <c r="D1109" s="73" t="s">
        <v>320</v>
      </c>
      <c r="E1109" s="74">
        <v>2.5000000000000001E-4</v>
      </c>
      <c r="F1109" s="78" t="s">
        <v>237</v>
      </c>
      <c r="G1109" s="77" t="s">
        <v>220</v>
      </c>
      <c r="H1109" t="str">
        <f>VLOOKUP(D1109,'DETALLE PRECIO INGREDIENTES'!B:B,1,0)</f>
        <v>CURCUMA EN POLVO</v>
      </c>
    </row>
    <row r="1110" spans="2:8" ht="15.5" hidden="1" x14ac:dyDescent="0.35">
      <c r="B1110" s="75" t="s">
        <v>135</v>
      </c>
      <c r="C1110" s="75" t="s">
        <v>120</v>
      </c>
      <c r="D1110" s="73" t="s">
        <v>840</v>
      </c>
      <c r="E1110" s="74">
        <v>0.125</v>
      </c>
      <c r="F1110" s="78" t="s">
        <v>237</v>
      </c>
      <c r="G1110" s="77" t="s">
        <v>839</v>
      </c>
      <c r="H1110" t="str">
        <f>VLOOKUP(D1110,'DETALLE PRECIO INGREDIENTES'!B:B,1,0)</f>
        <v>HUESOS DE POLLO</v>
      </c>
    </row>
    <row r="1111" spans="2:8" ht="15.5" hidden="1" x14ac:dyDescent="0.35">
      <c r="B1111" s="75" t="s">
        <v>135</v>
      </c>
      <c r="C1111" s="75" t="s">
        <v>120</v>
      </c>
      <c r="D1111" s="73" t="s">
        <v>539</v>
      </c>
      <c r="E1111" s="74">
        <v>0.125</v>
      </c>
      <c r="F1111" s="78" t="s">
        <v>237</v>
      </c>
      <c r="G1111" s="77" t="s">
        <v>525</v>
      </c>
      <c r="H1111" t="str">
        <f>VLOOKUP(D1111,'DETALLE PRECIO INGREDIENTES'!B:B,1,0)</f>
        <v>CERDO PULPA SIN HUESO</v>
      </c>
    </row>
    <row r="1112" spans="2:8" ht="15.5" hidden="1" x14ac:dyDescent="0.35">
      <c r="B1112" s="75" t="s">
        <v>135</v>
      </c>
      <c r="C1112" s="75" t="s">
        <v>120</v>
      </c>
      <c r="D1112" s="73" t="s">
        <v>952</v>
      </c>
      <c r="E1112" s="74">
        <v>6.25E-2</v>
      </c>
      <c r="F1112" s="78" t="s">
        <v>222</v>
      </c>
      <c r="G1112" s="77" t="s">
        <v>220</v>
      </c>
      <c r="H1112" t="str">
        <f>VLOOKUP(D1112,'DETALLE PRECIO INGREDIENTES'!B:B,1,0)</f>
        <v>VINAGRE TINTO</v>
      </c>
    </row>
    <row r="1113" spans="2:8" ht="15.5" hidden="1" x14ac:dyDescent="0.35">
      <c r="B1113" s="75" t="s">
        <v>135</v>
      </c>
      <c r="C1113" s="75" t="s">
        <v>120</v>
      </c>
      <c r="D1113" s="73" t="s">
        <v>716</v>
      </c>
      <c r="E1113" s="74">
        <v>0.11</v>
      </c>
      <c r="F1113" s="78" t="s">
        <v>237</v>
      </c>
      <c r="G1113" s="77" t="s">
        <v>621</v>
      </c>
      <c r="H1113" t="str">
        <f>VLOOKUP(D1113,'DETALLE PRECIO INGREDIENTES'!B:B,1,0)</f>
        <v>TOMATE LARGA VIDA</v>
      </c>
    </row>
    <row r="1114" spans="2:8" ht="15.5" hidden="1" x14ac:dyDescent="0.35">
      <c r="B1114" s="75" t="s">
        <v>135</v>
      </c>
      <c r="C1114" s="75" t="s">
        <v>120</v>
      </c>
      <c r="D1114" s="73" t="s">
        <v>249</v>
      </c>
      <c r="E1114" s="74">
        <v>0.01</v>
      </c>
      <c r="F1114" s="78" t="s">
        <v>237</v>
      </c>
      <c r="G1114" s="77" t="s">
        <v>220</v>
      </c>
      <c r="H1114" t="str">
        <f>VLOOKUP(D1114,'DETALLE PRECIO INGREDIENTES'!B:B,1,0)</f>
        <v>AJI EN PASTA</v>
      </c>
    </row>
    <row r="1115" spans="2:8" ht="15.5" hidden="1" x14ac:dyDescent="0.35">
      <c r="B1115" s="75" t="s">
        <v>135</v>
      </c>
      <c r="C1115" s="75" t="s">
        <v>120</v>
      </c>
      <c r="D1115" s="73" t="s">
        <v>266</v>
      </c>
      <c r="E1115" s="74">
        <v>7.4999999999999997E-2</v>
      </c>
      <c r="F1115" s="78" t="s">
        <v>237</v>
      </c>
      <c r="G1115" s="77" t="s">
        <v>220</v>
      </c>
      <c r="H1115" t="str">
        <f>VLOOKUP(D1115,'DETALLE PRECIO INGREDIENTES'!B:B,1,0)</f>
        <v>ARROZ GRANO CORTO GRADO 1</v>
      </c>
    </row>
    <row r="1116" spans="2:8" ht="15.5" hidden="1" x14ac:dyDescent="0.35">
      <c r="B1116" s="75" t="s">
        <v>135</v>
      </c>
      <c r="C1116" s="75" t="s">
        <v>120</v>
      </c>
      <c r="D1116" s="73" t="s">
        <v>692</v>
      </c>
      <c r="E1116" s="74">
        <v>6.25E-2</v>
      </c>
      <c r="F1116" s="78" t="s">
        <v>237</v>
      </c>
      <c r="G1116" s="77" t="s">
        <v>621</v>
      </c>
      <c r="H1116" t="str">
        <f>VLOOKUP(D1116,'DETALLE PRECIO INGREDIENTES'!B:B,1,0)</f>
        <v>PAPA CAMOTE</v>
      </c>
    </row>
    <row r="1117" spans="2:8" ht="15.5" hidden="1" x14ac:dyDescent="0.35">
      <c r="B1117" s="75" t="s">
        <v>135</v>
      </c>
      <c r="C1117" s="75" t="s">
        <v>120</v>
      </c>
      <c r="D1117" s="73" t="s">
        <v>301</v>
      </c>
      <c r="E1117" s="74">
        <v>2.5000000000000001E-2</v>
      </c>
      <c r="F1117" s="78" t="s">
        <v>237</v>
      </c>
      <c r="G1117" s="77" t="s">
        <v>220</v>
      </c>
      <c r="H1117" t="str">
        <f>VLOOKUP(D1117,'DETALLE PRECIO INGREDIENTES'!B:B,1,0)</f>
        <v>chuño</v>
      </c>
    </row>
    <row r="1118" spans="2:8" ht="15.5" hidden="1" x14ac:dyDescent="0.35">
      <c r="B1118" s="75" t="s">
        <v>135</v>
      </c>
      <c r="C1118" s="75" t="s">
        <v>120</v>
      </c>
      <c r="D1118" s="73" t="s">
        <v>729</v>
      </c>
      <c r="E1118" s="74">
        <v>0.75</v>
      </c>
      <c r="F1118" s="78" t="s">
        <v>259</v>
      </c>
      <c r="G1118" s="77" t="s">
        <v>728</v>
      </c>
      <c r="H1118" t="str">
        <f>VLOOKUP(D1118,'DETALLE PRECIO INGREDIENTES'!B:B,1,0)</f>
        <v>HUEVO EXTRA BLANCO</v>
      </c>
    </row>
    <row r="1119" spans="2:8" ht="15.5" hidden="1" x14ac:dyDescent="0.35">
      <c r="B1119" s="75" t="s">
        <v>135</v>
      </c>
      <c r="C1119" s="75" t="s">
        <v>120</v>
      </c>
      <c r="D1119" s="73" t="s">
        <v>762</v>
      </c>
      <c r="E1119" s="74">
        <v>0.04</v>
      </c>
      <c r="F1119" s="78" t="s">
        <v>237</v>
      </c>
      <c r="G1119" s="77" t="s">
        <v>736</v>
      </c>
      <c r="H1119" t="str">
        <f>VLOOKUP(D1119,'DETALLE PRECIO INGREDIENTES'!B:B,1,0)</f>
        <v>queso fresco</v>
      </c>
    </row>
    <row r="1120" spans="2:8" ht="15.5" hidden="1" x14ac:dyDescent="0.35">
      <c r="B1120" s="75" t="s">
        <v>135</v>
      </c>
      <c r="C1120" s="75" t="s">
        <v>120</v>
      </c>
      <c r="D1120" s="73" t="s">
        <v>846</v>
      </c>
      <c r="E1120" s="74">
        <v>0.125</v>
      </c>
      <c r="F1120" s="78" t="s">
        <v>237</v>
      </c>
      <c r="G1120" s="77" t="s">
        <v>839</v>
      </c>
      <c r="H1120" t="str">
        <f>VLOOKUP(D1120,'DETALLE PRECIO INGREDIENTES'!B:B,1,0)</f>
        <v>POLLO TRUTRO ENTERO</v>
      </c>
    </row>
    <row r="1121" spans="2:8" ht="15.5" x14ac:dyDescent="0.35">
      <c r="B1121" s="75" t="s">
        <v>135</v>
      </c>
      <c r="C1121" s="75" t="s">
        <v>120</v>
      </c>
      <c r="D1121" s="73" t="s">
        <v>903</v>
      </c>
      <c r="E1121" s="74">
        <v>0.25</v>
      </c>
      <c r="F1121" s="78" t="s">
        <v>259</v>
      </c>
      <c r="G1121" s="77" t="s">
        <v>621</v>
      </c>
      <c r="H1121" t="e">
        <f>VLOOKUP(D1121,'DETALLE PRECIO INGREDIENTES'!B:B,1,0)</f>
        <v>#N/A</v>
      </c>
    </row>
    <row r="1122" spans="2:8" ht="15.5" hidden="1" x14ac:dyDescent="0.35">
      <c r="B1122" s="75" t="s">
        <v>135</v>
      </c>
      <c r="C1122" s="75" t="s">
        <v>119</v>
      </c>
      <c r="D1122" s="73" t="s">
        <v>491</v>
      </c>
      <c r="E1122" s="74">
        <v>0.5</v>
      </c>
      <c r="F1122" s="78" t="s">
        <v>259</v>
      </c>
      <c r="G1122" s="77" t="s">
        <v>485</v>
      </c>
      <c r="H1122" t="str">
        <f>VLOOKUP(D1122,'DETALLE PRECIO INGREDIENTES'!B:B,1,0)</f>
        <v>BOLSA PARA SELLADO AL VACIO 30X40 CM</v>
      </c>
    </row>
    <row r="1123" spans="2:8" ht="15.5" hidden="1" x14ac:dyDescent="0.35">
      <c r="B1123" s="75" t="s">
        <v>135</v>
      </c>
      <c r="C1123" s="75" t="s">
        <v>119</v>
      </c>
      <c r="D1123" s="73" t="s">
        <v>644</v>
      </c>
      <c r="E1123" s="74">
        <v>7.0000000000000007E-2</v>
      </c>
      <c r="F1123" s="78" t="s">
        <v>237</v>
      </c>
      <c r="G1123" s="77" t="s">
        <v>621</v>
      </c>
      <c r="H1123" t="str">
        <f>VLOOKUP(D1123,'DETALLE PRECIO INGREDIENTES'!B:B,1,0)</f>
        <v>CEBOLLA BLANCA</v>
      </c>
    </row>
    <row r="1124" spans="2:8" ht="15.5" hidden="1" x14ac:dyDescent="0.35">
      <c r="B1124" s="75" t="s">
        <v>135</v>
      </c>
      <c r="C1124" s="75" t="s">
        <v>119</v>
      </c>
      <c r="D1124" s="73" t="s">
        <v>702</v>
      </c>
      <c r="E1124" s="74">
        <v>0.25</v>
      </c>
      <c r="F1124" s="78" t="s">
        <v>259</v>
      </c>
      <c r="G1124" s="77" t="s">
        <v>621</v>
      </c>
      <c r="H1124" t="str">
        <f>VLOOKUP(D1124,'DETALLE PRECIO INGREDIENTES'!B:B,1,0)</f>
        <v>PIMIENTO ROJO</v>
      </c>
    </row>
    <row r="1125" spans="2:8" ht="15.5" hidden="1" x14ac:dyDescent="0.35">
      <c r="B1125" s="75" t="s">
        <v>135</v>
      </c>
      <c r="C1125" s="75" t="s">
        <v>119</v>
      </c>
      <c r="D1125" s="73" t="s">
        <v>633</v>
      </c>
      <c r="E1125" s="74">
        <v>0.06</v>
      </c>
      <c r="F1125" s="78" t="s">
        <v>259</v>
      </c>
      <c r="G1125" s="77" t="s">
        <v>621</v>
      </c>
      <c r="H1125" t="str">
        <f>VLOOKUP(D1125,'DETALLE PRECIO INGREDIENTES'!B:B,1,0)</f>
        <v>APIO MATA</v>
      </c>
    </row>
    <row r="1126" spans="2:8" ht="15.5" hidden="1" x14ac:dyDescent="0.35">
      <c r="B1126" s="75" t="s">
        <v>135</v>
      </c>
      <c r="C1126" s="75" t="s">
        <v>119</v>
      </c>
      <c r="D1126" s="73" t="s">
        <v>863</v>
      </c>
      <c r="E1126" s="74">
        <v>7.4999999999999997E-2</v>
      </c>
      <c r="F1126" s="78" t="s">
        <v>237</v>
      </c>
      <c r="G1126" s="77" t="s">
        <v>852</v>
      </c>
      <c r="H1126" t="str">
        <f>VLOOKUP(D1126,'DETALLE PRECIO INGREDIENTES'!B:B,1,0)</f>
        <v>VACUNO GUATA CALLO (GUATITAS)</v>
      </c>
    </row>
    <row r="1127" spans="2:8" ht="15.5" hidden="1" x14ac:dyDescent="0.35">
      <c r="B1127" s="75" t="s">
        <v>135</v>
      </c>
      <c r="C1127" s="75" t="s">
        <v>119</v>
      </c>
      <c r="D1127" s="73" t="s">
        <v>863</v>
      </c>
      <c r="E1127" s="74">
        <v>0.05</v>
      </c>
      <c r="F1127" s="78" t="s">
        <v>237</v>
      </c>
      <c r="G1127" s="77" t="s">
        <v>852</v>
      </c>
      <c r="H1127" t="str">
        <f>VLOOKUP(D1127,'DETALLE PRECIO INGREDIENTES'!B:B,1,0)</f>
        <v>VACUNO GUATA CALLO (GUATITAS)</v>
      </c>
    </row>
    <row r="1128" spans="2:8" ht="15.5" hidden="1" x14ac:dyDescent="0.35">
      <c r="B1128" s="75" t="s">
        <v>135</v>
      </c>
      <c r="C1128" s="75" t="s">
        <v>119</v>
      </c>
      <c r="D1128" s="73" t="s">
        <v>370</v>
      </c>
      <c r="E1128" s="74">
        <v>1E-3</v>
      </c>
      <c r="F1128" s="78" t="s">
        <v>237</v>
      </c>
      <c r="G1128" s="77" t="s">
        <v>220</v>
      </c>
      <c r="H1128" t="str">
        <f>VLOOKUP(D1128,'DETALLE PRECIO INGREDIENTES'!B:B,1,0)</f>
        <v>LAUREL</v>
      </c>
    </row>
    <row r="1129" spans="2:8" ht="15.5" hidden="1" x14ac:dyDescent="0.35">
      <c r="B1129" s="75" t="s">
        <v>135</v>
      </c>
      <c r="C1129" s="75" t="s">
        <v>119</v>
      </c>
      <c r="D1129" s="73" t="s">
        <v>427</v>
      </c>
      <c r="E1129" s="74">
        <v>1E-3</v>
      </c>
      <c r="F1129" s="78" t="s">
        <v>237</v>
      </c>
      <c r="G1129" s="77" t="s">
        <v>220</v>
      </c>
      <c r="H1129" t="str">
        <f>VLOOKUP(D1129,'DETALLE PRECIO INGREDIENTES'!B:B,1,0)</f>
        <v>PIMIENTA NEGRA ENTERA</v>
      </c>
    </row>
    <row r="1130" spans="2:8" ht="15.5" hidden="1" x14ac:dyDescent="0.35">
      <c r="B1130" s="75" t="s">
        <v>135</v>
      </c>
      <c r="C1130" s="75" t="s">
        <v>118</v>
      </c>
      <c r="D1130" s="73" t="s">
        <v>644</v>
      </c>
      <c r="E1130" s="74">
        <v>0.17</v>
      </c>
      <c r="F1130" s="78" t="s">
        <v>237</v>
      </c>
      <c r="G1130" s="77" t="s">
        <v>621</v>
      </c>
      <c r="H1130" t="str">
        <f>VLOOKUP(D1130,'DETALLE PRECIO INGREDIENTES'!B:B,1,0)</f>
        <v>CEBOLLA BLANCA</v>
      </c>
    </row>
    <row r="1131" spans="2:8" ht="15.5" hidden="1" x14ac:dyDescent="0.35">
      <c r="B1131" s="75" t="s">
        <v>135</v>
      </c>
      <c r="C1131" s="75" t="s">
        <v>118</v>
      </c>
      <c r="D1131" s="73" t="s">
        <v>936</v>
      </c>
      <c r="E1131" s="74">
        <v>0.03</v>
      </c>
      <c r="F1131" s="78" t="s">
        <v>222</v>
      </c>
      <c r="G1131" s="77" t="s">
        <v>220</v>
      </c>
      <c r="H1131" t="str">
        <f>VLOOKUP(D1131,'DETALLE PRECIO INGREDIENTES'!B:B,1,0)</f>
        <v>ACEITE VEGETAL</v>
      </c>
    </row>
    <row r="1132" spans="2:8" ht="15.5" hidden="1" x14ac:dyDescent="0.35">
      <c r="B1132" s="75" t="s">
        <v>135</v>
      </c>
      <c r="C1132" s="75" t="s">
        <v>118</v>
      </c>
      <c r="D1132" s="73" t="s">
        <v>407</v>
      </c>
      <c r="E1132" s="74">
        <v>2.5000000000000001E-3</v>
      </c>
      <c r="F1132" s="78" t="s">
        <v>237</v>
      </c>
      <c r="G1132" s="77" t="s">
        <v>220</v>
      </c>
      <c r="H1132" t="str">
        <f>VLOOKUP(D1132,'DETALLE PRECIO INGREDIENTES'!B:B,1,0)</f>
        <v>OREGANO SECO</v>
      </c>
    </row>
    <row r="1133" spans="2:8" ht="15.5" hidden="1" x14ac:dyDescent="0.35">
      <c r="B1133" s="75" t="s">
        <v>135</v>
      </c>
      <c r="C1133" s="75" t="s">
        <v>118</v>
      </c>
      <c r="D1133" s="73" t="s">
        <v>939</v>
      </c>
      <c r="E1133" s="74">
        <v>4.2500000000000003E-3</v>
      </c>
      <c r="F1133" s="78" t="s">
        <v>237</v>
      </c>
      <c r="G1133" s="77" t="s">
        <v>220</v>
      </c>
      <c r="H1133" t="str">
        <f>VLOOKUP(D1133,'DETALLE PRECIO INGREDIENTES'!B:B,1,0)</f>
        <v>AJI DE COLOR</v>
      </c>
    </row>
    <row r="1134" spans="2:8" ht="15.5" hidden="1" x14ac:dyDescent="0.35">
      <c r="B1134" s="75" t="s">
        <v>135</v>
      </c>
      <c r="C1134" s="75" t="s">
        <v>118</v>
      </c>
      <c r="D1134" s="73" t="s">
        <v>908</v>
      </c>
      <c r="E1134" s="74">
        <v>0.1</v>
      </c>
      <c r="F1134" s="78" t="s">
        <v>259</v>
      </c>
      <c r="G1134" s="77" t="s">
        <v>621</v>
      </c>
      <c r="H1134" t="str">
        <f>VLOOKUP(D1134,'DETALLE PRECIO INGREDIENTES'!B:B,1,0)</f>
        <v>AJO CABEZA</v>
      </c>
    </row>
    <row r="1135" spans="2:8" ht="15.5" hidden="1" x14ac:dyDescent="0.35">
      <c r="B1135" s="75" t="s">
        <v>135</v>
      </c>
      <c r="C1135" s="75" t="s">
        <v>118</v>
      </c>
      <c r="D1135" s="73" t="s">
        <v>445</v>
      </c>
      <c r="E1135" s="74">
        <v>2E-3</v>
      </c>
      <c r="F1135" s="78" t="s">
        <v>237</v>
      </c>
      <c r="G1135" s="77" t="s">
        <v>220</v>
      </c>
      <c r="H1135" t="str">
        <f>VLOOKUP(D1135,'DETALLE PRECIO INGREDIENTES'!B:B,1,0)</f>
        <v>SAL DE MESA LOBOS</v>
      </c>
    </row>
    <row r="1136" spans="2:8" ht="15.5" hidden="1" x14ac:dyDescent="0.35">
      <c r="B1136" s="75" t="s">
        <v>135</v>
      </c>
      <c r="C1136" s="75" t="s">
        <v>118</v>
      </c>
      <c r="D1136" s="73" t="s">
        <v>914</v>
      </c>
      <c r="E1136" s="74">
        <v>1.25E-3</v>
      </c>
      <c r="F1136" s="78" t="s">
        <v>237</v>
      </c>
      <c r="G1136" s="77" t="s">
        <v>220</v>
      </c>
      <c r="H1136" t="str">
        <f>VLOOKUP(D1136,'DETALLE PRECIO INGREDIENTES'!B:B,1,0)</f>
        <v>PIMIENTA NEGRA MOLIDA</v>
      </c>
    </row>
    <row r="1137" spans="2:8" ht="15.5" hidden="1" x14ac:dyDescent="0.35">
      <c r="B1137" s="75" t="s">
        <v>135</v>
      </c>
      <c r="C1137" s="75" t="s">
        <v>118</v>
      </c>
      <c r="D1137" s="73" t="s">
        <v>859</v>
      </c>
      <c r="E1137" s="74">
        <v>0.15</v>
      </c>
      <c r="F1137" s="78" t="s">
        <v>237</v>
      </c>
      <c r="G1137" s="77" t="s">
        <v>852</v>
      </c>
      <c r="H1137" t="str">
        <f>VLOOKUP(D1137,'DETALLE PRECIO INGREDIENTES'!B:B,1,0)</f>
        <v>VACUNO CARNE MOLIDA AL 10%</v>
      </c>
    </row>
    <row r="1138" spans="2:8" ht="15.5" hidden="1" x14ac:dyDescent="0.35">
      <c r="B1138" s="75" t="s">
        <v>135</v>
      </c>
      <c r="C1138" s="75" t="s">
        <v>118</v>
      </c>
      <c r="D1138" s="73" t="s">
        <v>910</v>
      </c>
      <c r="E1138" s="74">
        <v>0.01</v>
      </c>
      <c r="F1138" s="78" t="s">
        <v>237</v>
      </c>
      <c r="G1138" s="77" t="s">
        <v>621</v>
      </c>
      <c r="H1138" t="str">
        <f>VLOOKUP(D1138,'DETALLE PRECIO INGREDIENTES'!B:B,1,0)</f>
        <v>PEREJIL</v>
      </c>
    </row>
    <row r="1139" spans="2:8" ht="15.5" hidden="1" x14ac:dyDescent="0.35">
      <c r="B1139" s="75" t="s">
        <v>135</v>
      </c>
      <c r="C1139" s="75" t="s">
        <v>118</v>
      </c>
      <c r="D1139" s="73" t="s">
        <v>948</v>
      </c>
      <c r="E1139" s="74">
        <v>0.01</v>
      </c>
      <c r="F1139" s="78" t="s">
        <v>237</v>
      </c>
      <c r="G1139" s="77" t="s">
        <v>220</v>
      </c>
      <c r="H1139" t="str">
        <f>VLOOKUP(D1139,'DETALLE PRECIO INGREDIENTES'!B:B,1,0)</f>
        <v>PAN RALLADO</v>
      </c>
    </row>
    <row r="1140" spans="2:8" ht="15.5" hidden="1" x14ac:dyDescent="0.35">
      <c r="B1140" s="75" t="s">
        <v>135</v>
      </c>
      <c r="C1140" s="75" t="s">
        <v>118</v>
      </c>
      <c r="D1140" s="73" t="s">
        <v>729</v>
      </c>
      <c r="E1140" s="74">
        <v>0.5</v>
      </c>
      <c r="F1140" s="78" t="s">
        <v>259</v>
      </c>
      <c r="G1140" s="77" t="s">
        <v>728</v>
      </c>
      <c r="H1140" t="str">
        <f>VLOOKUP(D1140,'DETALLE PRECIO INGREDIENTES'!B:B,1,0)</f>
        <v>HUEVO EXTRA BLANCO</v>
      </c>
    </row>
    <row r="1141" spans="2:8" ht="15.5" hidden="1" x14ac:dyDescent="0.35">
      <c r="B1141" s="75" t="s">
        <v>135</v>
      </c>
      <c r="C1141" s="75" t="s">
        <v>118</v>
      </c>
      <c r="D1141" s="73" t="s">
        <v>716</v>
      </c>
      <c r="E1141" s="74">
        <v>0.2</v>
      </c>
      <c r="F1141" s="78" t="s">
        <v>237</v>
      </c>
      <c r="G1141" s="77" t="s">
        <v>621</v>
      </c>
      <c r="H1141" t="str">
        <f>VLOOKUP(D1141,'DETALLE PRECIO INGREDIENTES'!B:B,1,0)</f>
        <v>TOMATE LARGA VIDA</v>
      </c>
    </row>
    <row r="1142" spans="2:8" ht="15.5" hidden="1" x14ac:dyDescent="0.35">
      <c r="B1142" s="75" t="s">
        <v>135</v>
      </c>
      <c r="C1142" s="75" t="s">
        <v>118</v>
      </c>
      <c r="D1142" s="73" t="s">
        <v>589</v>
      </c>
      <c r="E1142" s="74">
        <v>6.5000000000000002E-2</v>
      </c>
      <c r="F1142" s="78" t="s">
        <v>237</v>
      </c>
      <c r="G1142" s="77" t="s">
        <v>587</v>
      </c>
      <c r="H1142" t="str">
        <f>VLOOKUP(D1142,'DETALLE PRECIO INGREDIENTES'!B:B,1,0)</f>
        <v>POROTOS VERDES CONGELADOS</v>
      </c>
    </row>
    <row r="1143" spans="2:8" ht="15.5" hidden="1" x14ac:dyDescent="0.35">
      <c r="B1143" s="75" t="s">
        <v>135</v>
      </c>
      <c r="C1143" s="75" t="s">
        <v>118</v>
      </c>
      <c r="D1143" s="73" t="s">
        <v>953</v>
      </c>
      <c r="E1143" s="74">
        <v>0.02</v>
      </c>
      <c r="F1143" s="78" t="s">
        <v>237</v>
      </c>
      <c r="G1143" s="77" t="s">
        <v>621</v>
      </c>
      <c r="H1143" t="str">
        <f>VLOOKUP(D1143,'DETALLE PRECIO INGREDIENTES'!B:B,1,0)</f>
        <v>AJI VERDE</v>
      </c>
    </row>
    <row r="1144" spans="2:8" ht="15.5" hidden="1" x14ac:dyDescent="0.35">
      <c r="B1144" s="75" t="s">
        <v>135</v>
      </c>
      <c r="C1144" s="75" t="s">
        <v>118</v>
      </c>
      <c r="D1144" s="73" t="s">
        <v>385</v>
      </c>
      <c r="E1144" s="74">
        <v>0.2</v>
      </c>
      <c r="F1144" s="78" t="s">
        <v>237</v>
      </c>
      <c r="G1144" s="77" t="s">
        <v>220</v>
      </c>
      <c r="H1144" t="str">
        <f>VLOOKUP(D1144,'DETALLE PRECIO INGREDIENTES'!B:B,1,0)</f>
        <v>MAYONESA HELLMANS</v>
      </c>
    </row>
    <row r="1145" spans="2:8" ht="15.5" hidden="1" x14ac:dyDescent="0.35">
      <c r="B1145" s="75" t="s">
        <v>135</v>
      </c>
      <c r="C1145" s="75" t="s">
        <v>118</v>
      </c>
      <c r="D1145" s="73" t="s">
        <v>801</v>
      </c>
      <c r="E1145" s="74">
        <v>2</v>
      </c>
      <c r="F1145" s="78" t="s">
        <v>259</v>
      </c>
      <c r="G1145" s="77" t="s">
        <v>795</v>
      </c>
      <c r="H1145" t="str">
        <f>VLOOKUP(D1145,'DETALLE PRECIO INGREDIENTES'!B:B,1,0)</f>
        <v>PAN MARRAQUETA</v>
      </c>
    </row>
    <row r="1146" spans="2:8" ht="15.5" hidden="1" x14ac:dyDescent="0.35">
      <c r="B1146" s="75" t="s">
        <v>135</v>
      </c>
      <c r="C1146" s="75" t="s">
        <v>118</v>
      </c>
      <c r="D1146" s="73" t="s">
        <v>691</v>
      </c>
      <c r="E1146" s="74">
        <v>0.2</v>
      </c>
      <c r="F1146" s="78" t="s">
        <v>237</v>
      </c>
      <c r="G1146" s="77" t="s">
        <v>621</v>
      </c>
      <c r="H1146" t="str">
        <f>VLOOKUP(D1146,'DETALLE PRECIO INGREDIENTES'!B:B,1,0)</f>
        <v>PALTA HASS</v>
      </c>
    </row>
    <row r="1147" spans="2:8" ht="15.5" hidden="1" x14ac:dyDescent="0.35">
      <c r="B1147" s="75" t="s">
        <v>135</v>
      </c>
      <c r="C1147" s="75" t="s">
        <v>118</v>
      </c>
      <c r="D1147" s="73" t="s">
        <v>609</v>
      </c>
      <c r="E1147" s="74">
        <v>1</v>
      </c>
      <c r="F1147" s="78" t="s">
        <v>259</v>
      </c>
      <c r="G1147" s="77" t="s">
        <v>606</v>
      </c>
      <c r="H1147" t="str">
        <f>VLOOKUP(D1147,'DETALLE PRECIO INGREDIENTES'!B:B,1,0)</f>
        <v>VIENESA</v>
      </c>
    </row>
    <row r="1148" spans="2:8" ht="15.5" hidden="1" x14ac:dyDescent="0.35">
      <c r="B1148" s="75" t="s">
        <v>135</v>
      </c>
      <c r="C1148" s="75" t="s">
        <v>118</v>
      </c>
      <c r="D1148" s="73" t="s">
        <v>798</v>
      </c>
      <c r="E1148" s="74">
        <v>1</v>
      </c>
      <c r="F1148" s="78" t="s">
        <v>259</v>
      </c>
      <c r="G1148" s="77" t="s">
        <v>795</v>
      </c>
      <c r="H1148" t="str">
        <f>VLOOKUP(D1148,'DETALLE PRECIO INGREDIENTES'!B:B,1,0)</f>
        <v>PAN DE COMPLETO LENGUA</v>
      </c>
    </row>
    <row r="1149" spans="2:8" ht="15.5" hidden="1" x14ac:dyDescent="0.35">
      <c r="B1149" s="75" t="s">
        <v>135</v>
      </c>
      <c r="C1149" s="75" t="s">
        <v>118</v>
      </c>
      <c r="D1149" s="73" t="s">
        <v>369</v>
      </c>
      <c r="E1149" s="74">
        <v>2.5000000000000001E-2</v>
      </c>
      <c r="F1149" s="78" t="s">
        <v>237</v>
      </c>
      <c r="G1149" s="77" t="s">
        <v>220</v>
      </c>
      <c r="H1149" t="str">
        <f>VLOOKUP(D1149,'DETALLE PRECIO INGREDIENTES'!B:B,1,0)</f>
        <v>KETCHUP HELLMANS</v>
      </c>
    </row>
    <row r="1150" spans="2:8" ht="15.5" hidden="1" x14ac:dyDescent="0.35">
      <c r="B1150" s="75" t="s">
        <v>135</v>
      </c>
      <c r="C1150" s="75" t="s">
        <v>118</v>
      </c>
      <c r="D1150" s="73" t="s">
        <v>397</v>
      </c>
      <c r="E1150" s="74">
        <v>2.5000000000000001E-2</v>
      </c>
      <c r="F1150" s="78" t="s">
        <v>237</v>
      </c>
      <c r="G1150" s="77" t="s">
        <v>220</v>
      </c>
      <c r="H1150" t="str">
        <f>VLOOKUP(D1150,'DETALLE PRECIO INGREDIENTES'!B:B,1,0)</f>
        <v>MOSTAZA</v>
      </c>
    </row>
    <row r="1151" spans="2:8" ht="15.5" hidden="1" x14ac:dyDescent="0.35">
      <c r="B1151" s="75" t="s">
        <v>135</v>
      </c>
      <c r="C1151" s="75" t="s">
        <v>118</v>
      </c>
      <c r="D1151" s="73" t="s">
        <v>381</v>
      </c>
      <c r="E1151" s="74">
        <v>0.02</v>
      </c>
      <c r="F1151" s="78" t="s">
        <v>237</v>
      </c>
      <c r="G1151" s="77" t="s">
        <v>220</v>
      </c>
      <c r="H1151" t="str">
        <f>VLOOKUP(D1151,'DETALLE PRECIO INGREDIENTES'!B:B,1,0)</f>
        <v>MANTECA VEGETAL</v>
      </c>
    </row>
    <row r="1152" spans="2:8" ht="15.5" hidden="1" x14ac:dyDescent="0.35">
      <c r="B1152" s="75" t="s">
        <v>135</v>
      </c>
      <c r="C1152" s="75" t="s">
        <v>118</v>
      </c>
      <c r="D1152" s="73" t="s">
        <v>766</v>
      </c>
      <c r="E1152" s="74">
        <v>0.1</v>
      </c>
      <c r="F1152" s="78" t="s">
        <v>237</v>
      </c>
      <c r="G1152" s="77" t="s">
        <v>736</v>
      </c>
      <c r="H1152" t="str">
        <f>VLOOKUP(D1152,'DETALLE PRECIO INGREDIENTES'!B:B,1,0)</f>
        <v>QUESO MANTECOSO PIEZA</v>
      </c>
    </row>
    <row r="1153" spans="2:8" ht="15.5" hidden="1" x14ac:dyDescent="0.35">
      <c r="B1153" s="75" t="s">
        <v>135</v>
      </c>
      <c r="C1153" s="75" t="s">
        <v>118</v>
      </c>
      <c r="D1153" s="73" t="s">
        <v>309</v>
      </c>
      <c r="E1153" s="74">
        <v>2.7499999999999998E-3</v>
      </c>
      <c r="F1153" s="78" t="s">
        <v>237</v>
      </c>
      <c r="G1153" s="77" t="s">
        <v>220</v>
      </c>
      <c r="H1153" t="str">
        <f>VLOOKUP(D1153,'DETALLE PRECIO INGREDIENTES'!B:B,1,0)</f>
        <v>COMINO MOLIDO</v>
      </c>
    </row>
    <row r="1154" spans="2:8" ht="15.5" hidden="1" x14ac:dyDescent="0.35">
      <c r="B1154" s="75" t="s">
        <v>135</v>
      </c>
      <c r="C1154" s="75" t="s">
        <v>118</v>
      </c>
      <c r="D1154" s="73" t="s">
        <v>239</v>
      </c>
      <c r="E1154" s="74">
        <v>2.5000000000000001E-2</v>
      </c>
      <c r="F1154" s="78" t="s">
        <v>237</v>
      </c>
      <c r="G1154" s="77" t="s">
        <v>220</v>
      </c>
      <c r="H1154" t="str">
        <f>VLOOKUP(D1154,'DETALLE PRECIO INGREDIENTES'!B:B,1,0)</f>
        <v>ACEITUNAS NEGRAS S/HUESO</v>
      </c>
    </row>
    <row r="1155" spans="2:8" ht="15.5" hidden="1" x14ac:dyDescent="0.35">
      <c r="B1155" s="75" t="s">
        <v>135</v>
      </c>
      <c r="C1155" s="75" t="s">
        <v>118</v>
      </c>
      <c r="D1155" s="73" t="s">
        <v>946</v>
      </c>
      <c r="E1155" s="74">
        <v>0.25</v>
      </c>
      <c r="F1155" s="78" t="s">
        <v>222</v>
      </c>
      <c r="G1155" s="77" t="s">
        <v>220</v>
      </c>
      <c r="H1155" t="str">
        <f>VLOOKUP(D1155,'DETALLE PRECIO INGREDIENTES'!B:B,1,0)</f>
        <v>ACEITE PARA FREIR</v>
      </c>
    </row>
    <row r="1156" spans="2:8" ht="15.5" hidden="1" x14ac:dyDescent="0.35">
      <c r="B1156" s="75" t="s">
        <v>135</v>
      </c>
      <c r="C1156" s="75" t="s">
        <v>118</v>
      </c>
      <c r="D1156" s="73" t="s">
        <v>799</v>
      </c>
      <c r="E1156" s="74">
        <v>1</v>
      </c>
      <c r="F1156" s="78" t="s">
        <v>259</v>
      </c>
      <c r="G1156" s="77" t="s">
        <v>795</v>
      </c>
      <c r="H1156" t="str">
        <f>VLOOKUP(D1156,'DETALLE PRECIO INGREDIENTES'!B:B,1,0)</f>
        <v>PAN FRICA 11CM S/SEMILLAS</v>
      </c>
    </row>
    <row r="1157" spans="2:8" ht="15.5" hidden="1" x14ac:dyDescent="0.35">
      <c r="B1157" s="75" t="s">
        <v>135</v>
      </c>
      <c r="C1157" s="75" t="s">
        <v>118</v>
      </c>
      <c r="D1157" s="73" t="s">
        <v>533</v>
      </c>
      <c r="E1157" s="74">
        <v>0.16</v>
      </c>
      <c r="F1157" s="78" t="s">
        <v>237</v>
      </c>
      <c r="G1157" s="77" t="s">
        <v>525</v>
      </c>
      <c r="H1157" t="str">
        <f>VLOOKUP(D1157,'DETALLE PRECIO INGREDIENTES'!B:B,1,0)</f>
        <v>CERDO LOMO CENTRO</v>
      </c>
    </row>
    <row r="1158" spans="2:8" ht="15.5" x14ac:dyDescent="0.35">
      <c r="B1158" s="75" t="s">
        <v>135</v>
      </c>
      <c r="C1158" s="75" t="s">
        <v>118</v>
      </c>
      <c r="D1158" s="73" t="s">
        <v>903</v>
      </c>
      <c r="E1158" s="74">
        <v>0.25</v>
      </c>
      <c r="F1158" s="78" t="s">
        <v>259</v>
      </c>
      <c r="G1158" s="77" t="s">
        <v>621</v>
      </c>
      <c r="H1158" t="e">
        <f>VLOOKUP(D1158,'DETALLE PRECIO INGREDIENTES'!B:B,1,0)</f>
        <v>#N/A</v>
      </c>
    </row>
    <row r="1159" spans="2:8" ht="15.5" hidden="1" x14ac:dyDescent="0.35">
      <c r="B1159" s="75" t="s">
        <v>135</v>
      </c>
      <c r="C1159" s="75" t="s">
        <v>118</v>
      </c>
      <c r="D1159" s="73" t="s">
        <v>925</v>
      </c>
      <c r="E1159" s="74">
        <v>2.5000000000000001E-2</v>
      </c>
      <c r="F1159" s="78" t="s">
        <v>237</v>
      </c>
      <c r="G1159" s="77" t="s">
        <v>621</v>
      </c>
      <c r="H1159" t="str">
        <f>VLOOKUP(D1159,'DETALLE PRECIO INGREDIENTES'!B:B,1,0)</f>
        <v>ZANAHORIA</v>
      </c>
    </row>
    <row r="1160" spans="2:8" ht="15.5" hidden="1" x14ac:dyDescent="0.35">
      <c r="B1160" s="75" t="s">
        <v>135</v>
      </c>
      <c r="C1160" s="75" t="s">
        <v>118</v>
      </c>
      <c r="D1160" s="73" t="s">
        <v>910</v>
      </c>
      <c r="E1160" s="74">
        <v>4.4999999999999998E-2</v>
      </c>
      <c r="F1160" s="78" t="s">
        <v>237</v>
      </c>
      <c r="G1160" s="77" t="s">
        <v>621</v>
      </c>
      <c r="H1160" t="str">
        <f>VLOOKUP(D1160,'DETALLE PRECIO INGREDIENTES'!B:B,1,0)</f>
        <v>PEREJIL</v>
      </c>
    </row>
    <row r="1161" spans="2:8" ht="15.5" hidden="1" x14ac:dyDescent="0.35">
      <c r="B1161" s="75" t="s">
        <v>135</v>
      </c>
      <c r="C1161" s="75" t="s">
        <v>118</v>
      </c>
      <c r="D1161" s="73" t="s">
        <v>911</v>
      </c>
      <c r="E1161" s="74">
        <v>2.5000000000000001E-4</v>
      </c>
      <c r="F1161" s="78" t="s">
        <v>237</v>
      </c>
      <c r="G1161" s="77" t="s">
        <v>220</v>
      </c>
      <c r="H1161" t="str">
        <f>VLOOKUP(D1161,'DETALLE PRECIO INGREDIENTES'!B:B,1,0)</f>
        <v>LAUREL</v>
      </c>
    </row>
    <row r="1162" spans="2:8" ht="15.5" hidden="1" x14ac:dyDescent="0.35">
      <c r="B1162" s="75" t="s">
        <v>135</v>
      </c>
      <c r="C1162" s="75" t="s">
        <v>118</v>
      </c>
      <c r="D1162" s="73" t="s">
        <v>607</v>
      </c>
      <c r="E1162" s="74">
        <v>7.0000000000000007E-2</v>
      </c>
      <c r="F1162" s="78" t="s">
        <v>237</v>
      </c>
      <c r="G1162" s="77" t="s">
        <v>606</v>
      </c>
      <c r="H1162" t="str">
        <f>VLOOKUP(D1162,'DETALLE PRECIO INGREDIENTES'!B:B,1,0)</f>
        <v>LONGANIZA ARTESANAL</v>
      </c>
    </row>
    <row r="1163" spans="2:8" ht="15.5" hidden="1" x14ac:dyDescent="0.35">
      <c r="B1163" s="75" t="s">
        <v>135</v>
      </c>
      <c r="C1163" s="75" t="s">
        <v>118</v>
      </c>
      <c r="D1163" s="73" t="s">
        <v>680</v>
      </c>
      <c r="E1163" s="74">
        <v>6.25E-2</v>
      </c>
      <c r="F1163" s="78" t="s">
        <v>237</v>
      </c>
      <c r="G1163" s="77" t="s">
        <v>621</v>
      </c>
      <c r="H1163" t="str">
        <f>VLOOKUP(D1163,'DETALLE PRECIO INGREDIENTES'!B:B,1,0)</f>
        <v>LIMON DE JUGO</v>
      </c>
    </row>
    <row r="1164" spans="2:8" ht="15.5" hidden="1" x14ac:dyDescent="0.35">
      <c r="B1164" s="75" t="s">
        <v>135</v>
      </c>
      <c r="C1164" s="75" t="s">
        <v>118</v>
      </c>
      <c r="D1164" s="73" t="s">
        <v>249</v>
      </c>
      <c r="E1164" s="74">
        <v>1.2500000000000001E-2</v>
      </c>
      <c r="F1164" s="78" t="s">
        <v>237</v>
      </c>
      <c r="G1164" s="77" t="s">
        <v>220</v>
      </c>
      <c r="H1164" t="str">
        <f>VLOOKUP(D1164,'DETALLE PRECIO INGREDIENTES'!B:B,1,0)</f>
        <v>AJI EN PASTA</v>
      </c>
    </row>
    <row r="1165" spans="2:8" ht="15.5" hidden="1" x14ac:dyDescent="0.35">
      <c r="B1165" s="75" t="s">
        <v>135</v>
      </c>
      <c r="C1165" s="75" t="s">
        <v>118</v>
      </c>
      <c r="D1165" s="73" t="s">
        <v>354</v>
      </c>
      <c r="E1165" s="74">
        <v>0.21</v>
      </c>
      <c r="F1165" s="78" t="s">
        <v>237</v>
      </c>
      <c r="G1165" s="77" t="s">
        <v>220</v>
      </c>
      <c r="H1165" t="str">
        <f>VLOOKUP(D1165,'DETALLE PRECIO INGREDIENTES'!B:B,1,0)</f>
        <v>HARINA BIZCOCHERA</v>
      </c>
    </row>
    <row r="1166" spans="2:8" ht="15.5" hidden="1" x14ac:dyDescent="0.35">
      <c r="B1166" s="75" t="s">
        <v>135</v>
      </c>
      <c r="C1166" s="75" t="s">
        <v>118</v>
      </c>
      <c r="D1166" s="73" t="s">
        <v>446</v>
      </c>
      <c r="E1166" s="74">
        <v>6.5000000000000002E-2</v>
      </c>
      <c r="F1166" s="78" t="s">
        <v>237</v>
      </c>
      <c r="G1166" s="77" t="s">
        <v>220</v>
      </c>
      <c r="H1166" t="str">
        <f>VLOOKUP(D1166,'DETALLE PRECIO INGREDIENTES'!B:B,1,0)</f>
        <v>SALSA AMERICANA</v>
      </c>
    </row>
    <row r="1167" spans="2:8" ht="15.5" hidden="1" x14ac:dyDescent="0.35">
      <c r="B1167" s="75" t="s">
        <v>135</v>
      </c>
      <c r="C1167" s="75" t="s">
        <v>117</v>
      </c>
      <c r="D1167" s="73" t="s">
        <v>853</v>
      </c>
      <c r="E1167" s="74">
        <v>6.5000000000000002E-2</v>
      </c>
      <c r="F1167" s="78" t="s">
        <v>986</v>
      </c>
      <c r="G1167" s="77" t="s">
        <v>852</v>
      </c>
      <c r="H1167" t="str">
        <f>VLOOKUP(D1167,'DETALLE PRECIO INGREDIENTES'!B:B,1,0)</f>
        <v>CARNE MOLIDA TARTARO 3% GRASA</v>
      </c>
    </row>
    <row r="1168" spans="2:8" ht="15.5" hidden="1" x14ac:dyDescent="0.35">
      <c r="B1168" s="75" t="s">
        <v>135</v>
      </c>
      <c r="C1168" s="75" t="s">
        <v>117</v>
      </c>
      <c r="D1168" s="73" t="s">
        <v>644</v>
      </c>
      <c r="E1168" s="74">
        <v>0.2</v>
      </c>
      <c r="F1168" s="78" t="s">
        <v>237</v>
      </c>
      <c r="G1168" s="77" t="s">
        <v>621</v>
      </c>
      <c r="H1168" t="str">
        <f>VLOOKUP(D1168,'DETALLE PRECIO INGREDIENTES'!B:B,1,0)</f>
        <v>CEBOLLA BLANCA</v>
      </c>
    </row>
    <row r="1169" spans="2:8" ht="15.5" hidden="1" x14ac:dyDescent="0.35">
      <c r="B1169" s="75" t="s">
        <v>135</v>
      </c>
      <c r="C1169" s="75" t="s">
        <v>117</v>
      </c>
      <c r="D1169" s="73" t="s">
        <v>680</v>
      </c>
      <c r="E1169" s="74">
        <v>0.06</v>
      </c>
      <c r="F1169" s="78" t="s">
        <v>237</v>
      </c>
      <c r="G1169" s="77" t="s">
        <v>621</v>
      </c>
      <c r="H1169" t="str">
        <f>VLOOKUP(D1169,'DETALLE PRECIO INGREDIENTES'!B:B,1,0)</f>
        <v>LIMON DE JUGO</v>
      </c>
    </row>
    <row r="1170" spans="2:8" ht="15.5" hidden="1" x14ac:dyDescent="0.35">
      <c r="B1170" s="75" t="s">
        <v>135</v>
      </c>
      <c r="C1170" s="75" t="s">
        <v>117</v>
      </c>
      <c r="D1170" s="73" t="s">
        <v>910</v>
      </c>
      <c r="E1170" s="74">
        <v>0.02</v>
      </c>
      <c r="F1170" s="78" t="s">
        <v>237</v>
      </c>
      <c r="G1170" s="77" t="s">
        <v>621</v>
      </c>
      <c r="H1170" t="str">
        <f>VLOOKUP(D1170,'DETALLE PRECIO INGREDIENTES'!B:B,1,0)</f>
        <v>PEREJIL</v>
      </c>
    </row>
    <row r="1171" spans="2:8" ht="15.5" hidden="1" x14ac:dyDescent="0.35">
      <c r="B1171" s="75" t="s">
        <v>135</v>
      </c>
      <c r="C1171" s="75" t="s">
        <v>117</v>
      </c>
      <c r="D1171" s="73" t="s">
        <v>230</v>
      </c>
      <c r="E1171" s="74">
        <v>0.04</v>
      </c>
      <c r="F1171" s="78" t="s">
        <v>222</v>
      </c>
      <c r="G1171" s="77" t="s">
        <v>220</v>
      </c>
      <c r="H1171" t="str">
        <f>VLOOKUP(D1171,'DETALLE PRECIO INGREDIENTES'!B:B,1,0)</f>
        <v>ACEITE DE OLIVA</v>
      </c>
    </row>
    <row r="1172" spans="2:8" ht="15.5" hidden="1" x14ac:dyDescent="0.35">
      <c r="B1172" s="75" t="s">
        <v>135</v>
      </c>
      <c r="C1172" s="75" t="s">
        <v>117</v>
      </c>
      <c r="D1172" s="73" t="s">
        <v>953</v>
      </c>
      <c r="E1172" s="74">
        <v>0.01</v>
      </c>
      <c r="F1172" s="78" t="s">
        <v>237</v>
      </c>
      <c r="G1172" s="77" t="s">
        <v>621</v>
      </c>
      <c r="H1172" t="str">
        <f>VLOOKUP(D1172,'DETALLE PRECIO INGREDIENTES'!B:B,1,0)</f>
        <v>AJI VERDE</v>
      </c>
    </row>
    <row r="1173" spans="2:8" ht="15.5" hidden="1" x14ac:dyDescent="0.35">
      <c r="B1173" s="75" t="s">
        <v>135</v>
      </c>
      <c r="C1173" s="75" t="s">
        <v>117</v>
      </c>
      <c r="D1173" s="73" t="s">
        <v>954</v>
      </c>
      <c r="E1173" s="74">
        <v>0.01</v>
      </c>
      <c r="F1173" s="78" t="s">
        <v>237</v>
      </c>
      <c r="G1173" s="77" t="s">
        <v>220</v>
      </c>
      <c r="H1173" t="str">
        <f>VLOOKUP(D1173,'DETALLE PRECIO INGREDIENTES'!B:B,1,0)</f>
        <v>MOSTAZA</v>
      </c>
    </row>
    <row r="1174" spans="2:8" ht="15.5" hidden="1" x14ac:dyDescent="0.35">
      <c r="B1174" s="75" t="s">
        <v>135</v>
      </c>
      <c r="C1174" s="75" t="s">
        <v>117</v>
      </c>
      <c r="D1174" s="73" t="s">
        <v>445</v>
      </c>
      <c r="E1174" s="74">
        <v>1.5E-3</v>
      </c>
      <c r="F1174" s="78" t="s">
        <v>237</v>
      </c>
      <c r="G1174" s="77" t="s">
        <v>220</v>
      </c>
      <c r="H1174" t="str">
        <f>VLOOKUP(D1174,'DETALLE PRECIO INGREDIENTES'!B:B,1,0)</f>
        <v>SAL DE MESA LOBOS</v>
      </c>
    </row>
    <row r="1175" spans="2:8" ht="15.5" hidden="1" x14ac:dyDescent="0.35">
      <c r="B1175" s="75" t="s">
        <v>135</v>
      </c>
      <c r="C1175" s="75" t="s">
        <v>117</v>
      </c>
      <c r="D1175" s="73" t="s">
        <v>428</v>
      </c>
      <c r="E1175" s="74">
        <v>2E-3</v>
      </c>
      <c r="F1175" s="78" t="s">
        <v>237</v>
      </c>
      <c r="G1175" s="77" t="s">
        <v>220</v>
      </c>
      <c r="H1175" t="str">
        <f>VLOOKUP(D1175,'DETALLE PRECIO INGREDIENTES'!B:B,1,0)</f>
        <v>PIMIENTA NEGRA MOLIDA</v>
      </c>
    </row>
    <row r="1176" spans="2:8" ht="15.5" hidden="1" x14ac:dyDescent="0.35">
      <c r="B1176" s="75" t="s">
        <v>135</v>
      </c>
      <c r="C1176" s="75" t="s">
        <v>117</v>
      </c>
      <c r="D1176" s="73" t="s">
        <v>803</v>
      </c>
      <c r="E1176" s="74">
        <v>2</v>
      </c>
      <c r="F1176" s="78" t="s">
        <v>259</v>
      </c>
      <c r="G1176" s="77" t="s">
        <v>795</v>
      </c>
      <c r="H1176" t="str">
        <f>VLOOKUP(D1176,'DETALLE PRECIO INGREDIENTES'!B:B,1,0)</f>
        <v>PAN MOLDE BLANCO LAMINA</v>
      </c>
    </row>
    <row r="1177" spans="2:8" ht="15.5" hidden="1" x14ac:dyDescent="0.35">
      <c r="B1177" s="75" t="s">
        <v>135</v>
      </c>
      <c r="C1177" s="75" t="s">
        <v>117</v>
      </c>
      <c r="D1177" s="73" t="s">
        <v>845</v>
      </c>
      <c r="E1177" s="74">
        <v>0.15</v>
      </c>
      <c r="F1177" s="78" t="s">
        <v>237</v>
      </c>
      <c r="G1177" s="77" t="s">
        <v>839</v>
      </c>
      <c r="H1177" t="str">
        <f>VLOOKUP(D1177,'DETALLE PRECIO INGREDIENTES'!B:B,1,0)</f>
        <v>POLLO TRUTRO CORTO</v>
      </c>
    </row>
    <row r="1178" spans="2:8" ht="15.5" hidden="1" x14ac:dyDescent="0.35">
      <c r="B1178" s="75" t="s">
        <v>135</v>
      </c>
      <c r="C1178" s="75" t="s">
        <v>117</v>
      </c>
      <c r="D1178" s="73" t="s">
        <v>878</v>
      </c>
      <c r="E1178" s="74">
        <v>0.06</v>
      </c>
      <c r="F1178" s="78" t="s">
        <v>222</v>
      </c>
      <c r="G1178" s="77" t="s">
        <v>876</v>
      </c>
      <c r="H1178" t="str">
        <f>VLOOKUP(D1178,'DETALLE PRECIO INGREDIENTES'!B:B,1,0)</f>
        <v>VINO BLANCO TETRA PACK</v>
      </c>
    </row>
    <row r="1179" spans="2:8" ht="15.5" hidden="1" x14ac:dyDescent="0.35">
      <c r="B1179" s="75" t="s">
        <v>135</v>
      </c>
      <c r="C1179" s="75" t="s">
        <v>117</v>
      </c>
      <c r="D1179" s="73" t="s">
        <v>778</v>
      </c>
      <c r="E1179" s="74">
        <v>0.03</v>
      </c>
      <c r="F1179" s="78" t="s">
        <v>259</v>
      </c>
      <c r="G1179" s="77" t="s">
        <v>776</v>
      </c>
      <c r="H1179" t="str">
        <f>VLOOKUP(D1179,'DETALLE PRECIO INGREDIENTES'!B:B,1,0)</f>
        <v>BRANDY TRES PALOS</v>
      </c>
    </row>
    <row r="1180" spans="2:8" ht="15.5" hidden="1" x14ac:dyDescent="0.35">
      <c r="B1180" s="75" t="s">
        <v>135</v>
      </c>
      <c r="C1180" s="75" t="s">
        <v>117</v>
      </c>
      <c r="D1180" s="73" t="s">
        <v>911</v>
      </c>
      <c r="E1180" s="74">
        <v>5.0000000000000001E-4</v>
      </c>
      <c r="F1180" s="78" t="s">
        <v>237</v>
      </c>
      <c r="G1180" s="77" t="s">
        <v>220</v>
      </c>
      <c r="H1180" t="str">
        <f>VLOOKUP(D1180,'DETALLE PRECIO INGREDIENTES'!B:B,1,0)</f>
        <v>LAUREL</v>
      </c>
    </row>
    <row r="1181" spans="2:8" ht="15.5" hidden="1" x14ac:dyDescent="0.35">
      <c r="B1181" s="75" t="s">
        <v>135</v>
      </c>
      <c r="C1181" s="75" t="s">
        <v>117</v>
      </c>
      <c r="D1181" s="73" t="s">
        <v>939</v>
      </c>
      <c r="E1181" s="74">
        <v>1E-3</v>
      </c>
      <c r="F1181" s="78" t="s">
        <v>237</v>
      </c>
      <c r="G1181" s="77" t="s">
        <v>220</v>
      </c>
      <c r="H1181" t="str">
        <f>VLOOKUP(D1181,'DETALLE PRECIO INGREDIENTES'!B:B,1,0)</f>
        <v>AJI DE COLOR</v>
      </c>
    </row>
    <row r="1182" spans="2:8" ht="15.5" hidden="1" x14ac:dyDescent="0.35">
      <c r="B1182" s="75" t="s">
        <v>135</v>
      </c>
      <c r="C1182" s="75" t="s">
        <v>117</v>
      </c>
      <c r="D1182" s="73" t="s">
        <v>925</v>
      </c>
      <c r="E1182" s="74">
        <v>0.03</v>
      </c>
      <c r="F1182" s="78" t="s">
        <v>237</v>
      </c>
      <c r="G1182" s="77" t="s">
        <v>621</v>
      </c>
      <c r="H1182" t="str">
        <f>VLOOKUP(D1182,'DETALLE PRECIO INGREDIENTES'!B:B,1,0)</f>
        <v>ZANAHORIA</v>
      </c>
    </row>
    <row r="1183" spans="2:8" ht="15.5" hidden="1" x14ac:dyDescent="0.35">
      <c r="B1183" s="75" t="s">
        <v>135</v>
      </c>
      <c r="C1183" s="75" t="s">
        <v>117</v>
      </c>
      <c r="D1183" s="73" t="s">
        <v>936</v>
      </c>
      <c r="E1183" s="74">
        <v>0.01</v>
      </c>
      <c r="F1183" s="78" t="s">
        <v>222</v>
      </c>
      <c r="G1183" s="77" t="s">
        <v>220</v>
      </c>
      <c r="H1183" t="str">
        <f>VLOOKUP(D1183,'DETALLE PRECIO INGREDIENTES'!B:B,1,0)</f>
        <v>ACEITE VEGETAL</v>
      </c>
    </row>
    <row r="1184" spans="2:8" ht="15.5" hidden="1" x14ac:dyDescent="0.35">
      <c r="B1184" s="75" t="s">
        <v>135</v>
      </c>
      <c r="C1184" s="75" t="s">
        <v>117</v>
      </c>
      <c r="D1184" s="73" t="s">
        <v>921</v>
      </c>
      <c r="E1184" s="74">
        <v>0.2</v>
      </c>
      <c r="F1184" s="78" t="s">
        <v>237</v>
      </c>
      <c r="G1184" s="77" t="s">
        <v>621</v>
      </c>
      <c r="H1184" t="str">
        <f>VLOOKUP(D1184,'DETALLE PRECIO INGREDIENTES'!B:B,1,0)</f>
        <v>PAPAS</v>
      </c>
    </row>
    <row r="1185" spans="2:8" ht="15.5" hidden="1" x14ac:dyDescent="0.35">
      <c r="B1185" s="75" t="s">
        <v>135</v>
      </c>
      <c r="C1185" s="75" t="s">
        <v>117</v>
      </c>
      <c r="D1185" s="73" t="s">
        <v>711</v>
      </c>
      <c r="E1185" s="74">
        <v>5.0000000000000001E-3</v>
      </c>
      <c r="F1185" s="78" t="s">
        <v>237</v>
      </c>
      <c r="G1185" s="77" t="s">
        <v>621</v>
      </c>
      <c r="H1185" t="str">
        <f>VLOOKUP(D1185,'DETALLE PRECIO INGREDIENTES'!B:B,1,0)</f>
        <v>ROMERO FRESCO EN RAMA</v>
      </c>
    </row>
    <row r="1186" spans="2:8" ht="15.5" hidden="1" x14ac:dyDescent="0.35">
      <c r="B1186" s="75" t="s">
        <v>135</v>
      </c>
      <c r="C1186" s="75" t="s">
        <v>117</v>
      </c>
      <c r="D1186" s="73" t="s">
        <v>916</v>
      </c>
      <c r="E1186" s="74">
        <v>2E-3</v>
      </c>
      <c r="F1186" s="78" t="s">
        <v>237</v>
      </c>
      <c r="G1186" s="77" t="s">
        <v>621</v>
      </c>
      <c r="H1186" t="str">
        <f>VLOOKUP(D1186,'DETALLE PRECIO INGREDIENTES'!B:B,1,0)</f>
        <v>TOMILLO FRESCO</v>
      </c>
    </row>
    <row r="1187" spans="2:8" ht="15.5" hidden="1" x14ac:dyDescent="0.35">
      <c r="B1187" s="75" t="s">
        <v>135</v>
      </c>
      <c r="C1187" s="75" t="s">
        <v>117</v>
      </c>
      <c r="D1187" s="73" t="s">
        <v>628</v>
      </c>
      <c r="E1187" s="74">
        <v>0.1</v>
      </c>
      <c r="F1187" s="78" t="s">
        <v>259</v>
      </c>
      <c r="G1187" s="77" t="s">
        <v>621</v>
      </c>
      <c r="H1187" t="str">
        <f>VLOOKUP(D1187,'DETALLE PRECIO INGREDIENTES'!B:B,1,0)</f>
        <v>AJO CABEZA</v>
      </c>
    </row>
    <row r="1188" spans="2:8" ht="15.5" hidden="1" x14ac:dyDescent="0.35">
      <c r="B1188" s="75" t="s">
        <v>135</v>
      </c>
      <c r="C1188" s="75" t="s">
        <v>117</v>
      </c>
      <c r="D1188" s="73" t="s">
        <v>309</v>
      </c>
      <c r="E1188" s="74">
        <v>5.0000000000000001E-4</v>
      </c>
      <c r="F1188" s="78" t="s">
        <v>237</v>
      </c>
      <c r="G1188" s="77" t="s">
        <v>220</v>
      </c>
      <c r="H1188" t="str">
        <f>VLOOKUP(D1188,'DETALLE PRECIO INGREDIENTES'!B:B,1,0)</f>
        <v>COMINO MOLIDO</v>
      </c>
    </row>
    <row r="1189" spans="2:8" ht="15.5" hidden="1" x14ac:dyDescent="0.35">
      <c r="B1189" s="75" t="s">
        <v>135</v>
      </c>
      <c r="C1189" s="75" t="s">
        <v>117</v>
      </c>
      <c r="D1189" s="73" t="s">
        <v>750</v>
      </c>
      <c r="E1189" s="74">
        <v>1.4999999999999999E-2</v>
      </c>
      <c r="F1189" s="78" t="s">
        <v>237</v>
      </c>
      <c r="G1189" s="77" t="s">
        <v>736</v>
      </c>
      <c r="H1189" t="str">
        <f>VLOOKUP(D1189,'DETALLE PRECIO INGREDIENTES'!B:B,1,0)</f>
        <v>MANTEQUILLA CON SAL</v>
      </c>
    </row>
    <row r="1190" spans="2:8" ht="15.5" hidden="1" x14ac:dyDescent="0.35">
      <c r="B1190" s="75" t="s">
        <v>135</v>
      </c>
      <c r="C1190" s="75" t="s">
        <v>117</v>
      </c>
      <c r="D1190" s="73" t="s">
        <v>354</v>
      </c>
      <c r="E1190" s="74">
        <v>1.4999999999999999E-2</v>
      </c>
      <c r="F1190" s="78" t="s">
        <v>237</v>
      </c>
      <c r="G1190" s="77" t="s">
        <v>220</v>
      </c>
      <c r="H1190" t="str">
        <f>VLOOKUP(D1190,'DETALLE PRECIO INGREDIENTES'!B:B,1,0)</f>
        <v>HARINA BIZCOCHERA</v>
      </c>
    </row>
    <row r="1191" spans="2:8" ht="15.5" hidden="1" x14ac:dyDescent="0.35">
      <c r="B1191" s="75" t="s">
        <v>135</v>
      </c>
      <c r="C1191" s="75" t="s">
        <v>117</v>
      </c>
      <c r="D1191" s="73" t="s">
        <v>725</v>
      </c>
      <c r="E1191" s="74">
        <v>3.5000000000000003E-2</v>
      </c>
      <c r="F1191" s="78" t="s">
        <v>237</v>
      </c>
      <c r="G1191" s="77" t="s">
        <v>724</v>
      </c>
      <c r="H1191" t="str">
        <f>VLOOKUP(D1191,'DETALLE PRECIO INGREDIENTES'!B:B,1,0)</f>
        <v>NUEZ CUARTILLO</v>
      </c>
    </row>
    <row r="1192" spans="2:8" ht="15.5" hidden="1" x14ac:dyDescent="0.35">
      <c r="B1192" s="75" t="s">
        <v>135</v>
      </c>
      <c r="C1192" s="75" t="s">
        <v>117</v>
      </c>
      <c r="D1192" s="73" t="s">
        <v>837</v>
      </c>
      <c r="E1192" s="74">
        <v>0.1</v>
      </c>
      <c r="F1192" s="78" t="s">
        <v>237</v>
      </c>
      <c r="G1192" s="77" t="s">
        <v>806</v>
      </c>
      <c r="H1192" t="str">
        <f>VLOOKUP(D1192,'DETALLE PRECIO INGREDIENTES'!B:B,1,0)</f>
        <v>REINETA FILETE FRESCA</v>
      </c>
    </row>
    <row r="1193" spans="2:8" ht="15.5" hidden="1" x14ac:dyDescent="0.35">
      <c r="B1193" s="75" t="s">
        <v>135</v>
      </c>
      <c r="C1193" s="75" t="s">
        <v>117</v>
      </c>
      <c r="D1193" s="73" t="s">
        <v>832</v>
      </c>
      <c r="E1193" s="74">
        <v>0.05</v>
      </c>
      <c r="F1193" s="78" t="s">
        <v>237</v>
      </c>
      <c r="G1193" s="77" t="s">
        <v>806</v>
      </c>
      <c r="H1193" t="str">
        <f>VLOOKUP(D1193,'DETALLE PRECIO INGREDIENTES'!B:B,1,0)</f>
        <v>OSTIONES CONGELADOS</v>
      </c>
    </row>
    <row r="1194" spans="2:8" ht="15.5" hidden="1" x14ac:dyDescent="0.35">
      <c r="B1194" s="75" t="s">
        <v>135</v>
      </c>
      <c r="C1194" s="75" t="s">
        <v>117</v>
      </c>
      <c r="D1194" s="73" t="s">
        <v>817</v>
      </c>
      <c r="E1194" s="74">
        <v>0.05</v>
      </c>
      <c r="F1194" s="78" t="s">
        <v>237</v>
      </c>
      <c r="G1194" s="77" t="s">
        <v>806</v>
      </c>
      <c r="H1194" t="str">
        <f>VLOOKUP(D1194,'DETALLE PRECIO INGREDIENTES'!B:B,1,0)</f>
        <v>CAMARON NACIONAL 100-200</v>
      </c>
    </row>
    <row r="1195" spans="2:8" ht="15.5" hidden="1" x14ac:dyDescent="0.35">
      <c r="B1195" s="75" t="s">
        <v>135</v>
      </c>
      <c r="C1195" s="75" t="s">
        <v>117</v>
      </c>
      <c r="D1195" s="73" t="s">
        <v>813</v>
      </c>
      <c r="E1195" s="74">
        <v>0.02</v>
      </c>
      <c r="F1195" s="78" t="s">
        <v>237</v>
      </c>
      <c r="G1195" s="77" t="s">
        <v>806</v>
      </c>
      <c r="H1195" t="str">
        <f>VLOOKUP(D1195,'DETALLE PRECIO INGREDIENTES'!B:B,1,0)</f>
        <v>CALAMAR VAINA CHICO</v>
      </c>
    </row>
    <row r="1196" spans="2:8" ht="15.5" hidden="1" x14ac:dyDescent="0.35">
      <c r="B1196" s="75" t="s">
        <v>135</v>
      </c>
      <c r="C1196" s="75" t="s">
        <v>117</v>
      </c>
      <c r="D1196" s="73" t="s">
        <v>955</v>
      </c>
      <c r="E1196" s="74">
        <v>7.4999999999999997E-2</v>
      </c>
      <c r="F1196" s="78" t="s">
        <v>222</v>
      </c>
      <c r="G1196" s="77" t="s">
        <v>736</v>
      </c>
      <c r="H1196" t="str">
        <f>VLOOKUP(D1196,'DETALLE PRECIO INGREDIENTES'!B:B,1,0)</f>
        <v>CREMA DE LECHE</v>
      </c>
    </row>
    <row r="1197" spans="2:8" ht="15.5" hidden="1" x14ac:dyDescent="0.35">
      <c r="B1197" s="75" t="s">
        <v>135</v>
      </c>
      <c r="C1197" s="75" t="s">
        <v>117</v>
      </c>
      <c r="D1197" s="73" t="s">
        <v>266</v>
      </c>
      <c r="E1197" s="74">
        <v>7.4999999999999997E-2</v>
      </c>
      <c r="F1197" s="78" t="s">
        <v>237</v>
      </c>
      <c r="G1197" s="77" t="s">
        <v>220</v>
      </c>
      <c r="H1197" t="str">
        <f>VLOOKUP(D1197,'DETALLE PRECIO INGREDIENTES'!B:B,1,0)</f>
        <v>ARROZ GRANO CORTO GRADO 1</v>
      </c>
    </row>
    <row r="1198" spans="2:8" ht="15.5" hidden="1" x14ac:dyDescent="0.35">
      <c r="B1198" s="75" t="s">
        <v>135</v>
      </c>
      <c r="C1198" s="75" t="s">
        <v>117</v>
      </c>
      <c r="D1198" s="73" t="s">
        <v>865</v>
      </c>
      <c r="E1198" s="74">
        <v>0.09</v>
      </c>
      <c r="F1198" s="78" t="s">
        <v>237</v>
      </c>
      <c r="G1198" s="77" t="s">
        <v>852</v>
      </c>
      <c r="H1198" t="str">
        <f>VLOOKUP(D1198,'DETALLE PRECIO INGREDIENTES'!B:B,1,0)</f>
        <v>VACUNO LENGUA</v>
      </c>
    </row>
    <row r="1199" spans="2:8" ht="15.5" hidden="1" x14ac:dyDescent="0.35">
      <c r="B1199" s="75" t="s">
        <v>135</v>
      </c>
      <c r="C1199" s="75" t="s">
        <v>116</v>
      </c>
      <c r="D1199" s="73" t="s">
        <v>926</v>
      </c>
      <c r="E1199" s="74">
        <v>0.125</v>
      </c>
      <c r="F1199" s="78" t="s">
        <v>237</v>
      </c>
      <c r="G1199" s="77" t="s">
        <v>621</v>
      </c>
      <c r="H1199" t="str">
        <f>VLOOKUP(D1199,'DETALLE PRECIO INGREDIENTES'!B:B,1,0)</f>
        <v>CEBOLLA BLANCA</v>
      </c>
    </row>
    <row r="1200" spans="2:8" ht="15.5" hidden="1" x14ac:dyDescent="0.35">
      <c r="B1200" s="75" t="s">
        <v>135</v>
      </c>
      <c r="C1200" s="75" t="s">
        <v>116</v>
      </c>
      <c r="D1200" s="73" t="s">
        <v>445</v>
      </c>
      <c r="E1200" s="74">
        <v>2E-3</v>
      </c>
      <c r="F1200" s="78" t="s">
        <v>237</v>
      </c>
      <c r="G1200" s="77" t="s">
        <v>220</v>
      </c>
      <c r="H1200" t="str">
        <f>VLOOKUP(D1200,'DETALLE PRECIO INGREDIENTES'!B:B,1,0)</f>
        <v>SAL DE MESA LOBOS</v>
      </c>
    </row>
    <row r="1201" spans="2:8" ht="15.5" hidden="1" x14ac:dyDescent="0.35">
      <c r="B1201" s="75" t="s">
        <v>135</v>
      </c>
      <c r="C1201" s="75" t="s">
        <v>116</v>
      </c>
      <c r="D1201" s="73" t="s">
        <v>428</v>
      </c>
      <c r="E1201" s="74">
        <v>1.5E-3</v>
      </c>
      <c r="F1201" s="78" t="s">
        <v>237</v>
      </c>
      <c r="G1201" s="77" t="s">
        <v>220</v>
      </c>
      <c r="H1201" t="str">
        <f>VLOOKUP(D1201,'DETALLE PRECIO INGREDIENTES'!B:B,1,0)</f>
        <v>PIMIENTA NEGRA MOLIDA</v>
      </c>
    </row>
    <row r="1202" spans="2:8" ht="15.5" hidden="1" x14ac:dyDescent="0.35">
      <c r="B1202" s="75" t="s">
        <v>135</v>
      </c>
      <c r="C1202" s="75" t="s">
        <v>116</v>
      </c>
      <c r="D1202" s="73" t="s">
        <v>234</v>
      </c>
      <c r="E1202" s="74">
        <v>3.7500000000000006E-2</v>
      </c>
      <c r="F1202" s="78" t="s">
        <v>222</v>
      </c>
      <c r="G1202" s="77" t="s">
        <v>220</v>
      </c>
      <c r="H1202" t="str">
        <f>VLOOKUP(D1202,'DETALLE PRECIO INGREDIENTES'!B:B,1,0)</f>
        <v>ACEITE SEMILLA DE GIRASOL</v>
      </c>
    </row>
    <row r="1203" spans="2:8" ht="15.5" hidden="1" x14ac:dyDescent="0.35">
      <c r="B1203" s="75" t="s">
        <v>135</v>
      </c>
      <c r="C1203" s="75" t="s">
        <v>116</v>
      </c>
      <c r="D1203" s="73" t="s">
        <v>956</v>
      </c>
      <c r="E1203" s="74">
        <v>1E-3</v>
      </c>
      <c r="F1203" s="78" t="s">
        <v>237</v>
      </c>
      <c r="G1203" s="77" t="s">
        <v>220</v>
      </c>
      <c r="H1203" t="str">
        <f>VLOOKUP(D1203,'DETALLE PRECIO INGREDIENTES'!B:B,1,0)</f>
        <v>COMINO MOLIDO</v>
      </c>
    </row>
    <row r="1204" spans="2:8" ht="15.5" hidden="1" x14ac:dyDescent="0.35">
      <c r="B1204" s="75" t="s">
        <v>135</v>
      </c>
      <c r="C1204" s="75" t="s">
        <v>116</v>
      </c>
      <c r="D1204" s="73" t="s">
        <v>921</v>
      </c>
      <c r="E1204" s="74">
        <v>0.14000000000000001</v>
      </c>
      <c r="F1204" s="78" t="s">
        <v>237</v>
      </c>
      <c r="G1204" s="77" t="s">
        <v>621</v>
      </c>
      <c r="H1204" t="str">
        <f>VLOOKUP(D1204,'DETALLE PRECIO INGREDIENTES'!B:B,1,0)</f>
        <v>PAPAS</v>
      </c>
    </row>
    <row r="1205" spans="2:8" ht="15.5" hidden="1" x14ac:dyDescent="0.35">
      <c r="B1205" s="75" t="s">
        <v>135</v>
      </c>
      <c r="C1205" s="75" t="s">
        <v>116</v>
      </c>
      <c r="D1205" s="73" t="s">
        <v>750</v>
      </c>
      <c r="E1205" s="74">
        <v>1.4E-2</v>
      </c>
      <c r="F1205" s="78" t="s">
        <v>237</v>
      </c>
      <c r="G1205" s="77" t="s">
        <v>736</v>
      </c>
      <c r="H1205" t="str">
        <f>VLOOKUP(D1205,'DETALLE PRECIO INGREDIENTES'!B:B,1,0)</f>
        <v>MANTEQUILLA CON SAL</v>
      </c>
    </row>
    <row r="1206" spans="2:8" ht="15.5" hidden="1" x14ac:dyDescent="0.35">
      <c r="B1206" s="75" t="s">
        <v>135</v>
      </c>
      <c r="C1206" s="75" t="s">
        <v>116</v>
      </c>
      <c r="D1206" s="73" t="s">
        <v>748</v>
      </c>
      <c r="E1206" s="74">
        <v>7.0000000000000007E-2</v>
      </c>
      <c r="F1206" s="78" t="s">
        <v>222</v>
      </c>
      <c r="G1206" s="77" t="s">
        <v>736</v>
      </c>
      <c r="H1206" t="str">
        <f>VLOOKUP(D1206,'DETALLE PRECIO INGREDIENTES'!B:B,1,0)</f>
        <v>LECHE ENTERA</v>
      </c>
    </row>
    <row r="1207" spans="2:8" ht="15.5" hidden="1" x14ac:dyDescent="0.35">
      <c r="B1207" s="75" t="s">
        <v>135</v>
      </c>
      <c r="C1207" s="75" t="s">
        <v>116</v>
      </c>
      <c r="D1207" s="73" t="s">
        <v>908</v>
      </c>
      <c r="E1207" s="74">
        <v>0.25</v>
      </c>
      <c r="F1207" s="78" t="s">
        <v>259</v>
      </c>
      <c r="G1207" s="77" t="s">
        <v>621</v>
      </c>
      <c r="H1207" t="str">
        <f>VLOOKUP(D1207,'DETALLE PRECIO INGREDIENTES'!B:B,1,0)</f>
        <v>AJO CABEZA</v>
      </c>
    </row>
    <row r="1208" spans="2:8" ht="15.5" hidden="1" x14ac:dyDescent="0.35">
      <c r="B1208" s="75" t="s">
        <v>135</v>
      </c>
      <c r="C1208" s="75" t="s">
        <v>116</v>
      </c>
      <c r="D1208" s="73" t="s">
        <v>939</v>
      </c>
      <c r="E1208" s="74">
        <v>2E-3</v>
      </c>
      <c r="F1208" s="78" t="s">
        <v>237</v>
      </c>
      <c r="G1208" s="77" t="s">
        <v>220</v>
      </c>
      <c r="H1208" t="str">
        <f>VLOOKUP(D1208,'DETALLE PRECIO INGREDIENTES'!B:B,1,0)</f>
        <v>AJI DE COLOR</v>
      </c>
    </row>
    <row r="1209" spans="2:8" ht="15.5" hidden="1" x14ac:dyDescent="0.35">
      <c r="B1209" s="75" t="s">
        <v>135</v>
      </c>
      <c r="C1209" s="75" t="s">
        <v>116</v>
      </c>
      <c r="D1209" s="73" t="s">
        <v>860</v>
      </c>
      <c r="E1209" s="74">
        <v>0.2</v>
      </c>
      <c r="F1209" s="78" t="s">
        <v>986</v>
      </c>
      <c r="G1209" s="77" t="s">
        <v>852</v>
      </c>
      <c r="H1209" t="str">
        <f>VLOOKUP(D1209,'DETALLE PRECIO INGREDIENTES'!B:B,1,0)</f>
        <v>VACUNO CHOCLILLO</v>
      </c>
    </row>
    <row r="1210" spans="2:8" ht="15.5" hidden="1" x14ac:dyDescent="0.35">
      <c r="B1210" s="75" t="s">
        <v>135</v>
      </c>
      <c r="C1210" s="75" t="s">
        <v>116</v>
      </c>
      <c r="D1210" s="73" t="s">
        <v>911</v>
      </c>
      <c r="E1210" s="74">
        <v>1E-3</v>
      </c>
      <c r="F1210" s="78" t="s">
        <v>237</v>
      </c>
      <c r="G1210" s="77" t="s">
        <v>220</v>
      </c>
      <c r="H1210" t="str">
        <f>VLOOKUP(D1210,'DETALLE PRECIO INGREDIENTES'!B:B,1,0)</f>
        <v>LAUREL</v>
      </c>
    </row>
    <row r="1211" spans="2:8" ht="15.5" hidden="1" x14ac:dyDescent="0.35">
      <c r="B1211" s="75" t="s">
        <v>135</v>
      </c>
      <c r="C1211" s="75" t="s">
        <v>116</v>
      </c>
      <c r="D1211" s="73" t="s">
        <v>957</v>
      </c>
      <c r="E1211" s="74">
        <v>2E-3</v>
      </c>
      <c r="F1211" s="78" t="s">
        <v>237</v>
      </c>
      <c r="G1211" s="77" t="s">
        <v>220</v>
      </c>
      <c r="H1211" t="str">
        <f>VLOOKUP(D1211,'DETALLE PRECIO INGREDIENTES'!B:B,1,0)</f>
        <v>MERKEN</v>
      </c>
    </row>
    <row r="1212" spans="2:8" ht="15.5" hidden="1" x14ac:dyDescent="0.35">
      <c r="B1212" s="75" t="s">
        <v>135</v>
      </c>
      <c r="C1212" s="75" t="s">
        <v>116</v>
      </c>
      <c r="D1212" s="73" t="s">
        <v>716</v>
      </c>
      <c r="E1212" s="74">
        <v>0.19500000000000001</v>
      </c>
      <c r="F1212" s="78" t="s">
        <v>237</v>
      </c>
      <c r="G1212" s="77" t="s">
        <v>621</v>
      </c>
      <c r="H1212" t="str">
        <f>VLOOKUP(D1212,'DETALLE PRECIO INGREDIENTES'!B:B,1,0)</f>
        <v>TOMATE LARGA VIDA</v>
      </c>
    </row>
    <row r="1213" spans="2:8" ht="15.5" hidden="1" x14ac:dyDescent="0.35">
      <c r="B1213" s="75" t="s">
        <v>135</v>
      </c>
      <c r="C1213" s="75" t="s">
        <v>116</v>
      </c>
      <c r="D1213" s="73" t="s">
        <v>277</v>
      </c>
      <c r="E1213" s="74">
        <v>5.0000000000000001E-3</v>
      </c>
      <c r="F1213" s="78" t="s">
        <v>237</v>
      </c>
      <c r="G1213" s="77" t="s">
        <v>220</v>
      </c>
      <c r="H1213" t="str">
        <f>VLOOKUP(D1213,'DETALLE PRECIO INGREDIENTES'!B:B,1,0)</f>
        <v>AZUCAR BLANCA GRANULADA</v>
      </c>
    </row>
    <row r="1214" spans="2:8" ht="15.5" hidden="1" x14ac:dyDescent="0.35">
      <c r="B1214" s="75" t="s">
        <v>135</v>
      </c>
      <c r="C1214" s="75" t="s">
        <v>116</v>
      </c>
      <c r="D1214" s="73" t="s">
        <v>290</v>
      </c>
      <c r="E1214" s="74">
        <v>5.0000000000000001E-3</v>
      </c>
      <c r="F1214" s="78" t="s">
        <v>237</v>
      </c>
      <c r="G1214" s="77" t="s">
        <v>220</v>
      </c>
      <c r="H1214" t="str">
        <f>VLOOKUP(D1214,'DETALLE PRECIO INGREDIENTES'!B:B,1,0)</f>
        <v>CALDO DE CARNE</v>
      </c>
    </row>
    <row r="1215" spans="2:8" ht="15.5" hidden="1" x14ac:dyDescent="0.35">
      <c r="B1215" s="75" t="s">
        <v>135</v>
      </c>
      <c r="C1215" s="75" t="s">
        <v>116</v>
      </c>
      <c r="D1215" s="73" t="s">
        <v>653</v>
      </c>
      <c r="E1215" s="74">
        <v>0.1</v>
      </c>
      <c r="F1215" s="78" t="s">
        <v>237</v>
      </c>
      <c r="G1215" s="77" t="s">
        <v>621</v>
      </c>
      <c r="H1215" t="str">
        <f>VLOOKUP(D1215,'DETALLE PRECIO INGREDIENTES'!B:B,1,0)</f>
        <v>CHOCLO GRANO CONGELADO</v>
      </c>
    </row>
    <row r="1216" spans="2:8" ht="15.5" hidden="1" x14ac:dyDescent="0.35">
      <c r="B1216" s="75" t="s">
        <v>135</v>
      </c>
      <c r="C1216" s="75" t="s">
        <v>116</v>
      </c>
      <c r="D1216" s="73" t="s">
        <v>927</v>
      </c>
      <c r="E1216" s="74">
        <v>2.5000000000000001E-2</v>
      </c>
      <c r="F1216" s="78" t="s">
        <v>237</v>
      </c>
      <c r="G1216" s="77" t="s">
        <v>621</v>
      </c>
      <c r="H1216" t="str">
        <f>VLOOKUP(D1216,'DETALLE PRECIO INGREDIENTES'!B:B,1,0)</f>
        <v>CILANTRO</v>
      </c>
    </row>
    <row r="1217" spans="2:8" ht="15.5" hidden="1" x14ac:dyDescent="0.35">
      <c r="B1217" s="75" t="s">
        <v>135</v>
      </c>
      <c r="C1217" s="75" t="s">
        <v>116</v>
      </c>
      <c r="D1217" s="73" t="s">
        <v>269</v>
      </c>
      <c r="E1217" s="74">
        <v>0.115</v>
      </c>
      <c r="F1217" s="78" t="s">
        <v>237</v>
      </c>
      <c r="G1217" s="77" t="s">
        <v>220</v>
      </c>
      <c r="H1217" t="str">
        <f>VLOOKUP(D1217,'DETALLE PRECIO INGREDIENTES'!B:B,1,0)</f>
        <v>ARROZ GRANO LARGO GRADO 2</v>
      </c>
    </row>
    <row r="1218" spans="2:8" ht="15.5" hidden="1" x14ac:dyDescent="0.35">
      <c r="B1218" s="75" t="s">
        <v>135</v>
      </c>
      <c r="C1218" s="75" t="s">
        <v>116</v>
      </c>
      <c r="D1218" s="73" t="s">
        <v>918</v>
      </c>
      <c r="E1218" s="74">
        <v>0.25</v>
      </c>
      <c r="F1218" s="78" t="s">
        <v>259</v>
      </c>
      <c r="G1218" s="77" t="s">
        <v>621</v>
      </c>
      <c r="H1218" t="str">
        <f>VLOOKUP(D1218,'DETALLE PRECIO INGREDIENTES'!B:B,1,0)</f>
        <v>PIMIENTO ROJO</v>
      </c>
    </row>
    <row r="1219" spans="2:8" ht="15.5" hidden="1" x14ac:dyDescent="0.35">
      <c r="B1219" s="75" t="s">
        <v>135</v>
      </c>
      <c r="C1219" s="75" t="s">
        <v>116</v>
      </c>
      <c r="D1219" s="73" t="s">
        <v>878</v>
      </c>
      <c r="E1219" s="74">
        <v>2.8000000000000001E-2</v>
      </c>
      <c r="F1219" s="78" t="s">
        <v>222</v>
      </c>
      <c r="G1219" s="77" t="s">
        <v>876</v>
      </c>
      <c r="H1219" t="str">
        <f>VLOOKUP(D1219,'DETALLE PRECIO INGREDIENTES'!B:B,1,0)</f>
        <v>VINO BLANCO TETRA PACK</v>
      </c>
    </row>
    <row r="1220" spans="2:8" ht="15.5" hidden="1" x14ac:dyDescent="0.35">
      <c r="B1220" s="75" t="s">
        <v>135</v>
      </c>
      <c r="C1220" s="75" t="s">
        <v>116</v>
      </c>
      <c r="D1220" s="73" t="s">
        <v>826</v>
      </c>
      <c r="E1220" s="74">
        <v>0.13700000000000001</v>
      </c>
      <c r="F1220" s="78" t="s">
        <v>237</v>
      </c>
      <c r="G1220" s="77" t="s">
        <v>806</v>
      </c>
      <c r="H1220" t="str">
        <f>VLOOKUP(D1220,'DETALLE PRECIO INGREDIENTES'!B:B,1,0)</f>
        <v>JAIBA CARNE</v>
      </c>
    </row>
    <row r="1221" spans="2:8" ht="15.5" hidden="1" x14ac:dyDescent="0.35">
      <c r="B1221" s="75" t="s">
        <v>135</v>
      </c>
      <c r="C1221" s="75" t="s">
        <v>116</v>
      </c>
      <c r="D1221" s="73" t="s">
        <v>958</v>
      </c>
      <c r="E1221" s="74">
        <v>0.25</v>
      </c>
      <c r="F1221" s="78" t="s">
        <v>259</v>
      </c>
      <c r="G1221" s="77" t="s">
        <v>795</v>
      </c>
      <c r="H1221" t="str">
        <f>VLOOKUP(D1221,'DETALLE PRECIO INGREDIENTES'!B:B,1,0)</f>
        <v>PAN MARRAQUETA</v>
      </c>
    </row>
    <row r="1222" spans="2:8" ht="15.5" hidden="1" x14ac:dyDescent="0.35">
      <c r="B1222" s="75" t="s">
        <v>135</v>
      </c>
      <c r="C1222" s="75" t="s">
        <v>116</v>
      </c>
      <c r="D1222" s="73" t="s">
        <v>955</v>
      </c>
      <c r="E1222" s="74">
        <v>2.8000000000000001E-2</v>
      </c>
      <c r="F1222" s="78" t="s">
        <v>222</v>
      </c>
      <c r="G1222" s="77" t="s">
        <v>736</v>
      </c>
      <c r="H1222" t="str">
        <f>VLOOKUP(D1222,'DETALLE PRECIO INGREDIENTES'!B:B,1,0)</f>
        <v>CREMA DE LECHE</v>
      </c>
    </row>
    <row r="1223" spans="2:8" ht="15.5" hidden="1" x14ac:dyDescent="0.35">
      <c r="B1223" s="75" t="s">
        <v>135</v>
      </c>
      <c r="C1223" s="75" t="s">
        <v>116</v>
      </c>
      <c r="D1223" s="73" t="s">
        <v>944</v>
      </c>
      <c r="E1223" s="74">
        <v>0.02</v>
      </c>
      <c r="F1223" s="78" t="s">
        <v>237</v>
      </c>
      <c r="G1223" s="77" t="s">
        <v>736</v>
      </c>
      <c r="H1223" t="str">
        <f>VLOOKUP(D1223,'DETALLE PRECIO INGREDIENTES'!B:B,1,0)</f>
        <v>QUESO PARMESANO</v>
      </c>
    </row>
    <row r="1224" spans="2:8" ht="15.5" hidden="1" x14ac:dyDescent="0.35">
      <c r="B1224" s="75" t="s">
        <v>135</v>
      </c>
      <c r="C1224" s="75" t="s">
        <v>116</v>
      </c>
      <c r="D1224" s="73" t="s">
        <v>959</v>
      </c>
      <c r="E1224" s="74">
        <v>0.1</v>
      </c>
      <c r="F1224" s="78" t="s">
        <v>237</v>
      </c>
      <c r="G1224" s="77" t="s">
        <v>621</v>
      </c>
      <c r="H1224" t="str">
        <f>VLOOKUP(D1224,'DETALLE PRECIO INGREDIENTES'!B:B,1,0)</f>
        <v>ZAPALLO CAMOTE</v>
      </c>
    </row>
    <row r="1225" spans="2:8" ht="15.5" hidden="1" x14ac:dyDescent="0.35">
      <c r="B1225" s="75" t="s">
        <v>135</v>
      </c>
      <c r="C1225" s="75" t="s">
        <v>116</v>
      </c>
      <c r="D1225" s="73" t="s">
        <v>720</v>
      </c>
      <c r="E1225" s="74">
        <v>2.7E-2</v>
      </c>
      <c r="F1225" s="78" t="s">
        <v>237</v>
      </c>
      <c r="G1225" s="77" t="s">
        <v>621</v>
      </c>
      <c r="H1225" t="str">
        <f>VLOOKUP(D1225,'DETALLE PRECIO INGREDIENTES'!B:B,1,0)</f>
        <v>ZANAHORIA</v>
      </c>
    </row>
    <row r="1226" spans="2:8" ht="15.5" hidden="1" x14ac:dyDescent="0.35">
      <c r="B1226" s="75" t="s">
        <v>135</v>
      </c>
      <c r="C1226" s="75" t="s">
        <v>116</v>
      </c>
      <c r="D1226" s="73" t="s">
        <v>706</v>
      </c>
      <c r="E1226" s="74">
        <v>2.7E-2</v>
      </c>
      <c r="F1226" s="78" t="s">
        <v>237</v>
      </c>
      <c r="G1226" s="77" t="s">
        <v>621</v>
      </c>
      <c r="H1226" t="str">
        <f>VLOOKUP(D1226,'DETALLE PRECIO INGREDIENTES'!B:B,1,0)</f>
        <v>POROTOS VERDES FRESCOS</v>
      </c>
    </row>
    <row r="1227" spans="2:8" ht="15.5" hidden="1" x14ac:dyDescent="0.35">
      <c r="B1227" s="75" t="s">
        <v>135</v>
      </c>
      <c r="C1227" s="75" t="s">
        <v>116</v>
      </c>
      <c r="D1227" s="73" t="s">
        <v>654</v>
      </c>
      <c r="E1227" s="74">
        <v>0.5</v>
      </c>
      <c r="F1227" s="78" t="s">
        <v>259</v>
      </c>
      <c r="G1227" s="77" t="s">
        <v>621</v>
      </c>
      <c r="H1227" t="str">
        <f>VLOOKUP(D1227,'DETALLE PRECIO INGREDIENTES'!B:B,1,0)</f>
        <v>CHOCLO HUMERO ENTERO</v>
      </c>
    </row>
    <row r="1228" spans="2:8" ht="15.5" hidden="1" x14ac:dyDescent="0.35">
      <c r="B1228" s="75" t="s">
        <v>135</v>
      </c>
      <c r="C1228" s="75" t="s">
        <v>116</v>
      </c>
      <c r="D1228" s="73" t="s">
        <v>407</v>
      </c>
      <c r="E1228" s="74">
        <v>2E-3</v>
      </c>
      <c r="F1228" s="78" t="s">
        <v>237</v>
      </c>
      <c r="G1228" s="77" t="s">
        <v>220</v>
      </c>
      <c r="H1228" t="str">
        <f>VLOOKUP(D1228,'DETALLE PRECIO INGREDIENTES'!B:B,1,0)</f>
        <v>OREGANO SECO</v>
      </c>
    </row>
    <row r="1229" spans="2:8" ht="15.5" hidden="1" x14ac:dyDescent="0.35">
      <c r="B1229" s="75" t="s">
        <v>135</v>
      </c>
      <c r="C1229" s="75" t="s">
        <v>116</v>
      </c>
      <c r="D1229" s="73" t="s">
        <v>874</v>
      </c>
      <c r="E1229" s="74">
        <v>0.11</v>
      </c>
      <c r="F1229" s="78" t="s">
        <v>237</v>
      </c>
      <c r="G1229" s="77" t="s">
        <v>852</v>
      </c>
      <c r="H1229" t="str">
        <f>VLOOKUP(D1229,'DETALLE PRECIO INGREDIENTES'!B:B,1,0)</f>
        <v>VACUNO PUNTA PALETA</v>
      </c>
    </row>
    <row r="1230" spans="2:8" ht="15.5" hidden="1" x14ac:dyDescent="0.35">
      <c r="B1230" s="75" t="s">
        <v>135</v>
      </c>
      <c r="C1230" s="75" t="s">
        <v>115</v>
      </c>
      <c r="D1230" s="73" t="s">
        <v>845</v>
      </c>
      <c r="E1230" s="74">
        <v>0.25</v>
      </c>
      <c r="F1230" s="78" t="s">
        <v>237</v>
      </c>
      <c r="G1230" s="77" t="s">
        <v>839</v>
      </c>
      <c r="H1230" t="str">
        <f>VLOOKUP(D1230,'DETALLE PRECIO INGREDIENTES'!B:B,1,0)</f>
        <v>POLLO TRUTRO CORTO</v>
      </c>
    </row>
    <row r="1231" spans="2:8" ht="15.5" hidden="1" x14ac:dyDescent="0.35">
      <c r="B1231" s="75" t="s">
        <v>135</v>
      </c>
      <c r="C1231" s="75" t="s">
        <v>115</v>
      </c>
      <c r="D1231" s="73" t="s">
        <v>878</v>
      </c>
      <c r="E1231" s="74">
        <v>0.03</v>
      </c>
      <c r="F1231" s="78" t="s">
        <v>222</v>
      </c>
      <c r="G1231" s="77" t="s">
        <v>876</v>
      </c>
      <c r="H1231" t="str">
        <f>VLOOKUP(D1231,'DETALLE PRECIO INGREDIENTES'!B:B,1,0)</f>
        <v>VINO BLANCO TETRA PACK</v>
      </c>
    </row>
    <row r="1232" spans="2:8" ht="15.5" hidden="1" x14ac:dyDescent="0.35">
      <c r="B1232" s="75" t="s">
        <v>135</v>
      </c>
      <c r="C1232" s="75" t="s">
        <v>115</v>
      </c>
      <c r="D1232" s="73" t="s">
        <v>779</v>
      </c>
      <c r="E1232" s="74">
        <v>0.03</v>
      </c>
      <c r="F1232" s="78" t="s">
        <v>259</v>
      </c>
      <c r="G1232" s="77" t="s">
        <v>776</v>
      </c>
      <c r="H1232" t="str">
        <f>VLOOKUP(D1232,'DETALLE PRECIO INGREDIENTES'!B:B,1,0)</f>
        <v>COÑAC TRES PALOS</v>
      </c>
    </row>
    <row r="1233" spans="2:8" ht="15.5" hidden="1" x14ac:dyDescent="0.35">
      <c r="B1233" s="75" t="s">
        <v>135</v>
      </c>
      <c r="C1233" s="75" t="s">
        <v>115</v>
      </c>
      <c r="D1233" s="73" t="s">
        <v>370</v>
      </c>
      <c r="E1233" s="74">
        <v>1E-3</v>
      </c>
      <c r="F1233" s="78" t="s">
        <v>237</v>
      </c>
      <c r="G1233" s="77" t="s">
        <v>220</v>
      </c>
      <c r="H1233" t="str">
        <f>VLOOKUP(D1233,'DETALLE PRECIO INGREDIENTES'!B:B,1,0)</f>
        <v>LAUREL</v>
      </c>
    </row>
    <row r="1234" spans="2:8" ht="15.5" hidden="1" x14ac:dyDescent="0.35">
      <c r="B1234" s="75" t="s">
        <v>135</v>
      </c>
      <c r="C1234" s="75" t="s">
        <v>115</v>
      </c>
      <c r="D1234" s="73" t="s">
        <v>248</v>
      </c>
      <c r="E1234" s="74">
        <v>2E-3</v>
      </c>
      <c r="F1234" s="78" t="s">
        <v>237</v>
      </c>
      <c r="G1234" s="77" t="s">
        <v>220</v>
      </c>
      <c r="H1234" t="str">
        <f>VLOOKUP(D1234,'DETALLE PRECIO INGREDIENTES'!B:B,1,0)</f>
        <v>AJI DE COLOR</v>
      </c>
    </row>
    <row r="1235" spans="2:8" ht="15.5" hidden="1" x14ac:dyDescent="0.35">
      <c r="B1235" s="75" t="s">
        <v>135</v>
      </c>
      <c r="C1235" s="75" t="s">
        <v>115</v>
      </c>
      <c r="D1235" s="73" t="s">
        <v>445</v>
      </c>
      <c r="E1235" s="74">
        <v>2E-3</v>
      </c>
      <c r="F1235" s="78" t="s">
        <v>237</v>
      </c>
      <c r="G1235" s="77" t="s">
        <v>220</v>
      </c>
      <c r="H1235" t="str">
        <f>VLOOKUP(D1235,'DETALLE PRECIO INGREDIENTES'!B:B,1,0)</f>
        <v>SAL DE MESA LOBOS</v>
      </c>
    </row>
    <row r="1236" spans="2:8" ht="15.5" hidden="1" x14ac:dyDescent="0.35">
      <c r="B1236" s="75" t="s">
        <v>135</v>
      </c>
      <c r="C1236" s="75" t="s">
        <v>115</v>
      </c>
      <c r="D1236" s="73" t="s">
        <v>428</v>
      </c>
      <c r="E1236" s="74">
        <v>1E-3</v>
      </c>
      <c r="F1236" s="78" t="s">
        <v>237</v>
      </c>
      <c r="G1236" s="77" t="s">
        <v>220</v>
      </c>
      <c r="H1236" t="str">
        <f>VLOOKUP(D1236,'DETALLE PRECIO INGREDIENTES'!B:B,1,0)</f>
        <v>PIMIENTA NEGRA MOLIDA</v>
      </c>
    </row>
    <row r="1237" spans="2:8" ht="15.5" hidden="1" x14ac:dyDescent="0.35">
      <c r="B1237" s="75" t="s">
        <v>135</v>
      </c>
      <c r="C1237" s="75" t="s">
        <v>115</v>
      </c>
      <c r="D1237" s="73" t="s">
        <v>720</v>
      </c>
      <c r="E1237" s="74">
        <v>0.05</v>
      </c>
      <c r="F1237" s="78" t="s">
        <v>237</v>
      </c>
      <c r="G1237" s="77" t="s">
        <v>621</v>
      </c>
      <c r="H1237" t="str">
        <f>VLOOKUP(D1237,'DETALLE PRECIO INGREDIENTES'!B:B,1,0)</f>
        <v>ZANAHORIA</v>
      </c>
    </row>
    <row r="1238" spans="2:8" ht="15.5" hidden="1" x14ac:dyDescent="0.35">
      <c r="B1238" s="75" t="s">
        <v>135</v>
      </c>
      <c r="C1238" s="75" t="s">
        <v>115</v>
      </c>
      <c r="D1238" s="73" t="s">
        <v>228</v>
      </c>
      <c r="E1238" s="74">
        <v>0.02</v>
      </c>
      <c r="F1238" s="78" t="s">
        <v>222</v>
      </c>
      <c r="G1238" s="77" t="s">
        <v>220</v>
      </c>
      <c r="H1238" t="str">
        <f>VLOOKUP(D1238,'DETALLE PRECIO INGREDIENTES'!B:B,1,0)</f>
        <v>ACEITE DE MARAVILLA</v>
      </c>
    </row>
    <row r="1239" spans="2:8" ht="15.5" hidden="1" x14ac:dyDescent="0.35">
      <c r="B1239" s="75" t="s">
        <v>135</v>
      </c>
      <c r="C1239" s="75" t="s">
        <v>115</v>
      </c>
      <c r="D1239" s="73" t="s">
        <v>644</v>
      </c>
      <c r="E1239" s="74">
        <v>0.1</v>
      </c>
      <c r="F1239" s="78" t="s">
        <v>237</v>
      </c>
      <c r="G1239" s="77" t="s">
        <v>621</v>
      </c>
      <c r="H1239" t="str">
        <f>VLOOKUP(D1239,'DETALLE PRECIO INGREDIENTES'!B:B,1,0)</f>
        <v>CEBOLLA BLANCA</v>
      </c>
    </row>
    <row r="1240" spans="2:8" ht="15.5" x14ac:dyDescent="0.35">
      <c r="B1240" s="75" t="s">
        <v>135</v>
      </c>
      <c r="C1240" s="75" t="s">
        <v>115</v>
      </c>
      <c r="D1240" s="73" t="s">
        <v>960</v>
      </c>
      <c r="E1240" s="74">
        <v>1</v>
      </c>
      <c r="F1240" s="78" t="s">
        <v>259</v>
      </c>
      <c r="G1240" s="77" t="s">
        <v>621</v>
      </c>
      <c r="H1240" t="e">
        <f>VLOOKUP(D1240,'DETALLE PRECIO INGREDIENTES'!B:B,1,0)</f>
        <v>#N/A</v>
      </c>
    </row>
    <row r="1241" spans="2:8" ht="15.5" hidden="1" x14ac:dyDescent="0.35">
      <c r="B1241" s="75" t="s">
        <v>135</v>
      </c>
      <c r="C1241" s="75" t="s">
        <v>115</v>
      </c>
      <c r="D1241" s="73" t="s">
        <v>230</v>
      </c>
      <c r="E1241" s="74">
        <v>0.02</v>
      </c>
      <c r="F1241" s="78" t="s">
        <v>222</v>
      </c>
      <c r="G1241" s="77" t="s">
        <v>220</v>
      </c>
      <c r="H1241" t="str">
        <f>VLOOKUP(D1241,'DETALLE PRECIO INGREDIENTES'!B:B,1,0)</f>
        <v>ACEITE DE OLIVA</v>
      </c>
    </row>
    <row r="1242" spans="2:8" ht="15.5" hidden="1" x14ac:dyDescent="0.35">
      <c r="B1242" s="75" t="s">
        <v>135</v>
      </c>
      <c r="C1242" s="75" t="s">
        <v>115</v>
      </c>
      <c r="D1242" s="73" t="s">
        <v>711</v>
      </c>
      <c r="E1242" s="74">
        <v>5.0000000000000001E-3</v>
      </c>
      <c r="F1242" s="78" t="s">
        <v>237</v>
      </c>
      <c r="G1242" s="77" t="s">
        <v>621</v>
      </c>
      <c r="H1242" t="str">
        <f>VLOOKUP(D1242,'DETALLE PRECIO INGREDIENTES'!B:B,1,0)</f>
        <v>ROMERO FRESCO EN RAMA</v>
      </c>
    </row>
    <row r="1243" spans="2:8" ht="15.5" hidden="1" x14ac:dyDescent="0.35">
      <c r="B1243" s="75" t="s">
        <v>135</v>
      </c>
      <c r="C1243" s="75" t="s">
        <v>115</v>
      </c>
      <c r="D1243" s="73" t="s">
        <v>718</v>
      </c>
      <c r="E1243" s="74">
        <v>0.05</v>
      </c>
      <c r="F1243" s="78" t="s">
        <v>237</v>
      </c>
      <c r="G1243" s="77" t="s">
        <v>621</v>
      </c>
      <c r="H1243" t="str">
        <f>VLOOKUP(D1243,'DETALLE PRECIO INGREDIENTES'!B:B,1,0)</f>
        <v>TOMILLO FRESCO</v>
      </c>
    </row>
    <row r="1244" spans="2:8" ht="15.5" hidden="1" x14ac:dyDescent="0.35">
      <c r="B1244" s="75" t="s">
        <v>135</v>
      </c>
      <c r="C1244" s="75" t="s">
        <v>115</v>
      </c>
      <c r="D1244" s="73" t="s">
        <v>628</v>
      </c>
      <c r="E1244" s="74">
        <v>0.1</v>
      </c>
      <c r="F1244" s="78" t="s">
        <v>259</v>
      </c>
      <c r="G1244" s="77" t="s">
        <v>621</v>
      </c>
      <c r="H1244" t="str">
        <f>VLOOKUP(D1244,'DETALLE PRECIO INGREDIENTES'!B:B,1,0)</f>
        <v>AJO CABEZA</v>
      </c>
    </row>
    <row r="1245" spans="2:8" ht="15.5" hidden="1" x14ac:dyDescent="0.35">
      <c r="B1245" s="75" t="s">
        <v>135</v>
      </c>
      <c r="C1245" s="75" t="s">
        <v>115</v>
      </c>
      <c r="D1245" s="73" t="s">
        <v>354</v>
      </c>
      <c r="E1245" s="74">
        <v>0.22</v>
      </c>
      <c r="F1245" s="78" t="s">
        <v>237</v>
      </c>
      <c r="G1245" s="77" t="s">
        <v>220</v>
      </c>
      <c r="H1245" t="str">
        <f>VLOOKUP(D1245,'DETALLE PRECIO INGREDIENTES'!B:B,1,0)</f>
        <v>HARINA BIZCOCHERA</v>
      </c>
    </row>
    <row r="1246" spans="2:8" ht="15.5" hidden="1" x14ac:dyDescent="0.35">
      <c r="B1246" s="75" t="s">
        <v>135</v>
      </c>
      <c r="C1246" s="75" t="s">
        <v>115</v>
      </c>
      <c r="D1246" s="73" t="s">
        <v>381</v>
      </c>
      <c r="E1246" s="74">
        <v>0.02</v>
      </c>
      <c r="F1246" s="78" t="s">
        <v>237</v>
      </c>
      <c r="G1246" s="77" t="s">
        <v>220</v>
      </c>
      <c r="H1246" t="str">
        <f>VLOOKUP(D1246,'DETALLE PRECIO INGREDIENTES'!B:B,1,0)</f>
        <v>MANTECA VEGETAL</v>
      </c>
    </row>
    <row r="1247" spans="2:8" ht="15.5" hidden="1" x14ac:dyDescent="0.35">
      <c r="B1247" s="75" t="s">
        <v>135</v>
      </c>
      <c r="C1247" s="75" t="s">
        <v>115</v>
      </c>
      <c r="D1247" s="73" t="s">
        <v>729</v>
      </c>
      <c r="E1247" s="74">
        <v>0.25</v>
      </c>
      <c r="F1247" s="78" t="s">
        <v>259</v>
      </c>
      <c r="G1247" s="77" t="s">
        <v>728</v>
      </c>
      <c r="H1247" t="str">
        <f>VLOOKUP(D1247,'DETALLE PRECIO INGREDIENTES'!B:B,1,0)</f>
        <v>HUEVO EXTRA BLANCO</v>
      </c>
    </row>
    <row r="1248" spans="2:8" ht="15.5" hidden="1" x14ac:dyDescent="0.35">
      <c r="B1248" s="75" t="s">
        <v>135</v>
      </c>
      <c r="C1248" s="75" t="s">
        <v>115</v>
      </c>
      <c r="D1248" s="73" t="s">
        <v>766</v>
      </c>
      <c r="E1248" s="74">
        <v>0.1</v>
      </c>
      <c r="F1248" s="78" t="s">
        <v>237</v>
      </c>
      <c r="G1248" s="77" t="s">
        <v>736</v>
      </c>
      <c r="H1248" t="str">
        <f>VLOOKUP(D1248,'DETALLE PRECIO INGREDIENTES'!B:B,1,0)</f>
        <v>QUESO MANTECOSO PIEZA</v>
      </c>
    </row>
    <row r="1249" spans="2:8" ht="15.5" hidden="1" x14ac:dyDescent="0.35">
      <c r="B1249" s="75" t="s">
        <v>135</v>
      </c>
      <c r="C1249" s="75" t="s">
        <v>115</v>
      </c>
      <c r="D1249" s="73" t="s">
        <v>235</v>
      </c>
      <c r="E1249" s="74">
        <v>0.2</v>
      </c>
      <c r="F1249" s="78" t="s">
        <v>222</v>
      </c>
      <c r="G1249" s="77" t="s">
        <v>220</v>
      </c>
      <c r="H1249" t="str">
        <f>VLOOKUP(D1249,'DETALLE PRECIO INGREDIENTES'!B:B,1,0)</f>
        <v>ACEITE VEGETAL</v>
      </c>
    </row>
    <row r="1250" spans="2:8" ht="15.5" hidden="1" x14ac:dyDescent="0.35">
      <c r="B1250" s="75" t="s">
        <v>135</v>
      </c>
      <c r="C1250" s="75" t="s">
        <v>114</v>
      </c>
      <c r="D1250" s="73" t="s">
        <v>535</v>
      </c>
      <c r="E1250" s="74">
        <v>0.125</v>
      </c>
      <c r="F1250" s="78" t="s">
        <v>237</v>
      </c>
      <c r="G1250" s="77" t="s">
        <v>525</v>
      </c>
      <c r="H1250" t="str">
        <f>VLOOKUP(D1250,'DETALLE PRECIO INGREDIENTES'!B:B,1,0)</f>
        <v>CERDO MALAYA</v>
      </c>
    </row>
    <row r="1251" spans="2:8" ht="15.5" hidden="1" x14ac:dyDescent="0.35">
      <c r="B1251" s="75" t="s">
        <v>135</v>
      </c>
      <c r="C1251" s="75" t="s">
        <v>114</v>
      </c>
      <c r="D1251" s="73" t="s">
        <v>729</v>
      </c>
      <c r="E1251" s="74">
        <v>0.5</v>
      </c>
      <c r="F1251" s="78" t="s">
        <v>259</v>
      </c>
      <c r="G1251" s="77" t="s">
        <v>728</v>
      </c>
      <c r="H1251" t="str">
        <f>VLOOKUP(D1251,'DETALLE PRECIO INGREDIENTES'!B:B,1,0)</f>
        <v>HUEVO EXTRA BLANCO</v>
      </c>
    </row>
    <row r="1252" spans="2:8" ht="15.5" hidden="1" x14ac:dyDescent="0.35">
      <c r="B1252" s="75" t="s">
        <v>135</v>
      </c>
      <c r="C1252" s="75" t="s">
        <v>114</v>
      </c>
      <c r="D1252" s="73" t="s">
        <v>720</v>
      </c>
      <c r="E1252" s="74">
        <v>0.1</v>
      </c>
      <c r="F1252" s="78" t="s">
        <v>237</v>
      </c>
      <c r="G1252" s="77" t="s">
        <v>621</v>
      </c>
      <c r="H1252" t="str">
        <f>VLOOKUP(D1252,'DETALLE PRECIO INGREDIENTES'!B:B,1,0)</f>
        <v>ZANAHORIA</v>
      </c>
    </row>
    <row r="1253" spans="2:8" ht="15.5" hidden="1" x14ac:dyDescent="0.35">
      <c r="B1253" s="75" t="s">
        <v>135</v>
      </c>
      <c r="C1253" s="75" t="s">
        <v>114</v>
      </c>
      <c r="D1253" s="73" t="s">
        <v>702</v>
      </c>
      <c r="E1253" s="74">
        <v>0.5</v>
      </c>
      <c r="F1253" s="78" t="s">
        <v>259</v>
      </c>
      <c r="G1253" s="77" t="s">
        <v>621</v>
      </c>
      <c r="H1253" t="str">
        <f>VLOOKUP(D1253,'DETALLE PRECIO INGREDIENTES'!B:B,1,0)</f>
        <v>PIMIENTO ROJO</v>
      </c>
    </row>
    <row r="1254" spans="2:8" ht="15.5" hidden="1" x14ac:dyDescent="0.35">
      <c r="B1254" s="75" t="s">
        <v>135</v>
      </c>
      <c r="C1254" s="75" t="s">
        <v>114</v>
      </c>
      <c r="D1254" s="73" t="s">
        <v>665</v>
      </c>
      <c r="E1254" s="74">
        <v>0.25</v>
      </c>
      <c r="F1254" s="78" t="s">
        <v>237</v>
      </c>
      <c r="G1254" s="77" t="s">
        <v>621</v>
      </c>
      <c r="H1254" t="str">
        <f>VLOOKUP(D1254,'DETALLE PRECIO INGREDIENTES'!B:B,1,0)</f>
        <v>ESPINACA</v>
      </c>
    </row>
    <row r="1255" spans="2:8" ht="15.5" hidden="1" x14ac:dyDescent="0.35">
      <c r="B1255" s="75" t="s">
        <v>135</v>
      </c>
      <c r="C1255" s="75" t="s">
        <v>114</v>
      </c>
      <c r="D1255" s="73" t="s">
        <v>477</v>
      </c>
      <c r="E1255" s="74">
        <v>2.5000000000000001E-2</v>
      </c>
      <c r="F1255" s="78" t="s">
        <v>222</v>
      </c>
      <c r="G1255" s="77" t="s">
        <v>220</v>
      </c>
      <c r="H1255" t="str">
        <f>VLOOKUP(D1255,'DETALLE PRECIO INGREDIENTES'!B:B,1,0)</f>
        <v>VINAGRE TINTO</v>
      </c>
    </row>
    <row r="1256" spans="2:8" ht="15.5" hidden="1" x14ac:dyDescent="0.35">
      <c r="B1256" s="75" t="s">
        <v>135</v>
      </c>
      <c r="C1256" s="75" t="s">
        <v>114</v>
      </c>
      <c r="D1256" s="73" t="s">
        <v>249</v>
      </c>
      <c r="E1256" s="74">
        <v>2.5000000000000001E-2</v>
      </c>
      <c r="F1256" s="78" t="s">
        <v>237</v>
      </c>
      <c r="G1256" s="77" t="s">
        <v>220</v>
      </c>
      <c r="H1256" t="str">
        <f>VLOOKUP(D1256,'DETALLE PRECIO INGREDIENTES'!B:B,1,0)</f>
        <v>AJI EN PASTA</v>
      </c>
    </row>
    <row r="1257" spans="2:8" ht="15.5" hidden="1" x14ac:dyDescent="0.35">
      <c r="B1257" s="75" t="s">
        <v>135</v>
      </c>
      <c r="C1257" s="75" t="s">
        <v>114</v>
      </c>
      <c r="D1257" s="73" t="s">
        <v>628</v>
      </c>
      <c r="E1257" s="74">
        <v>0.4</v>
      </c>
      <c r="F1257" s="78" t="s">
        <v>259</v>
      </c>
      <c r="G1257" s="77" t="s">
        <v>621</v>
      </c>
      <c r="H1257" t="str">
        <f>VLOOKUP(D1257,'DETALLE PRECIO INGREDIENTES'!B:B,1,0)</f>
        <v>AJO CABEZA</v>
      </c>
    </row>
    <row r="1258" spans="2:8" ht="15.5" hidden="1" x14ac:dyDescent="0.35">
      <c r="B1258" s="75" t="s">
        <v>135</v>
      </c>
      <c r="C1258" s="75" t="s">
        <v>114</v>
      </c>
      <c r="D1258" s="73" t="s">
        <v>445</v>
      </c>
      <c r="E1258" s="74">
        <v>0.01</v>
      </c>
      <c r="F1258" s="78" t="s">
        <v>237</v>
      </c>
      <c r="G1258" s="77" t="s">
        <v>220</v>
      </c>
      <c r="H1258" t="str">
        <f>VLOOKUP(D1258,'DETALLE PRECIO INGREDIENTES'!B:B,1,0)</f>
        <v>SAL DE MESA LOBOS</v>
      </c>
    </row>
    <row r="1259" spans="2:8" ht="15.5" hidden="1" x14ac:dyDescent="0.35">
      <c r="B1259" s="75" t="s">
        <v>135</v>
      </c>
      <c r="C1259" s="75" t="s">
        <v>114</v>
      </c>
      <c r="D1259" s="73" t="s">
        <v>427</v>
      </c>
      <c r="E1259" s="74">
        <v>2E-3</v>
      </c>
      <c r="F1259" s="78" t="s">
        <v>237</v>
      </c>
      <c r="G1259" s="77" t="s">
        <v>220</v>
      </c>
      <c r="H1259" t="str">
        <f>VLOOKUP(D1259,'DETALLE PRECIO INGREDIENTES'!B:B,1,0)</f>
        <v>PIMIENTA NEGRA ENTERA</v>
      </c>
    </row>
    <row r="1260" spans="2:8" ht="15.5" hidden="1" x14ac:dyDescent="0.35">
      <c r="B1260" s="75" t="s">
        <v>135</v>
      </c>
      <c r="C1260" s="75" t="s">
        <v>114</v>
      </c>
      <c r="D1260" s="73" t="s">
        <v>407</v>
      </c>
      <c r="E1260" s="74">
        <v>1E-3</v>
      </c>
      <c r="F1260" s="78" t="s">
        <v>237</v>
      </c>
      <c r="G1260" s="77" t="s">
        <v>220</v>
      </c>
      <c r="H1260" t="str">
        <f>VLOOKUP(D1260,'DETALLE PRECIO INGREDIENTES'!B:B,1,0)</f>
        <v>OREGANO SECO</v>
      </c>
    </row>
    <row r="1261" spans="2:8" ht="15.5" hidden="1" x14ac:dyDescent="0.35">
      <c r="B1261" s="75" t="s">
        <v>135</v>
      </c>
      <c r="C1261" s="75" t="s">
        <v>114</v>
      </c>
      <c r="D1261" s="73" t="s">
        <v>309</v>
      </c>
      <c r="E1261" s="74">
        <v>1E-3</v>
      </c>
      <c r="F1261" s="78" t="s">
        <v>237</v>
      </c>
      <c r="G1261" s="77" t="s">
        <v>220</v>
      </c>
      <c r="H1261" t="str">
        <f>VLOOKUP(D1261,'DETALLE PRECIO INGREDIENTES'!B:B,1,0)</f>
        <v>COMINO MOLIDO</v>
      </c>
    </row>
    <row r="1262" spans="2:8" ht="15.5" hidden="1" x14ac:dyDescent="0.35">
      <c r="B1262" s="75" t="s">
        <v>135</v>
      </c>
      <c r="C1262" s="75" t="s">
        <v>114</v>
      </c>
      <c r="D1262" s="73" t="s">
        <v>248</v>
      </c>
      <c r="E1262" s="74">
        <v>1E-3</v>
      </c>
      <c r="F1262" s="78" t="s">
        <v>237</v>
      </c>
      <c r="G1262" s="77" t="s">
        <v>220</v>
      </c>
      <c r="H1262" t="str">
        <f>VLOOKUP(D1262,'DETALLE PRECIO INGREDIENTES'!B:B,1,0)</f>
        <v>AJI DE COLOR</v>
      </c>
    </row>
    <row r="1263" spans="2:8" ht="15.5" hidden="1" x14ac:dyDescent="0.35">
      <c r="B1263" s="75" t="s">
        <v>135</v>
      </c>
      <c r="C1263" s="75" t="s">
        <v>114</v>
      </c>
      <c r="D1263" s="73" t="s">
        <v>514</v>
      </c>
      <c r="E1263" s="74">
        <v>0.01</v>
      </c>
      <c r="F1263" s="78" t="s">
        <v>259</v>
      </c>
      <c r="G1263" s="77" t="s">
        <v>485</v>
      </c>
      <c r="H1263" t="str">
        <f>VLOOKUP(D1263,'DETALLE PRECIO INGREDIENTES'!B:B,1,0)</f>
        <v>ROLLO PITILLA/HILO DE COCINA</v>
      </c>
    </row>
    <row r="1264" spans="2:8" ht="15.5" hidden="1" x14ac:dyDescent="0.35">
      <c r="B1264" s="75" t="s">
        <v>135</v>
      </c>
      <c r="C1264" s="75" t="s">
        <v>114</v>
      </c>
      <c r="D1264" s="73" t="s">
        <v>644</v>
      </c>
      <c r="E1264" s="74">
        <v>0.5</v>
      </c>
      <c r="F1264" s="78" t="s">
        <v>237</v>
      </c>
      <c r="G1264" s="77" t="s">
        <v>621</v>
      </c>
      <c r="H1264" t="str">
        <f>VLOOKUP(D1264,'DETALLE PRECIO INGREDIENTES'!B:B,1,0)</f>
        <v>CEBOLLA BLANCA</v>
      </c>
    </row>
    <row r="1265" spans="2:8" ht="15.5" x14ac:dyDescent="0.35">
      <c r="B1265" s="75" t="s">
        <v>135</v>
      </c>
      <c r="C1265" s="75" t="s">
        <v>114</v>
      </c>
      <c r="D1265" s="73" t="s">
        <v>903</v>
      </c>
      <c r="E1265" s="74">
        <v>0.75</v>
      </c>
      <c r="F1265" s="78" t="s">
        <v>259</v>
      </c>
      <c r="G1265" s="77" t="s">
        <v>621</v>
      </c>
      <c r="H1265" t="e">
        <f>VLOOKUP(D1265,'DETALLE PRECIO INGREDIENTES'!B:B,1,0)</f>
        <v>#N/A</v>
      </c>
    </row>
    <row r="1266" spans="2:8" ht="15.5" hidden="1" x14ac:dyDescent="0.35">
      <c r="B1266" s="75" t="s">
        <v>135</v>
      </c>
      <c r="C1266" s="75" t="s">
        <v>114</v>
      </c>
      <c r="D1266" s="73" t="s">
        <v>710</v>
      </c>
      <c r="E1266" s="74">
        <v>0.125</v>
      </c>
      <c r="F1266" s="78" t="s">
        <v>259</v>
      </c>
      <c r="G1266" s="77" t="s">
        <v>621</v>
      </c>
      <c r="H1266" t="str">
        <f>VLOOKUP(D1266,'DETALLE PRECIO INGREDIENTES'!B:B,1,0)</f>
        <v>REPOLLO MORADO</v>
      </c>
    </row>
    <row r="1267" spans="2:8" ht="15.5" hidden="1" x14ac:dyDescent="0.35">
      <c r="B1267" s="75" t="s">
        <v>135</v>
      </c>
      <c r="C1267" s="75" t="s">
        <v>114</v>
      </c>
      <c r="D1267" s="73" t="s">
        <v>444</v>
      </c>
      <c r="E1267" s="74">
        <v>5.0000000000000001E-3</v>
      </c>
      <c r="F1267" s="78" t="s">
        <v>237</v>
      </c>
      <c r="G1267" s="77" t="s">
        <v>220</v>
      </c>
      <c r="H1267" t="str">
        <f>VLOOKUP(D1267,'DETALLE PRECIO INGREDIENTES'!B:B,1,0)</f>
        <v>SAL DE MAR GRUESA</v>
      </c>
    </row>
    <row r="1268" spans="2:8" ht="15.5" hidden="1" x14ac:dyDescent="0.35">
      <c r="B1268" s="75" t="s">
        <v>135</v>
      </c>
      <c r="C1268" s="75" t="s">
        <v>114</v>
      </c>
      <c r="D1268" s="73" t="s">
        <v>472</v>
      </c>
      <c r="E1268" s="74">
        <v>2.5000000000000001E-2</v>
      </c>
      <c r="F1268" s="78" t="s">
        <v>222</v>
      </c>
      <c r="G1268" s="77" t="s">
        <v>220</v>
      </c>
      <c r="H1268" t="str">
        <f>VLOOKUP(D1268,'DETALLE PRECIO INGREDIENTES'!B:B,1,0)</f>
        <v>VINAGRE BLANCO</v>
      </c>
    </row>
    <row r="1269" spans="2:8" ht="15.5" hidden="1" x14ac:dyDescent="0.35">
      <c r="B1269" s="75" t="s">
        <v>135</v>
      </c>
      <c r="C1269" s="75" t="s">
        <v>114</v>
      </c>
      <c r="D1269" s="73" t="s">
        <v>882</v>
      </c>
      <c r="E1269" s="74">
        <v>0.08</v>
      </c>
      <c r="F1269" s="78" t="s">
        <v>222</v>
      </c>
      <c r="G1269" s="77" t="s">
        <v>876</v>
      </c>
      <c r="H1269" t="str">
        <f>VLOOKUP(D1269,'DETALLE PRECIO INGREDIENTES'!B:B,1,0)</f>
        <v>VINO TINTO TETRA</v>
      </c>
    </row>
    <row r="1270" spans="2:8" ht="15.5" hidden="1" x14ac:dyDescent="0.35">
      <c r="B1270" s="75" t="s">
        <v>135</v>
      </c>
      <c r="C1270" s="75" t="s">
        <v>114</v>
      </c>
      <c r="D1270" s="73" t="s">
        <v>684</v>
      </c>
      <c r="E1270" s="74">
        <v>0.06</v>
      </c>
      <c r="F1270" s="78" t="s">
        <v>237</v>
      </c>
      <c r="G1270" s="77" t="s">
        <v>621</v>
      </c>
      <c r="H1270" t="str">
        <f>VLOOKUP(D1270,'DETALLE PRECIO INGREDIENTES'!B:B,1,0)</f>
        <v>MANZANA VERDE</v>
      </c>
    </row>
    <row r="1271" spans="2:8" ht="15.5" hidden="1" x14ac:dyDescent="0.35">
      <c r="B1271" s="75" t="s">
        <v>135</v>
      </c>
      <c r="C1271" s="75" t="s">
        <v>114</v>
      </c>
      <c r="D1271" s="73" t="s">
        <v>354</v>
      </c>
      <c r="E1271" s="74">
        <v>0.03</v>
      </c>
      <c r="F1271" s="78" t="s">
        <v>237</v>
      </c>
      <c r="G1271" s="77" t="s">
        <v>220</v>
      </c>
      <c r="H1271" t="str">
        <f>VLOOKUP(D1271,'DETALLE PRECIO INGREDIENTES'!B:B,1,0)</f>
        <v>HARINA BIZCOCHERA</v>
      </c>
    </row>
    <row r="1272" spans="2:8" ht="15.5" hidden="1" x14ac:dyDescent="0.35">
      <c r="B1272" s="75" t="s">
        <v>135</v>
      </c>
      <c r="C1272" s="75" t="s">
        <v>114</v>
      </c>
      <c r="D1272" s="73" t="s">
        <v>729</v>
      </c>
      <c r="E1272" s="74">
        <v>2</v>
      </c>
      <c r="F1272" s="78" t="s">
        <v>259</v>
      </c>
      <c r="G1272" s="77" t="s">
        <v>728</v>
      </c>
      <c r="H1272" t="str">
        <f>VLOOKUP(D1272,'DETALLE PRECIO INGREDIENTES'!B:B,1,0)</f>
        <v>HUEVO EXTRA BLANCO</v>
      </c>
    </row>
    <row r="1273" spans="2:8" ht="15.5" hidden="1" x14ac:dyDescent="0.35">
      <c r="B1273" s="75" t="s">
        <v>135</v>
      </c>
      <c r="C1273" s="75" t="s">
        <v>114</v>
      </c>
      <c r="D1273" s="73" t="s">
        <v>872</v>
      </c>
      <c r="E1273" s="74">
        <v>0.08</v>
      </c>
      <c r="F1273" s="78" t="s">
        <v>237</v>
      </c>
      <c r="G1273" s="77" t="s">
        <v>852</v>
      </c>
      <c r="H1273" t="str">
        <f>VLOOKUP(D1273,'DETALLE PRECIO INGREDIENTES'!B:B,1,0)</f>
        <v>VACUNO POSTA NEGRA</v>
      </c>
    </row>
    <row r="1274" spans="2:8" ht="15.5" hidden="1" x14ac:dyDescent="0.35">
      <c r="B1274" s="75" t="s">
        <v>135</v>
      </c>
      <c r="C1274" s="75" t="s">
        <v>114</v>
      </c>
      <c r="D1274" s="73" t="s">
        <v>228</v>
      </c>
      <c r="E1274" s="74">
        <v>0.03</v>
      </c>
      <c r="F1274" s="78" t="s">
        <v>222</v>
      </c>
      <c r="G1274" s="77" t="s">
        <v>220</v>
      </c>
      <c r="H1274" t="str">
        <f>VLOOKUP(D1274,'DETALLE PRECIO INGREDIENTES'!B:B,1,0)</f>
        <v>ACEITE DE MARAVILLA</v>
      </c>
    </row>
    <row r="1275" spans="2:8" ht="15.5" hidden="1" x14ac:dyDescent="0.35">
      <c r="B1275" s="75" t="s">
        <v>135</v>
      </c>
      <c r="C1275" s="75" t="s">
        <v>114</v>
      </c>
      <c r="D1275" s="73" t="s">
        <v>864</v>
      </c>
      <c r="E1275" s="74">
        <v>0.25</v>
      </c>
      <c r="F1275" s="78" t="s">
        <v>237</v>
      </c>
      <c r="G1275" s="77" t="s">
        <v>852</v>
      </c>
      <c r="H1275" t="str">
        <f>VLOOKUP(D1275,'DETALLE PRECIO INGREDIENTES'!B:B,1,0)</f>
        <v>VACUNO HUESOS</v>
      </c>
    </row>
    <row r="1276" spans="2:8" ht="15.5" x14ac:dyDescent="0.35">
      <c r="B1276" s="75" t="s">
        <v>135</v>
      </c>
      <c r="C1276" s="75" t="s">
        <v>114</v>
      </c>
      <c r="D1276" s="73" t="s">
        <v>960</v>
      </c>
      <c r="E1276" s="74">
        <v>0.3</v>
      </c>
      <c r="F1276" s="78" t="s">
        <v>259</v>
      </c>
      <c r="G1276" s="77" t="s">
        <v>621</v>
      </c>
      <c r="H1276" t="e">
        <f>VLOOKUP(D1276,'DETALLE PRECIO INGREDIENTES'!B:B,1,0)</f>
        <v>#N/A</v>
      </c>
    </row>
    <row r="1277" spans="2:8" ht="15.5" hidden="1" x14ac:dyDescent="0.35">
      <c r="B1277" s="75" t="s">
        <v>135</v>
      </c>
      <c r="C1277" s="75" t="s">
        <v>114</v>
      </c>
      <c r="D1277" s="73" t="s">
        <v>657</v>
      </c>
      <c r="E1277" s="74">
        <v>0.03</v>
      </c>
      <c r="F1277" s="78" t="s">
        <v>237</v>
      </c>
      <c r="G1277" s="77" t="s">
        <v>621</v>
      </c>
      <c r="H1277" t="str">
        <f>VLOOKUP(D1277,'DETALLE PRECIO INGREDIENTES'!B:B,1,0)</f>
        <v>CILANTRO</v>
      </c>
    </row>
    <row r="1278" spans="2:8" ht="15.5" hidden="1" x14ac:dyDescent="0.35">
      <c r="B1278" s="75" t="s">
        <v>135</v>
      </c>
      <c r="C1278" s="75" t="s">
        <v>114</v>
      </c>
      <c r="D1278" s="73" t="s">
        <v>654</v>
      </c>
      <c r="E1278" s="74">
        <v>2</v>
      </c>
      <c r="F1278" s="78" t="s">
        <v>259</v>
      </c>
      <c r="G1278" s="77" t="s">
        <v>621</v>
      </c>
      <c r="H1278" t="str">
        <f>VLOOKUP(D1278,'DETALLE PRECIO INGREDIENTES'!B:B,1,0)</f>
        <v>CHOCLO HUMERO ENTERO</v>
      </c>
    </row>
    <row r="1279" spans="2:8" ht="15.5" hidden="1" x14ac:dyDescent="0.35">
      <c r="B1279" s="75" t="s">
        <v>135</v>
      </c>
      <c r="C1279" s="75" t="s">
        <v>114</v>
      </c>
      <c r="D1279" s="73" t="s">
        <v>629</v>
      </c>
      <c r="E1279" s="74">
        <v>0.01</v>
      </c>
      <c r="F1279" s="78" t="s">
        <v>237</v>
      </c>
      <c r="G1279" s="77" t="s">
        <v>621</v>
      </c>
      <c r="H1279" t="str">
        <f>VLOOKUP(D1279,'DETALLE PRECIO INGREDIENTES'!B:B,1,0)</f>
        <v>ALBAHACA FRESCA</v>
      </c>
    </row>
    <row r="1280" spans="2:8" ht="15.5" hidden="1" x14ac:dyDescent="0.35">
      <c r="B1280" s="75" t="s">
        <v>135</v>
      </c>
      <c r="C1280" s="75" t="s">
        <v>114</v>
      </c>
      <c r="D1280" s="73" t="s">
        <v>543</v>
      </c>
      <c r="E1280" s="74">
        <v>2.5000000000000001E-2</v>
      </c>
      <c r="F1280" s="78" t="s">
        <v>237</v>
      </c>
      <c r="G1280" s="77" t="s">
        <v>525</v>
      </c>
      <c r="H1280" t="str">
        <f>VLOOKUP(D1280,'DETALLE PRECIO INGREDIENTES'!B:B,1,0)</f>
        <v>MANTECA DE CERDO</v>
      </c>
    </row>
    <row r="1281" spans="2:8" ht="15.5" hidden="1" x14ac:dyDescent="0.35">
      <c r="B1281" s="75" t="s">
        <v>135</v>
      </c>
      <c r="C1281" s="75" t="s">
        <v>114</v>
      </c>
      <c r="D1281" s="73" t="s">
        <v>748</v>
      </c>
      <c r="E1281" s="74">
        <v>0.125</v>
      </c>
      <c r="F1281" s="78" t="s">
        <v>222</v>
      </c>
      <c r="G1281" s="77" t="s">
        <v>736</v>
      </c>
      <c r="H1281" t="str">
        <f>VLOOKUP(D1281,'DETALLE PRECIO INGREDIENTES'!B:B,1,0)</f>
        <v>LECHE ENTERA</v>
      </c>
    </row>
    <row r="1282" spans="2:8" ht="15.5" hidden="1" x14ac:dyDescent="0.35">
      <c r="B1282" s="75" t="s">
        <v>135</v>
      </c>
      <c r="C1282" s="75" t="s">
        <v>114</v>
      </c>
      <c r="D1282" s="73" t="s">
        <v>858</v>
      </c>
      <c r="E1282" s="74">
        <v>0.15</v>
      </c>
      <c r="F1282" s="78" t="s">
        <v>237</v>
      </c>
      <c r="G1282" s="77" t="s">
        <v>852</v>
      </c>
      <c r="H1282" t="str">
        <f>VLOOKUP(D1282,'DETALLE PRECIO INGREDIENTES'!B:B,1,0)</f>
        <v>VACUNO ASIENTO</v>
      </c>
    </row>
    <row r="1283" spans="2:8" ht="15.5" hidden="1" x14ac:dyDescent="0.35">
      <c r="B1283" s="75" t="s">
        <v>135</v>
      </c>
      <c r="C1283" s="75" t="s">
        <v>114</v>
      </c>
      <c r="D1283" s="73" t="s">
        <v>843</v>
      </c>
      <c r="E1283" s="74">
        <v>0.05</v>
      </c>
      <c r="F1283" s="78" t="s">
        <v>237</v>
      </c>
      <c r="G1283" s="77" t="s">
        <v>839</v>
      </c>
      <c r="H1283" t="str">
        <f>VLOOKUP(D1283,'DETALLE PRECIO INGREDIENTES'!B:B,1,0)</f>
        <v>POLLO PECHUGA S/HUESO</v>
      </c>
    </row>
    <row r="1284" spans="2:8" ht="15.5" hidden="1" x14ac:dyDescent="0.35">
      <c r="B1284" s="75" t="s">
        <v>135</v>
      </c>
      <c r="C1284" s="75" t="s">
        <v>114</v>
      </c>
      <c r="D1284" s="73" t="s">
        <v>415</v>
      </c>
      <c r="E1284" s="74">
        <v>6.0000000000000001E-3</v>
      </c>
      <c r="F1284" s="78" t="s">
        <v>237</v>
      </c>
      <c r="G1284" s="77" t="s">
        <v>220</v>
      </c>
      <c r="H1284" t="str">
        <f>VLOOKUP(D1284,'DETALLE PRECIO INGREDIENTES'!B:B,1,0)</f>
        <v>PASAS RUBIAS</v>
      </c>
    </row>
    <row r="1285" spans="2:8" ht="15.5" hidden="1" x14ac:dyDescent="0.35">
      <c r="B1285" s="75" t="s">
        <v>135</v>
      </c>
      <c r="C1285" s="75" t="s">
        <v>114</v>
      </c>
      <c r="D1285" s="73" t="s">
        <v>239</v>
      </c>
      <c r="E1285" s="74">
        <v>0.01</v>
      </c>
      <c r="F1285" s="78" t="s">
        <v>237</v>
      </c>
      <c r="G1285" s="77" t="s">
        <v>220</v>
      </c>
      <c r="H1285" t="str">
        <f>VLOOKUP(D1285,'DETALLE PRECIO INGREDIENTES'!B:B,1,0)</f>
        <v>ACEITUNAS NEGRAS S/HUESO</v>
      </c>
    </row>
    <row r="1286" spans="2:8" ht="15.5" hidden="1" x14ac:dyDescent="0.35">
      <c r="B1286" s="75" t="s">
        <v>135</v>
      </c>
      <c r="C1286" s="75" t="s">
        <v>114</v>
      </c>
      <c r="D1286" s="73" t="s">
        <v>277</v>
      </c>
      <c r="E1286" s="74">
        <v>0.05</v>
      </c>
      <c r="F1286" s="78" t="s">
        <v>237</v>
      </c>
      <c r="G1286" s="77" t="s">
        <v>220</v>
      </c>
      <c r="H1286" t="str">
        <f>VLOOKUP(D1286,'DETALLE PRECIO INGREDIENTES'!B:B,1,0)</f>
        <v>AZUCAR BLANCA GRANULADA</v>
      </c>
    </row>
    <row r="1287" spans="2:8" ht="15.5" hidden="1" x14ac:dyDescent="0.35">
      <c r="B1287" s="75" t="s">
        <v>135</v>
      </c>
      <c r="C1287" s="75" t="s">
        <v>114</v>
      </c>
      <c r="D1287" s="73" t="s">
        <v>854</v>
      </c>
      <c r="E1287" s="74">
        <v>3.5000000000000003E-2</v>
      </c>
      <c r="F1287" s="78" t="s">
        <v>237</v>
      </c>
      <c r="G1287" s="77" t="s">
        <v>852</v>
      </c>
      <c r="H1287" t="str">
        <f>VLOOKUP(D1287,'DETALLE PRECIO INGREDIENTES'!B:B,1,0)</f>
        <v>CHARQUI</v>
      </c>
    </row>
    <row r="1288" spans="2:8" ht="15.5" hidden="1" x14ac:dyDescent="0.35">
      <c r="B1288" s="75" t="s">
        <v>135</v>
      </c>
      <c r="C1288" s="75" t="s">
        <v>114</v>
      </c>
      <c r="D1288" s="73" t="s">
        <v>707</v>
      </c>
      <c r="E1288" s="74">
        <v>0.25</v>
      </c>
      <c r="F1288" s="78" t="s">
        <v>259</v>
      </c>
      <c r="G1288" s="77" t="s">
        <v>621</v>
      </c>
      <c r="H1288" t="str">
        <f>VLOOKUP(D1288,'DETALLE PRECIO INGREDIENTES'!B:B,1,0)</f>
        <v>PUERROS</v>
      </c>
    </row>
    <row r="1289" spans="2:8" ht="15.5" hidden="1" x14ac:dyDescent="0.35">
      <c r="B1289" s="75" t="s">
        <v>135</v>
      </c>
      <c r="C1289" s="75" t="s">
        <v>114</v>
      </c>
      <c r="D1289" s="73" t="s">
        <v>718</v>
      </c>
      <c r="E1289" s="74">
        <v>5.0000000000000001E-3</v>
      </c>
      <c r="F1289" s="78" t="s">
        <v>237</v>
      </c>
      <c r="G1289" s="77" t="s">
        <v>621</v>
      </c>
      <c r="H1289" t="str">
        <f>VLOOKUP(D1289,'DETALLE PRECIO INGREDIENTES'!B:B,1,0)</f>
        <v>TOMILLO FRESCO</v>
      </c>
    </row>
    <row r="1290" spans="2:8" ht="15.5" hidden="1" x14ac:dyDescent="0.35">
      <c r="B1290" s="75" t="s">
        <v>135</v>
      </c>
      <c r="C1290" s="75" t="s">
        <v>114</v>
      </c>
      <c r="D1290" s="73" t="s">
        <v>441</v>
      </c>
      <c r="E1290" s="74">
        <v>5.0000000000000001E-3</v>
      </c>
      <c r="F1290" s="78" t="s">
        <v>237</v>
      </c>
      <c r="G1290" s="77" t="s">
        <v>220</v>
      </c>
      <c r="H1290" t="str">
        <f>VLOOKUP(D1290,'DETALLE PRECIO INGREDIENTES'!B:B,1,0)</f>
        <v>ROMERO SECO</v>
      </c>
    </row>
    <row r="1291" spans="2:8" ht="15.5" hidden="1" x14ac:dyDescent="0.35">
      <c r="B1291" s="75" t="s">
        <v>135</v>
      </c>
      <c r="C1291" s="75" t="s">
        <v>112</v>
      </c>
      <c r="D1291" s="73" t="s">
        <v>874</v>
      </c>
      <c r="E1291" s="74">
        <v>0.125</v>
      </c>
      <c r="F1291" s="78" t="s">
        <v>237</v>
      </c>
      <c r="G1291" s="77" t="s">
        <v>852</v>
      </c>
      <c r="H1291" t="str">
        <f>VLOOKUP(D1291,'DETALLE PRECIO INGREDIENTES'!B:B,1,0)</f>
        <v>VACUNO PUNTA PALETA</v>
      </c>
    </row>
    <row r="1292" spans="2:8" ht="15.5" hidden="1" x14ac:dyDescent="0.35">
      <c r="B1292" s="75" t="s">
        <v>135</v>
      </c>
      <c r="C1292" s="75" t="s">
        <v>112</v>
      </c>
      <c r="D1292" s="73" t="s">
        <v>856</v>
      </c>
      <c r="E1292" s="74">
        <v>7.4999999999999997E-2</v>
      </c>
      <c r="F1292" s="78" t="s">
        <v>237</v>
      </c>
      <c r="G1292" s="77" t="s">
        <v>852</v>
      </c>
      <c r="H1292" t="str">
        <f>VLOOKUP(D1292,'DETALLE PRECIO INGREDIENTES'!B:B,1,0)</f>
        <v>UBRES DE VACA</v>
      </c>
    </row>
    <row r="1293" spans="2:8" ht="15.5" hidden="1" x14ac:dyDescent="0.35">
      <c r="B1293" s="75" t="s">
        <v>135</v>
      </c>
      <c r="C1293" s="75" t="s">
        <v>112</v>
      </c>
      <c r="D1293" s="73" t="s">
        <v>861</v>
      </c>
      <c r="E1293" s="74">
        <v>0.1</v>
      </c>
      <c r="F1293" s="78" t="s">
        <v>237</v>
      </c>
      <c r="G1293" s="77" t="s">
        <v>852</v>
      </c>
      <c r="H1293" t="str">
        <f>VLOOKUP(D1293,'DETALLE PRECIO INGREDIENTES'!B:B,1,0)</f>
        <v>VACUNO ENTRAÑA</v>
      </c>
    </row>
    <row r="1294" spans="2:8" ht="15.5" hidden="1" x14ac:dyDescent="0.35">
      <c r="B1294" s="75" t="s">
        <v>135</v>
      </c>
      <c r="C1294" s="75" t="s">
        <v>112</v>
      </c>
      <c r="D1294" s="73" t="s">
        <v>530</v>
      </c>
      <c r="E1294" s="74">
        <v>0.125</v>
      </c>
      <c r="F1294" s="78" t="s">
        <v>237</v>
      </c>
      <c r="G1294" s="77" t="s">
        <v>525</v>
      </c>
      <c r="H1294" t="str">
        <f>VLOOKUP(D1294,'DETALLE PRECIO INGREDIENTES'!B:B,1,0)</f>
        <v>CERDO COSTILLAR</v>
      </c>
    </row>
    <row r="1295" spans="2:8" ht="15.5" hidden="1" x14ac:dyDescent="0.35">
      <c r="B1295" s="75" t="s">
        <v>135</v>
      </c>
      <c r="C1295" s="75" t="s">
        <v>112</v>
      </c>
      <c r="D1295" s="73" t="s">
        <v>608</v>
      </c>
      <c r="E1295" s="74">
        <v>0.05</v>
      </c>
      <c r="F1295" s="78" t="s">
        <v>237</v>
      </c>
      <c r="G1295" s="77" t="s">
        <v>606</v>
      </c>
      <c r="H1295" t="str">
        <f>VLOOKUP(D1295,'DETALLE PRECIO INGREDIENTES'!B:B,1,0)</f>
        <v>PRIETAS</v>
      </c>
    </row>
    <row r="1296" spans="2:8" ht="15.5" hidden="1" x14ac:dyDescent="0.35">
      <c r="B1296" s="75" t="s">
        <v>135</v>
      </c>
      <c r="C1296" s="75" t="s">
        <v>112</v>
      </c>
      <c r="D1296" s="73" t="s">
        <v>370</v>
      </c>
      <c r="E1296" s="74">
        <v>1E-3</v>
      </c>
      <c r="F1296" s="78" t="s">
        <v>237</v>
      </c>
      <c r="G1296" s="77" t="s">
        <v>220</v>
      </c>
      <c r="H1296" t="str">
        <f>VLOOKUP(D1296,'DETALLE PRECIO INGREDIENTES'!B:B,1,0)</f>
        <v>LAUREL</v>
      </c>
    </row>
    <row r="1297" spans="2:8" ht="15.5" hidden="1" x14ac:dyDescent="0.35">
      <c r="B1297" s="75" t="s">
        <v>135</v>
      </c>
      <c r="C1297" s="75" t="s">
        <v>112</v>
      </c>
      <c r="D1297" s="73" t="s">
        <v>427</v>
      </c>
      <c r="E1297" s="74">
        <v>1E-3</v>
      </c>
      <c r="F1297" s="78" t="s">
        <v>237</v>
      </c>
      <c r="G1297" s="77" t="s">
        <v>220</v>
      </c>
      <c r="H1297" t="str">
        <f>VLOOKUP(D1297,'DETALLE PRECIO INGREDIENTES'!B:B,1,0)</f>
        <v>PIMIENTA NEGRA ENTERA</v>
      </c>
    </row>
    <row r="1298" spans="2:8" ht="15.5" hidden="1" x14ac:dyDescent="0.35">
      <c r="B1298" s="75" t="s">
        <v>135</v>
      </c>
      <c r="C1298" s="75" t="s">
        <v>112</v>
      </c>
      <c r="D1298" s="73" t="s">
        <v>855</v>
      </c>
      <c r="E1298" s="74">
        <v>0.05</v>
      </c>
      <c r="F1298" s="78" t="s">
        <v>237</v>
      </c>
      <c r="G1298" s="77" t="s">
        <v>852</v>
      </c>
      <c r="H1298" t="str">
        <f>VLOOKUP(D1298,'DETALLE PRECIO INGREDIENTES'!B:B,1,0)</f>
        <v>CHUNCHULES</v>
      </c>
    </row>
    <row r="1299" spans="2:8" ht="15.5" hidden="1" x14ac:dyDescent="0.35">
      <c r="B1299" s="75" t="s">
        <v>135</v>
      </c>
      <c r="C1299" s="75" t="s">
        <v>112</v>
      </c>
      <c r="D1299" s="73" t="s">
        <v>607</v>
      </c>
      <c r="E1299" s="74">
        <v>0.1</v>
      </c>
      <c r="F1299" s="78" t="s">
        <v>237</v>
      </c>
      <c r="G1299" s="77" t="s">
        <v>606</v>
      </c>
      <c r="H1299" t="str">
        <f>VLOOKUP(D1299,'DETALLE PRECIO INGREDIENTES'!B:B,1,0)</f>
        <v>LONGANIZA ARTESANAL</v>
      </c>
    </row>
    <row r="1300" spans="2:8" ht="15.5" hidden="1" x14ac:dyDescent="0.35">
      <c r="B1300" s="75" t="s">
        <v>135</v>
      </c>
      <c r="C1300" s="75" t="s">
        <v>112</v>
      </c>
      <c r="D1300" s="73" t="s">
        <v>845</v>
      </c>
      <c r="E1300" s="74">
        <v>0.125</v>
      </c>
      <c r="F1300" s="78" t="s">
        <v>237</v>
      </c>
      <c r="G1300" s="77" t="s">
        <v>839</v>
      </c>
      <c r="H1300" t="str">
        <f>VLOOKUP(D1300,'DETALLE PRECIO INGREDIENTES'!B:B,1,0)</f>
        <v>POLLO TRUTRO CORTO</v>
      </c>
    </row>
    <row r="1301" spans="2:8" ht="15.5" hidden="1" x14ac:dyDescent="0.35">
      <c r="B1301" s="75" t="s">
        <v>135</v>
      </c>
      <c r="C1301" s="75" t="s">
        <v>112</v>
      </c>
      <c r="D1301" s="73" t="s">
        <v>294</v>
      </c>
      <c r="E1301" s="74">
        <v>0.75</v>
      </c>
      <c r="F1301" s="78" t="s">
        <v>237</v>
      </c>
      <c r="G1301" s="77" t="s">
        <v>220</v>
      </c>
      <c r="H1301" t="str">
        <f>VLOOKUP(D1301,'DETALLE PRECIO INGREDIENTES'!B:B,1,0)</f>
        <v>CARBON DE ESPINO</v>
      </c>
    </row>
    <row r="1302" spans="2:8" ht="15.5" hidden="1" x14ac:dyDescent="0.35">
      <c r="B1302" s="75" t="s">
        <v>135</v>
      </c>
      <c r="C1302" s="75" t="s">
        <v>112</v>
      </c>
      <c r="D1302" s="73" t="s">
        <v>716</v>
      </c>
      <c r="E1302" s="74">
        <v>0.05</v>
      </c>
      <c r="F1302" s="78" t="s">
        <v>237</v>
      </c>
      <c r="G1302" s="77" t="s">
        <v>621</v>
      </c>
      <c r="H1302" t="str">
        <f>VLOOKUP(D1302,'DETALLE PRECIO INGREDIENTES'!B:B,1,0)</f>
        <v>TOMATE LARGA VIDA</v>
      </c>
    </row>
    <row r="1303" spans="2:8" ht="15.5" hidden="1" x14ac:dyDescent="0.35">
      <c r="B1303" s="75" t="s">
        <v>135</v>
      </c>
      <c r="C1303" s="75" t="s">
        <v>112</v>
      </c>
      <c r="D1303" s="73" t="s">
        <v>644</v>
      </c>
      <c r="E1303" s="74">
        <v>0.22</v>
      </c>
      <c r="F1303" s="78" t="s">
        <v>237</v>
      </c>
      <c r="G1303" s="77" t="s">
        <v>621</v>
      </c>
      <c r="H1303" t="str">
        <f>VLOOKUP(D1303,'DETALLE PRECIO INGREDIENTES'!B:B,1,0)</f>
        <v>CEBOLLA BLANCA</v>
      </c>
    </row>
    <row r="1304" spans="2:8" ht="15.5" hidden="1" x14ac:dyDescent="0.35">
      <c r="B1304" s="75" t="s">
        <v>135</v>
      </c>
      <c r="C1304" s="75" t="s">
        <v>112</v>
      </c>
      <c r="D1304" s="73" t="s">
        <v>628</v>
      </c>
      <c r="E1304" s="74">
        <v>0.2</v>
      </c>
      <c r="F1304" s="78" t="s">
        <v>259</v>
      </c>
      <c r="G1304" s="77" t="s">
        <v>621</v>
      </c>
      <c r="H1304" t="str">
        <f>VLOOKUP(D1304,'DETALLE PRECIO INGREDIENTES'!B:B,1,0)</f>
        <v>AJO CABEZA</v>
      </c>
    </row>
    <row r="1305" spans="2:8" ht="15.5" hidden="1" x14ac:dyDescent="0.35">
      <c r="B1305" s="75" t="s">
        <v>135</v>
      </c>
      <c r="C1305" s="75" t="s">
        <v>112</v>
      </c>
      <c r="D1305" s="73" t="s">
        <v>680</v>
      </c>
      <c r="E1305" s="74">
        <v>0.6</v>
      </c>
      <c r="F1305" s="78" t="s">
        <v>237</v>
      </c>
      <c r="G1305" s="77" t="s">
        <v>621</v>
      </c>
      <c r="H1305" t="str">
        <f>VLOOKUP(D1305,'DETALLE PRECIO INGREDIENTES'!B:B,1,0)</f>
        <v>LIMON DE JUGO</v>
      </c>
    </row>
    <row r="1306" spans="2:8" ht="15.5" hidden="1" x14ac:dyDescent="0.35">
      <c r="B1306" s="75" t="s">
        <v>135</v>
      </c>
      <c r="C1306" s="75" t="s">
        <v>112</v>
      </c>
      <c r="D1306" s="73" t="s">
        <v>228</v>
      </c>
      <c r="E1306" s="74">
        <v>0.01</v>
      </c>
      <c r="F1306" s="78" t="s">
        <v>222</v>
      </c>
      <c r="G1306" s="77" t="s">
        <v>220</v>
      </c>
      <c r="H1306" t="str">
        <f>VLOOKUP(D1306,'DETALLE PRECIO INGREDIENTES'!B:B,1,0)</f>
        <v>ACEITE DE MARAVILLA</v>
      </c>
    </row>
    <row r="1307" spans="2:8" ht="15.5" hidden="1" x14ac:dyDescent="0.35">
      <c r="B1307" s="75" t="s">
        <v>135</v>
      </c>
      <c r="C1307" s="75" t="s">
        <v>112</v>
      </c>
      <c r="D1307" s="73" t="s">
        <v>657</v>
      </c>
      <c r="E1307" s="74">
        <v>0.02</v>
      </c>
      <c r="F1307" s="78" t="s">
        <v>237</v>
      </c>
      <c r="G1307" s="77" t="s">
        <v>621</v>
      </c>
      <c r="H1307" t="str">
        <f>VLOOKUP(D1307,'DETALLE PRECIO INGREDIENTES'!B:B,1,0)</f>
        <v>CILANTRO</v>
      </c>
    </row>
    <row r="1308" spans="2:8" ht="15.5" hidden="1" x14ac:dyDescent="0.35">
      <c r="B1308" s="75" t="s">
        <v>135</v>
      </c>
      <c r="C1308" s="75" t="s">
        <v>112</v>
      </c>
      <c r="D1308" s="73" t="s">
        <v>477</v>
      </c>
      <c r="E1308" s="74">
        <v>5.0000000000000001E-3</v>
      </c>
      <c r="F1308" s="78" t="s">
        <v>222</v>
      </c>
      <c r="G1308" s="77" t="s">
        <v>220</v>
      </c>
      <c r="H1308" t="str">
        <f>VLOOKUP(D1308,'DETALLE PRECIO INGREDIENTES'!B:B,1,0)</f>
        <v>VINAGRE TINTO</v>
      </c>
    </row>
    <row r="1309" spans="2:8" ht="15.5" hidden="1" x14ac:dyDescent="0.35">
      <c r="B1309" s="75" t="s">
        <v>135</v>
      </c>
      <c r="C1309" s="75" t="s">
        <v>112</v>
      </c>
      <c r="D1309" s="73" t="s">
        <v>354</v>
      </c>
      <c r="E1309" s="74">
        <v>0.4</v>
      </c>
      <c r="F1309" s="78" t="s">
        <v>237</v>
      </c>
      <c r="G1309" s="77" t="s">
        <v>220</v>
      </c>
      <c r="H1309" t="str">
        <f>VLOOKUP(D1309,'DETALLE PRECIO INGREDIENTES'!B:B,1,0)</f>
        <v>HARINA BIZCOCHERA</v>
      </c>
    </row>
    <row r="1310" spans="2:8" ht="15.5" hidden="1" x14ac:dyDescent="0.35">
      <c r="B1310" s="75" t="s">
        <v>135</v>
      </c>
      <c r="C1310" s="75" t="s">
        <v>112</v>
      </c>
      <c r="D1310" s="73" t="s">
        <v>381</v>
      </c>
      <c r="E1310" s="74">
        <v>0.1</v>
      </c>
      <c r="F1310" s="78" t="s">
        <v>237</v>
      </c>
      <c r="G1310" s="77" t="s">
        <v>220</v>
      </c>
      <c r="H1310" t="str">
        <f>VLOOKUP(D1310,'DETALLE PRECIO INGREDIENTES'!B:B,1,0)</f>
        <v>MANTECA VEGETAL</v>
      </c>
    </row>
    <row r="1311" spans="2:8" ht="15.5" hidden="1" x14ac:dyDescent="0.35">
      <c r="B1311" s="75" t="s">
        <v>135</v>
      </c>
      <c r="C1311" s="75" t="s">
        <v>112</v>
      </c>
      <c r="D1311" s="73" t="s">
        <v>374</v>
      </c>
      <c r="E1311" s="74">
        <v>4.0000000000000001E-3</v>
      </c>
      <c r="F1311" s="78" t="s">
        <v>237</v>
      </c>
      <c r="G1311" s="77" t="s">
        <v>220</v>
      </c>
      <c r="H1311" t="str">
        <f>VLOOKUP(D1311,'DETALLE PRECIO INGREDIENTES'!B:B,1,0)</f>
        <v>LEVADURA SECA</v>
      </c>
    </row>
    <row r="1312" spans="2:8" ht="15.5" hidden="1" x14ac:dyDescent="0.35">
      <c r="B1312" s="75" t="s">
        <v>135</v>
      </c>
      <c r="C1312" s="75" t="s">
        <v>112</v>
      </c>
      <c r="D1312" s="73" t="s">
        <v>445</v>
      </c>
      <c r="E1312" s="74">
        <v>0.01</v>
      </c>
      <c r="F1312" s="78" t="s">
        <v>237</v>
      </c>
      <c r="G1312" s="77" t="s">
        <v>220</v>
      </c>
      <c r="H1312" t="str">
        <f>VLOOKUP(D1312,'DETALLE PRECIO INGREDIENTES'!B:B,1,0)</f>
        <v>SAL DE MESA LOBOS</v>
      </c>
    </row>
    <row r="1313" spans="2:8" ht="15.5" hidden="1" x14ac:dyDescent="0.35">
      <c r="B1313" s="75" t="s">
        <v>135</v>
      </c>
      <c r="C1313" s="75" t="s">
        <v>112</v>
      </c>
      <c r="D1313" s="73" t="s">
        <v>722</v>
      </c>
      <c r="E1313" s="74">
        <v>0.04</v>
      </c>
      <c r="F1313" s="78" t="s">
        <v>237</v>
      </c>
      <c r="G1313" s="77" t="s">
        <v>621</v>
      </c>
      <c r="H1313" t="str">
        <f>VLOOKUP(D1313,'DETALLE PRECIO INGREDIENTES'!B:B,1,0)</f>
        <v>ZAPALLO CAMOTE</v>
      </c>
    </row>
    <row r="1314" spans="2:8" ht="15.5" hidden="1" x14ac:dyDescent="0.35">
      <c r="B1314" s="75" t="s">
        <v>135</v>
      </c>
      <c r="C1314" s="75" t="s">
        <v>112</v>
      </c>
      <c r="D1314" s="73" t="s">
        <v>235</v>
      </c>
      <c r="E1314" s="74">
        <v>0.25</v>
      </c>
      <c r="F1314" s="78" t="s">
        <v>222</v>
      </c>
      <c r="G1314" s="77" t="s">
        <v>220</v>
      </c>
      <c r="H1314" t="str">
        <f>VLOOKUP(D1314,'DETALLE PRECIO INGREDIENTES'!B:B,1,0)</f>
        <v>ACEITE VEGETAL</v>
      </c>
    </row>
    <row r="1315" spans="2:8" ht="15.5" hidden="1" x14ac:dyDescent="0.35">
      <c r="B1315" s="75" t="s">
        <v>135</v>
      </c>
      <c r="C1315" s="75" t="s">
        <v>112</v>
      </c>
      <c r="D1315" s="73" t="s">
        <v>878</v>
      </c>
      <c r="E1315" s="74">
        <v>0.01</v>
      </c>
      <c r="F1315" s="78" t="s">
        <v>222</v>
      </c>
      <c r="G1315" s="77" t="s">
        <v>876</v>
      </c>
      <c r="H1315" t="str">
        <f>VLOOKUP(D1315,'DETALLE PRECIO INGREDIENTES'!B:B,1,0)</f>
        <v>VINO BLANCO TETRA PACK</v>
      </c>
    </row>
    <row r="1316" spans="2:8" ht="15.5" hidden="1" x14ac:dyDescent="0.35">
      <c r="B1316" s="75" t="s">
        <v>135</v>
      </c>
      <c r="C1316" s="75" t="s">
        <v>112</v>
      </c>
      <c r="D1316" s="73" t="s">
        <v>729</v>
      </c>
      <c r="E1316" s="74">
        <v>1</v>
      </c>
      <c r="F1316" s="78" t="s">
        <v>259</v>
      </c>
      <c r="G1316" s="77" t="s">
        <v>728</v>
      </c>
      <c r="H1316" t="str">
        <f>VLOOKUP(D1316,'DETALLE PRECIO INGREDIENTES'!B:B,1,0)</f>
        <v>HUEVO EXTRA BLANCO</v>
      </c>
    </row>
    <row r="1317" spans="2:8" ht="15.5" hidden="1" x14ac:dyDescent="0.35">
      <c r="B1317" s="75" t="s">
        <v>135</v>
      </c>
      <c r="C1317" s="75" t="s">
        <v>112</v>
      </c>
      <c r="D1317" s="73" t="s">
        <v>858</v>
      </c>
      <c r="E1317" s="74">
        <v>0.1</v>
      </c>
      <c r="F1317" s="78" t="s">
        <v>237</v>
      </c>
      <c r="G1317" s="77" t="s">
        <v>852</v>
      </c>
      <c r="H1317" t="str">
        <f>VLOOKUP(D1317,'DETALLE PRECIO INGREDIENTES'!B:B,1,0)</f>
        <v>VACUNO ASIENTO</v>
      </c>
    </row>
    <row r="1318" spans="2:8" ht="15.5" hidden="1" x14ac:dyDescent="0.35">
      <c r="B1318" s="75" t="s">
        <v>135</v>
      </c>
      <c r="C1318" s="75" t="s">
        <v>112</v>
      </c>
      <c r="D1318" s="73" t="s">
        <v>239</v>
      </c>
      <c r="E1318" s="74">
        <v>0.01</v>
      </c>
      <c r="F1318" s="78" t="s">
        <v>237</v>
      </c>
      <c r="G1318" s="77" t="s">
        <v>220</v>
      </c>
      <c r="H1318" t="str">
        <f>VLOOKUP(D1318,'DETALLE PRECIO INGREDIENTES'!B:B,1,0)</f>
        <v>ACEITUNAS NEGRAS S/HUESO</v>
      </c>
    </row>
    <row r="1319" spans="2:8" ht="15.5" hidden="1" x14ac:dyDescent="0.35">
      <c r="B1319" s="75" t="s">
        <v>135</v>
      </c>
      <c r="C1319" s="75" t="s">
        <v>112</v>
      </c>
      <c r="D1319" s="73" t="s">
        <v>415</v>
      </c>
      <c r="E1319" s="74">
        <v>6.0000000000000001E-3</v>
      </c>
      <c r="F1319" s="78" t="s">
        <v>237</v>
      </c>
      <c r="G1319" s="77" t="s">
        <v>220</v>
      </c>
      <c r="H1319" t="str">
        <f>VLOOKUP(D1319,'DETALLE PRECIO INGREDIENTES'!B:B,1,0)</f>
        <v>PASAS RUBIAS</v>
      </c>
    </row>
    <row r="1320" spans="2:8" ht="15.5" hidden="1" x14ac:dyDescent="0.35">
      <c r="B1320" s="75" t="s">
        <v>135</v>
      </c>
      <c r="C1320" s="75" t="s">
        <v>111</v>
      </c>
      <c r="D1320" s="73" t="s">
        <v>827</v>
      </c>
      <c r="E1320" s="74">
        <v>0.04</v>
      </c>
      <c r="F1320" s="78" t="s">
        <v>237</v>
      </c>
      <c r="G1320" s="77" t="s">
        <v>806</v>
      </c>
      <c r="H1320" t="str">
        <f>VLOOKUP(D1320,'DETALLE PRECIO INGREDIENTES'!B:B,1,0)</f>
        <v>MACHAS FRESCAS</v>
      </c>
    </row>
    <row r="1321" spans="2:8" ht="15.5" hidden="1" x14ac:dyDescent="0.35">
      <c r="B1321" s="75" t="s">
        <v>135</v>
      </c>
      <c r="C1321" s="75" t="s">
        <v>111</v>
      </c>
      <c r="D1321" s="73" t="s">
        <v>807</v>
      </c>
      <c r="E1321" s="74">
        <v>0.5</v>
      </c>
      <c r="F1321" s="78" t="s">
        <v>237</v>
      </c>
      <c r="G1321" s="77" t="s">
        <v>806</v>
      </c>
      <c r="H1321" t="str">
        <f>VLOOKUP(D1321,'DETALLE PRECIO INGREDIENTES'!B:B,1,0)</f>
        <v>ALMEJAS FRESCAS</v>
      </c>
    </row>
    <row r="1322" spans="2:8" ht="15.5" hidden="1" x14ac:dyDescent="0.35">
      <c r="B1322" s="75" t="s">
        <v>135</v>
      </c>
      <c r="C1322" s="75" t="s">
        <v>111</v>
      </c>
      <c r="D1322" s="73" t="s">
        <v>878</v>
      </c>
      <c r="E1322" s="74">
        <v>0.17499999999999999</v>
      </c>
      <c r="F1322" s="78" t="s">
        <v>222</v>
      </c>
      <c r="G1322" s="77" t="s">
        <v>876</v>
      </c>
      <c r="H1322" t="str">
        <f>VLOOKUP(D1322,'DETALLE PRECIO INGREDIENTES'!B:B,1,0)</f>
        <v>VINO BLANCO TETRA PACK</v>
      </c>
    </row>
    <row r="1323" spans="2:8" ht="15.5" hidden="1" x14ac:dyDescent="0.35">
      <c r="B1323" s="75" t="s">
        <v>135</v>
      </c>
      <c r="C1323" s="75" t="s">
        <v>111</v>
      </c>
      <c r="D1323" s="73" t="s">
        <v>739</v>
      </c>
      <c r="E1323" s="74">
        <v>2.5000000000000001E-2</v>
      </c>
      <c r="F1323" s="78" t="s">
        <v>222</v>
      </c>
      <c r="G1323" s="77" t="s">
        <v>736</v>
      </c>
      <c r="H1323" t="str">
        <f>VLOOKUP(D1323,'DETALLE PRECIO INGREDIENTES'!B:B,1,0)</f>
        <v>CREMA DE LECHE</v>
      </c>
    </row>
    <row r="1324" spans="2:8" ht="15.5" hidden="1" x14ac:dyDescent="0.35">
      <c r="B1324" s="75" t="s">
        <v>135</v>
      </c>
      <c r="C1324" s="75" t="s">
        <v>111</v>
      </c>
      <c r="D1324" s="73" t="s">
        <v>770</v>
      </c>
      <c r="E1324" s="74">
        <v>2.5000000000000001E-2</v>
      </c>
      <c r="F1324" s="78" t="s">
        <v>237</v>
      </c>
      <c r="G1324" s="77" t="s">
        <v>736</v>
      </c>
      <c r="H1324" t="str">
        <f>VLOOKUP(D1324,'DETALLE PRECIO INGREDIENTES'!B:B,1,0)</f>
        <v>QUESO PARMESANO RALLADO</v>
      </c>
    </row>
    <row r="1325" spans="2:8" ht="15.5" hidden="1" x14ac:dyDescent="0.35">
      <c r="B1325" s="75" t="s">
        <v>135</v>
      </c>
      <c r="C1325" s="75" t="s">
        <v>111</v>
      </c>
      <c r="D1325" s="73" t="s">
        <v>821</v>
      </c>
      <c r="E1325" s="74">
        <v>0.2</v>
      </c>
      <c r="F1325" s="78" t="s">
        <v>237</v>
      </c>
      <c r="G1325" s="77" t="s">
        <v>806</v>
      </c>
      <c r="H1325" t="str">
        <f>VLOOKUP(D1325,'DETALLE PRECIO INGREDIENTES'!B:B,1,0)</f>
        <v>CONGRIO NEGRO ENTERO FRESCO</v>
      </c>
    </row>
    <row r="1326" spans="2:8" ht="15.5" hidden="1" x14ac:dyDescent="0.35">
      <c r="B1326" s="75" t="s">
        <v>135</v>
      </c>
      <c r="C1326" s="75" t="s">
        <v>111</v>
      </c>
      <c r="D1326" s="73" t="s">
        <v>824</v>
      </c>
      <c r="E1326" s="74">
        <v>0.1</v>
      </c>
      <c r="F1326" s="78" t="s">
        <v>237</v>
      </c>
      <c r="G1326" s="77" t="s">
        <v>806</v>
      </c>
      <c r="H1326" t="str">
        <f>VLOOKUP(D1326,'DETALLE PRECIO INGREDIENTES'!B:B,1,0)</f>
        <v>ESPINAS DE PESCADO</v>
      </c>
    </row>
    <row r="1327" spans="2:8" ht="15.5" x14ac:dyDescent="0.35">
      <c r="B1327" s="75" t="s">
        <v>135</v>
      </c>
      <c r="C1327" s="75" t="s">
        <v>111</v>
      </c>
      <c r="D1327" s="73" t="s">
        <v>903</v>
      </c>
      <c r="E1327" s="74">
        <v>0.3</v>
      </c>
      <c r="F1327" s="78" t="s">
        <v>259</v>
      </c>
      <c r="G1327" s="77" t="s">
        <v>621</v>
      </c>
      <c r="H1327" t="e">
        <f>VLOOKUP(D1327,'DETALLE PRECIO INGREDIENTES'!B:B,1,0)</f>
        <v>#N/A</v>
      </c>
    </row>
    <row r="1328" spans="2:8" ht="15.5" hidden="1" x14ac:dyDescent="0.35">
      <c r="B1328" s="75" t="s">
        <v>135</v>
      </c>
      <c r="C1328" s="75" t="s">
        <v>111</v>
      </c>
      <c r="D1328" s="73" t="s">
        <v>720</v>
      </c>
      <c r="E1328" s="74">
        <v>0.05</v>
      </c>
      <c r="F1328" s="78" t="s">
        <v>237</v>
      </c>
      <c r="G1328" s="77" t="s">
        <v>621</v>
      </c>
      <c r="H1328" t="str">
        <f>VLOOKUP(D1328,'DETALLE PRECIO INGREDIENTES'!B:B,1,0)</f>
        <v>ZANAHORIA</v>
      </c>
    </row>
    <row r="1329" spans="2:8" ht="15.5" hidden="1" x14ac:dyDescent="0.35">
      <c r="B1329" s="75" t="s">
        <v>135</v>
      </c>
      <c r="C1329" s="75" t="s">
        <v>111</v>
      </c>
      <c r="D1329" s="73" t="s">
        <v>707</v>
      </c>
      <c r="E1329" s="74">
        <v>0.25</v>
      </c>
      <c r="F1329" s="78" t="s">
        <v>259</v>
      </c>
      <c r="G1329" s="77" t="s">
        <v>621</v>
      </c>
      <c r="H1329" t="str">
        <f>VLOOKUP(D1329,'DETALLE PRECIO INGREDIENTES'!B:B,1,0)</f>
        <v>PUERROS</v>
      </c>
    </row>
    <row r="1330" spans="2:8" ht="15.5" hidden="1" x14ac:dyDescent="0.35">
      <c r="B1330" s="75" t="s">
        <v>135</v>
      </c>
      <c r="C1330" s="75" t="s">
        <v>111</v>
      </c>
      <c r="D1330" s="73" t="s">
        <v>718</v>
      </c>
      <c r="E1330" s="74">
        <v>0.01</v>
      </c>
      <c r="F1330" s="78" t="s">
        <v>237</v>
      </c>
      <c r="G1330" s="77" t="s">
        <v>621</v>
      </c>
      <c r="H1330" t="str">
        <f>VLOOKUP(D1330,'DETALLE PRECIO INGREDIENTES'!B:B,1,0)</f>
        <v>TOMILLO FRESCO</v>
      </c>
    </row>
    <row r="1331" spans="2:8" ht="15.5" hidden="1" x14ac:dyDescent="0.35">
      <c r="B1331" s="75" t="s">
        <v>135</v>
      </c>
      <c r="C1331" s="75" t="s">
        <v>111</v>
      </c>
      <c r="D1331" s="73" t="s">
        <v>711</v>
      </c>
      <c r="E1331" s="74">
        <v>0.01</v>
      </c>
      <c r="F1331" s="78" t="s">
        <v>237</v>
      </c>
      <c r="G1331" s="77" t="s">
        <v>621</v>
      </c>
      <c r="H1331" t="str">
        <f>VLOOKUP(D1331,'DETALLE PRECIO INGREDIENTES'!B:B,1,0)</f>
        <v>ROMERO FRESCO EN RAMA</v>
      </c>
    </row>
    <row r="1332" spans="2:8" ht="15.5" hidden="1" x14ac:dyDescent="0.35">
      <c r="B1332" s="75" t="s">
        <v>135</v>
      </c>
      <c r="C1332" s="75" t="s">
        <v>111</v>
      </c>
      <c r="D1332" s="73" t="s">
        <v>644</v>
      </c>
      <c r="E1332" s="74">
        <v>0.06</v>
      </c>
      <c r="F1332" s="78" t="s">
        <v>237</v>
      </c>
      <c r="G1332" s="77" t="s">
        <v>621</v>
      </c>
      <c r="H1332" t="str">
        <f>VLOOKUP(D1332,'DETALLE PRECIO INGREDIENTES'!B:B,1,0)</f>
        <v>CEBOLLA BLANCA</v>
      </c>
    </row>
    <row r="1333" spans="2:8" ht="15.5" hidden="1" x14ac:dyDescent="0.35">
      <c r="B1333" s="75" t="s">
        <v>135</v>
      </c>
      <c r="C1333" s="75" t="s">
        <v>111</v>
      </c>
      <c r="D1333" s="73" t="s">
        <v>720</v>
      </c>
      <c r="E1333" s="74">
        <v>0.05</v>
      </c>
      <c r="F1333" s="78" t="s">
        <v>237</v>
      </c>
      <c r="G1333" s="77" t="s">
        <v>621</v>
      </c>
      <c r="H1333" t="str">
        <f>VLOOKUP(D1333,'DETALLE PRECIO INGREDIENTES'!B:B,1,0)</f>
        <v>ZANAHORIA</v>
      </c>
    </row>
    <row r="1334" spans="2:8" ht="15.5" hidden="1" x14ac:dyDescent="0.35">
      <c r="B1334" s="75" t="s">
        <v>135</v>
      </c>
      <c r="C1334" s="75" t="s">
        <v>111</v>
      </c>
      <c r="D1334" s="73" t="s">
        <v>702</v>
      </c>
      <c r="E1334" s="74">
        <v>0.125</v>
      </c>
      <c r="F1334" s="78" t="s">
        <v>259</v>
      </c>
      <c r="G1334" s="77" t="s">
        <v>621</v>
      </c>
      <c r="H1334" t="str">
        <f>VLOOKUP(D1334,'DETALLE PRECIO INGREDIENTES'!B:B,1,0)</f>
        <v>PIMIENTO ROJO</v>
      </c>
    </row>
    <row r="1335" spans="2:8" ht="15.5" hidden="1" x14ac:dyDescent="0.35">
      <c r="B1335" s="75" t="s">
        <v>135</v>
      </c>
      <c r="C1335" s="75" t="s">
        <v>111</v>
      </c>
      <c r="D1335" s="73" t="s">
        <v>716</v>
      </c>
      <c r="E1335" s="74">
        <v>0.05</v>
      </c>
      <c r="F1335" s="78" t="s">
        <v>237</v>
      </c>
      <c r="G1335" s="77" t="s">
        <v>621</v>
      </c>
      <c r="H1335" t="str">
        <f>VLOOKUP(D1335,'DETALLE PRECIO INGREDIENTES'!B:B,1,0)</f>
        <v>TOMATE LARGA VIDA</v>
      </c>
    </row>
    <row r="1336" spans="2:8" ht="15.5" hidden="1" x14ac:dyDescent="0.35">
      <c r="B1336" s="75" t="s">
        <v>135</v>
      </c>
      <c r="C1336" s="75" t="s">
        <v>111</v>
      </c>
      <c r="D1336" s="73" t="s">
        <v>627</v>
      </c>
      <c r="E1336" s="74">
        <v>1.4999999999999999E-2</v>
      </c>
      <c r="F1336" s="78" t="s">
        <v>237</v>
      </c>
      <c r="G1336" s="77" t="s">
        <v>621</v>
      </c>
      <c r="H1336" t="str">
        <f>VLOOKUP(D1336,'DETALLE PRECIO INGREDIENTES'!B:B,1,0)</f>
        <v>AJI VERDE</v>
      </c>
    </row>
    <row r="1337" spans="2:8" ht="15.5" hidden="1" x14ac:dyDescent="0.35">
      <c r="B1337" s="75" t="s">
        <v>135</v>
      </c>
      <c r="C1337" s="75" t="s">
        <v>111</v>
      </c>
      <c r="D1337" s="73" t="s">
        <v>228</v>
      </c>
      <c r="E1337" s="74">
        <v>0.1</v>
      </c>
      <c r="F1337" s="78" t="s">
        <v>222</v>
      </c>
      <c r="G1337" s="77" t="s">
        <v>220</v>
      </c>
      <c r="H1337" t="str">
        <f>VLOOKUP(D1337,'DETALLE PRECIO INGREDIENTES'!B:B,1,0)</f>
        <v>ACEITE DE MARAVILLA</v>
      </c>
    </row>
    <row r="1338" spans="2:8" ht="15.5" x14ac:dyDescent="0.35">
      <c r="B1338" s="75" t="s">
        <v>135</v>
      </c>
      <c r="C1338" s="75" t="s">
        <v>111</v>
      </c>
      <c r="D1338" s="73" t="s">
        <v>960</v>
      </c>
      <c r="E1338" s="74">
        <v>1</v>
      </c>
      <c r="F1338" s="78" t="s">
        <v>259</v>
      </c>
      <c r="G1338" s="77" t="s">
        <v>621</v>
      </c>
      <c r="H1338" t="e">
        <f>VLOOKUP(D1338,'DETALLE PRECIO INGREDIENTES'!B:B,1,0)</f>
        <v>#N/A</v>
      </c>
    </row>
    <row r="1339" spans="2:8" ht="15.5" hidden="1" x14ac:dyDescent="0.35">
      <c r="B1339" s="75" t="s">
        <v>135</v>
      </c>
      <c r="C1339" s="75" t="s">
        <v>111</v>
      </c>
      <c r="D1339" s="73" t="s">
        <v>680</v>
      </c>
      <c r="E1339" s="74">
        <v>0.12</v>
      </c>
      <c r="F1339" s="78" t="s">
        <v>237</v>
      </c>
      <c r="G1339" s="77" t="s">
        <v>621</v>
      </c>
      <c r="H1339" t="str">
        <f>VLOOKUP(D1339,'DETALLE PRECIO INGREDIENTES'!B:B,1,0)</f>
        <v>LIMON DE JUGO</v>
      </c>
    </row>
    <row r="1340" spans="2:8" ht="15.5" hidden="1" x14ac:dyDescent="0.35">
      <c r="B1340" s="75" t="s">
        <v>135</v>
      </c>
      <c r="C1340" s="75" t="s">
        <v>111</v>
      </c>
      <c r="D1340" s="73" t="s">
        <v>657</v>
      </c>
      <c r="E1340" s="74">
        <v>0.02</v>
      </c>
      <c r="F1340" s="78" t="s">
        <v>237</v>
      </c>
      <c r="G1340" s="77" t="s">
        <v>621</v>
      </c>
      <c r="H1340" t="str">
        <f>VLOOKUP(D1340,'DETALLE PRECIO INGREDIENTES'!B:B,1,0)</f>
        <v>CILANTRO</v>
      </c>
    </row>
    <row r="1341" spans="2:8" ht="15.5" hidden="1" x14ac:dyDescent="0.35">
      <c r="B1341" s="75" t="s">
        <v>135</v>
      </c>
      <c r="C1341" s="75" t="s">
        <v>111</v>
      </c>
      <c r="D1341" s="73" t="s">
        <v>698</v>
      </c>
      <c r="E1341" s="74">
        <v>0.02</v>
      </c>
      <c r="F1341" s="78" t="s">
        <v>237</v>
      </c>
      <c r="G1341" s="77" t="s">
        <v>621</v>
      </c>
      <c r="H1341" t="str">
        <f>VLOOKUP(D1341,'DETALLE PRECIO INGREDIENTES'!B:B,1,0)</f>
        <v>PEREJIL</v>
      </c>
    </row>
    <row r="1342" spans="2:8" ht="15.5" hidden="1" x14ac:dyDescent="0.35">
      <c r="B1342" s="75" t="s">
        <v>135</v>
      </c>
      <c r="C1342" s="75" t="s">
        <v>111</v>
      </c>
      <c r="D1342" s="73" t="s">
        <v>830</v>
      </c>
      <c r="E1342" s="74">
        <v>0.3</v>
      </c>
      <c r="F1342" s="78" t="s">
        <v>237</v>
      </c>
      <c r="G1342" s="77" t="s">
        <v>806</v>
      </c>
      <c r="H1342" t="str">
        <f>VLOOKUP(D1342,'DETALLE PRECIO INGREDIENTES'!B:B,1,0)</f>
        <v>MERLUZA FRESCA FILETE</v>
      </c>
    </row>
    <row r="1343" spans="2:8" ht="15.5" hidden="1" x14ac:dyDescent="0.35">
      <c r="B1343" s="75" t="s">
        <v>135</v>
      </c>
      <c r="C1343" s="75" t="s">
        <v>111</v>
      </c>
      <c r="D1343" s="73" t="s">
        <v>407</v>
      </c>
      <c r="E1343" s="74">
        <v>1E-3</v>
      </c>
      <c r="F1343" s="78" t="s">
        <v>237</v>
      </c>
      <c r="G1343" s="77" t="s">
        <v>220</v>
      </c>
      <c r="H1343" t="str">
        <f>VLOOKUP(D1343,'DETALLE PRECIO INGREDIENTES'!B:B,1,0)</f>
        <v>OREGANO SECO</v>
      </c>
    </row>
    <row r="1344" spans="2:8" ht="15.5" hidden="1" x14ac:dyDescent="0.35">
      <c r="B1344" s="75" t="s">
        <v>135</v>
      </c>
      <c r="C1344" s="75" t="s">
        <v>111</v>
      </c>
      <c r="D1344" s="73" t="s">
        <v>309</v>
      </c>
      <c r="E1344" s="74">
        <v>1E-3</v>
      </c>
      <c r="F1344" s="78" t="s">
        <v>237</v>
      </c>
      <c r="G1344" s="77" t="s">
        <v>220</v>
      </c>
      <c r="H1344" t="str">
        <f>VLOOKUP(D1344,'DETALLE PRECIO INGREDIENTES'!B:B,1,0)</f>
        <v>COMINO MOLIDO</v>
      </c>
    </row>
    <row r="1345" spans="2:8" ht="15.5" hidden="1" x14ac:dyDescent="0.35">
      <c r="B1345" s="75" t="s">
        <v>135</v>
      </c>
      <c r="C1345" s="75" t="s">
        <v>111</v>
      </c>
      <c r="D1345" s="73" t="s">
        <v>248</v>
      </c>
      <c r="E1345" s="74">
        <v>1E-3</v>
      </c>
      <c r="F1345" s="78" t="s">
        <v>237</v>
      </c>
      <c r="G1345" s="77" t="s">
        <v>220</v>
      </c>
      <c r="H1345" t="str">
        <f>VLOOKUP(D1345,'DETALLE PRECIO INGREDIENTES'!B:B,1,0)</f>
        <v>AJI DE COLOR</v>
      </c>
    </row>
    <row r="1346" spans="2:8" ht="15.5" hidden="1" x14ac:dyDescent="0.35">
      <c r="B1346" s="75" t="s">
        <v>135</v>
      </c>
      <c r="C1346" s="75" t="s">
        <v>111</v>
      </c>
      <c r="D1346" s="73" t="s">
        <v>729</v>
      </c>
      <c r="E1346" s="74">
        <v>1</v>
      </c>
      <c r="F1346" s="78" t="s">
        <v>259</v>
      </c>
      <c r="G1346" s="77" t="s">
        <v>728</v>
      </c>
      <c r="H1346" t="str">
        <f>VLOOKUP(D1346,'DETALLE PRECIO INGREDIENTES'!B:B,1,0)</f>
        <v>HUEVO EXTRA BLANCO</v>
      </c>
    </row>
    <row r="1347" spans="2:8" ht="15.5" hidden="1" x14ac:dyDescent="0.35">
      <c r="B1347" s="75" t="s">
        <v>135</v>
      </c>
      <c r="C1347" s="75" t="s">
        <v>111</v>
      </c>
      <c r="D1347" s="73" t="s">
        <v>445</v>
      </c>
      <c r="E1347" s="74">
        <v>0.01</v>
      </c>
      <c r="F1347" s="78" t="s">
        <v>237</v>
      </c>
      <c r="G1347" s="77" t="s">
        <v>220</v>
      </c>
      <c r="H1347" t="str">
        <f>VLOOKUP(D1347,'DETALLE PRECIO INGREDIENTES'!B:B,1,0)</f>
        <v>SAL DE MESA LOBOS</v>
      </c>
    </row>
    <row r="1348" spans="2:8" ht="15.5" hidden="1" x14ac:dyDescent="0.35">
      <c r="B1348" s="75" t="s">
        <v>135</v>
      </c>
      <c r="C1348" s="75" t="s">
        <v>111</v>
      </c>
      <c r="D1348" s="73" t="s">
        <v>354</v>
      </c>
      <c r="E1348" s="74">
        <v>0.04</v>
      </c>
      <c r="F1348" s="78" t="s">
        <v>237</v>
      </c>
      <c r="G1348" s="77" t="s">
        <v>220</v>
      </c>
      <c r="H1348" t="str">
        <f>VLOOKUP(D1348,'DETALLE PRECIO INGREDIENTES'!B:B,1,0)</f>
        <v>HARINA BIZCOCHERA</v>
      </c>
    </row>
    <row r="1349" spans="2:8" ht="15.5" hidden="1" x14ac:dyDescent="0.35">
      <c r="B1349" s="75" t="s">
        <v>135</v>
      </c>
      <c r="C1349" s="75" t="s">
        <v>111</v>
      </c>
      <c r="D1349" s="73" t="s">
        <v>482</v>
      </c>
      <c r="E1349" s="74">
        <v>0.05</v>
      </c>
      <c r="F1349" s="78" t="s">
        <v>222</v>
      </c>
      <c r="G1349" s="77" t="s">
        <v>480</v>
      </c>
      <c r="H1349" t="str">
        <f>VLOOKUP(D1349,'DETALLE PRECIO INGREDIENTES'!B:B,1,0)</f>
        <v>AGUA MINERAL C/GAS</v>
      </c>
    </row>
    <row r="1350" spans="2:8" ht="15.5" hidden="1" x14ac:dyDescent="0.35">
      <c r="B1350" s="75" t="s">
        <v>135</v>
      </c>
      <c r="C1350" s="75" t="s">
        <v>111</v>
      </c>
      <c r="D1350" s="73" t="s">
        <v>235</v>
      </c>
      <c r="E1350" s="74">
        <v>0.2</v>
      </c>
      <c r="F1350" s="78" t="s">
        <v>222</v>
      </c>
      <c r="G1350" s="77" t="s">
        <v>220</v>
      </c>
      <c r="H1350" t="str">
        <f>VLOOKUP(D1350,'DETALLE PRECIO INGREDIENTES'!B:B,1,0)</f>
        <v>ACEITE VEGETAL</v>
      </c>
    </row>
    <row r="1351" spans="2:8" ht="15.5" hidden="1" x14ac:dyDescent="0.35">
      <c r="B1351" s="75" t="s">
        <v>135</v>
      </c>
      <c r="C1351" s="75" t="s">
        <v>111</v>
      </c>
      <c r="D1351" s="73" t="s">
        <v>397</v>
      </c>
      <c r="E1351" s="74">
        <v>0.01</v>
      </c>
      <c r="F1351" s="78" t="s">
        <v>237</v>
      </c>
      <c r="G1351" s="77" t="s">
        <v>220</v>
      </c>
      <c r="H1351" t="str">
        <f>VLOOKUP(D1351,'DETALLE PRECIO INGREDIENTES'!B:B,1,0)</f>
        <v>MOSTAZA</v>
      </c>
    </row>
    <row r="1352" spans="2:8" ht="15.5" hidden="1" x14ac:dyDescent="0.35">
      <c r="B1352" s="75" t="s">
        <v>135</v>
      </c>
      <c r="C1352" s="75" t="s">
        <v>110</v>
      </c>
      <c r="D1352" s="73" t="s">
        <v>821</v>
      </c>
      <c r="E1352" s="74">
        <v>0.2</v>
      </c>
      <c r="F1352" s="78" t="s">
        <v>237</v>
      </c>
      <c r="G1352" s="77" t="s">
        <v>806</v>
      </c>
      <c r="H1352" t="str">
        <f>VLOOKUP(D1352,'DETALLE PRECIO INGREDIENTES'!B:B,1,0)</f>
        <v>CONGRIO NEGRO ENTERO FRESCO</v>
      </c>
    </row>
    <row r="1353" spans="2:8" ht="15.5" hidden="1" x14ac:dyDescent="0.35">
      <c r="B1353" s="75" t="s">
        <v>135</v>
      </c>
      <c r="C1353" s="75" t="s">
        <v>110</v>
      </c>
      <c r="D1353" s="73" t="s">
        <v>824</v>
      </c>
      <c r="E1353" s="74">
        <v>0.1</v>
      </c>
      <c r="F1353" s="78" t="s">
        <v>237</v>
      </c>
      <c r="G1353" s="77" t="s">
        <v>806</v>
      </c>
      <c r="H1353" t="str">
        <f>VLOOKUP(D1353,'DETALLE PRECIO INGREDIENTES'!B:B,1,0)</f>
        <v>ESPINAS DE PESCADO</v>
      </c>
    </row>
    <row r="1354" spans="2:8" ht="15.5" x14ac:dyDescent="0.35">
      <c r="B1354" s="75" t="s">
        <v>135</v>
      </c>
      <c r="C1354" s="75" t="s">
        <v>110</v>
      </c>
      <c r="D1354" s="73" t="s">
        <v>903</v>
      </c>
      <c r="E1354" s="74">
        <v>0.3</v>
      </c>
      <c r="F1354" s="78" t="s">
        <v>259</v>
      </c>
      <c r="G1354" s="77" t="s">
        <v>621</v>
      </c>
      <c r="H1354" t="e">
        <f>VLOOKUP(D1354,'DETALLE PRECIO INGREDIENTES'!B:B,1,0)</f>
        <v>#N/A</v>
      </c>
    </row>
    <row r="1355" spans="2:8" ht="15.5" hidden="1" x14ac:dyDescent="0.35">
      <c r="B1355" s="75" t="s">
        <v>135</v>
      </c>
      <c r="C1355" s="75" t="s">
        <v>110</v>
      </c>
      <c r="D1355" s="73" t="s">
        <v>720</v>
      </c>
      <c r="E1355" s="74">
        <v>0.05</v>
      </c>
      <c r="F1355" s="78" t="s">
        <v>237</v>
      </c>
      <c r="G1355" s="77" t="s">
        <v>621</v>
      </c>
      <c r="H1355" t="str">
        <f>VLOOKUP(D1355,'DETALLE PRECIO INGREDIENTES'!B:B,1,0)</f>
        <v>ZANAHORIA</v>
      </c>
    </row>
    <row r="1356" spans="2:8" ht="15.5" hidden="1" x14ac:dyDescent="0.35">
      <c r="B1356" s="75" t="s">
        <v>135</v>
      </c>
      <c r="C1356" s="75" t="s">
        <v>110</v>
      </c>
      <c r="D1356" s="73" t="s">
        <v>707</v>
      </c>
      <c r="E1356" s="74">
        <v>0.25</v>
      </c>
      <c r="F1356" s="78" t="s">
        <v>259</v>
      </c>
      <c r="G1356" s="77" t="s">
        <v>621</v>
      </c>
      <c r="H1356" t="str">
        <f>VLOOKUP(D1356,'DETALLE PRECIO INGREDIENTES'!B:B,1,0)</f>
        <v>PUERROS</v>
      </c>
    </row>
    <row r="1357" spans="2:8" ht="15.5" hidden="1" x14ac:dyDescent="0.35">
      <c r="B1357" s="75" t="s">
        <v>135</v>
      </c>
      <c r="C1357" s="75" t="s">
        <v>110</v>
      </c>
      <c r="D1357" s="73" t="s">
        <v>718</v>
      </c>
      <c r="E1357" s="74">
        <v>0.01</v>
      </c>
      <c r="F1357" s="78" t="s">
        <v>237</v>
      </c>
      <c r="G1357" s="77" t="s">
        <v>621</v>
      </c>
      <c r="H1357" t="str">
        <f>VLOOKUP(D1357,'DETALLE PRECIO INGREDIENTES'!B:B,1,0)</f>
        <v>TOMILLO FRESCO</v>
      </c>
    </row>
    <row r="1358" spans="2:8" ht="15.5" hidden="1" x14ac:dyDescent="0.35">
      <c r="B1358" s="75" t="s">
        <v>135</v>
      </c>
      <c r="C1358" s="75" t="s">
        <v>110</v>
      </c>
      <c r="D1358" s="73" t="s">
        <v>711</v>
      </c>
      <c r="E1358" s="74">
        <v>0.01</v>
      </c>
      <c r="F1358" s="78" t="s">
        <v>237</v>
      </c>
      <c r="G1358" s="77" t="s">
        <v>621</v>
      </c>
      <c r="H1358" t="str">
        <f>VLOOKUP(D1358,'DETALLE PRECIO INGREDIENTES'!B:B,1,0)</f>
        <v>ROMERO FRESCO EN RAMA</v>
      </c>
    </row>
    <row r="1359" spans="2:8" ht="15.5" hidden="1" x14ac:dyDescent="0.35">
      <c r="B1359" s="75" t="s">
        <v>135</v>
      </c>
      <c r="C1359" s="75" t="s">
        <v>110</v>
      </c>
      <c r="D1359" s="73" t="s">
        <v>644</v>
      </c>
      <c r="E1359" s="74">
        <v>0.08</v>
      </c>
      <c r="F1359" s="78" t="s">
        <v>237</v>
      </c>
      <c r="G1359" s="77" t="s">
        <v>621</v>
      </c>
      <c r="H1359" t="str">
        <f>VLOOKUP(D1359,'DETALLE PRECIO INGREDIENTES'!B:B,1,0)</f>
        <v>CEBOLLA BLANCA</v>
      </c>
    </row>
    <row r="1360" spans="2:8" ht="15.5" hidden="1" x14ac:dyDescent="0.35">
      <c r="B1360" s="75" t="s">
        <v>135</v>
      </c>
      <c r="C1360" s="75" t="s">
        <v>110</v>
      </c>
      <c r="D1360" s="73" t="s">
        <v>720</v>
      </c>
      <c r="E1360" s="74">
        <v>0.05</v>
      </c>
      <c r="F1360" s="78" t="s">
        <v>237</v>
      </c>
      <c r="G1360" s="77" t="s">
        <v>621</v>
      </c>
      <c r="H1360" t="str">
        <f>VLOOKUP(D1360,'DETALLE PRECIO INGREDIENTES'!B:B,1,0)</f>
        <v>ZANAHORIA</v>
      </c>
    </row>
    <row r="1361" spans="2:8" ht="15.5" hidden="1" x14ac:dyDescent="0.35">
      <c r="B1361" s="75" t="s">
        <v>135</v>
      </c>
      <c r="C1361" s="75" t="s">
        <v>110</v>
      </c>
      <c r="D1361" s="73" t="s">
        <v>702</v>
      </c>
      <c r="E1361" s="74">
        <v>0.125</v>
      </c>
      <c r="F1361" s="78" t="s">
        <v>259</v>
      </c>
      <c r="G1361" s="77" t="s">
        <v>621</v>
      </c>
      <c r="H1361" t="str">
        <f>VLOOKUP(D1361,'DETALLE PRECIO INGREDIENTES'!B:B,1,0)</f>
        <v>PIMIENTO ROJO</v>
      </c>
    </row>
    <row r="1362" spans="2:8" ht="15.5" hidden="1" x14ac:dyDescent="0.35">
      <c r="B1362" s="75" t="s">
        <v>135</v>
      </c>
      <c r="C1362" s="75" t="s">
        <v>110</v>
      </c>
      <c r="D1362" s="73" t="s">
        <v>716</v>
      </c>
      <c r="E1362" s="74">
        <v>0.05</v>
      </c>
      <c r="F1362" s="78" t="s">
        <v>237</v>
      </c>
      <c r="G1362" s="77" t="s">
        <v>621</v>
      </c>
      <c r="H1362" t="str">
        <f>VLOOKUP(D1362,'DETALLE PRECIO INGREDIENTES'!B:B,1,0)</f>
        <v>TOMATE LARGA VIDA</v>
      </c>
    </row>
    <row r="1363" spans="2:8" ht="15.5" hidden="1" x14ac:dyDescent="0.35">
      <c r="B1363" s="75" t="s">
        <v>135</v>
      </c>
      <c r="C1363" s="75" t="s">
        <v>110</v>
      </c>
      <c r="D1363" s="73" t="s">
        <v>627</v>
      </c>
      <c r="E1363" s="74">
        <v>1.4999999999999999E-2</v>
      </c>
      <c r="F1363" s="78" t="s">
        <v>237</v>
      </c>
      <c r="G1363" s="77" t="s">
        <v>621</v>
      </c>
      <c r="H1363" t="str">
        <f>VLOOKUP(D1363,'DETALLE PRECIO INGREDIENTES'!B:B,1,0)</f>
        <v>AJI VERDE</v>
      </c>
    </row>
    <row r="1364" spans="2:8" ht="15.5" hidden="1" x14ac:dyDescent="0.35">
      <c r="B1364" s="75" t="s">
        <v>135</v>
      </c>
      <c r="C1364" s="75" t="s">
        <v>110</v>
      </c>
      <c r="D1364" s="73" t="s">
        <v>228</v>
      </c>
      <c r="E1364" s="74">
        <v>0.03</v>
      </c>
      <c r="F1364" s="78" t="s">
        <v>222</v>
      </c>
      <c r="G1364" s="77" t="s">
        <v>220</v>
      </c>
      <c r="H1364" t="str">
        <f>VLOOKUP(D1364,'DETALLE PRECIO INGREDIENTES'!B:B,1,0)</f>
        <v>ACEITE DE MARAVILLA</v>
      </c>
    </row>
    <row r="1365" spans="2:8" ht="15.5" x14ac:dyDescent="0.35">
      <c r="B1365" s="75" t="s">
        <v>135</v>
      </c>
      <c r="C1365" s="75" t="s">
        <v>110</v>
      </c>
      <c r="D1365" s="73" t="s">
        <v>960</v>
      </c>
      <c r="E1365" s="74">
        <v>1</v>
      </c>
      <c r="F1365" s="78" t="s">
        <v>259</v>
      </c>
      <c r="G1365" s="77" t="s">
        <v>621</v>
      </c>
      <c r="H1365" t="e">
        <f>VLOOKUP(D1365,'DETALLE PRECIO INGREDIENTES'!B:B,1,0)</f>
        <v>#N/A</v>
      </c>
    </row>
    <row r="1366" spans="2:8" ht="15.5" hidden="1" x14ac:dyDescent="0.35">
      <c r="B1366" s="75" t="s">
        <v>135</v>
      </c>
      <c r="C1366" s="75" t="s">
        <v>110</v>
      </c>
      <c r="D1366" s="73" t="s">
        <v>680</v>
      </c>
      <c r="E1366" s="74">
        <v>0.12</v>
      </c>
      <c r="F1366" s="78" t="s">
        <v>237</v>
      </c>
      <c r="G1366" s="77" t="s">
        <v>621</v>
      </c>
      <c r="H1366" t="str">
        <f>VLOOKUP(D1366,'DETALLE PRECIO INGREDIENTES'!B:B,1,0)</f>
        <v>LIMON DE JUGO</v>
      </c>
    </row>
    <row r="1367" spans="2:8" ht="15.5" hidden="1" x14ac:dyDescent="0.35">
      <c r="B1367" s="75" t="s">
        <v>135</v>
      </c>
      <c r="C1367" s="75" t="s">
        <v>110</v>
      </c>
      <c r="D1367" s="73" t="s">
        <v>657</v>
      </c>
      <c r="E1367" s="74">
        <v>0.03</v>
      </c>
      <c r="F1367" s="78" t="s">
        <v>237</v>
      </c>
      <c r="G1367" s="77" t="s">
        <v>621</v>
      </c>
      <c r="H1367" t="str">
        <f>VLOOKUP(D1367,'DETALLE PRECIO INGREDIENTES'!B:B,1,0)</f>
        <v>CILANTRO</v>
      </c>
    </row>
    <row r="1368" spans="2:8" ht="15.5" hidden="1" x14ac:dyDescent="0.35">
      <c r="B1368" s="75" t="s">
        <v>135</v>
      </c>
      <c r="C1368" s="75" t="s">
        <v>110</v>
      </c>
      <c r="D1368" s="73" t="s">
        <v>698</v>
      </c>
      <c r="E1368" s="74">
        <v>0.02</v>
      </c>
      <c r="F1368" s="78" t="s">
        <v>237</v>
      </c>
      <c r="G1368" s="77" t="s">
        <v>621</v>
      </c>
      <c r="H1368" t="str">
        <f>VLOOKUP(D1368,'DETALLE PRECIO INGREDIENTES'!B:B,1,0)</f>
        <v>PEREJIL</v>
      </c>
    </row>
    <row r="1369" spans="2:8" ht="15.5" hidden="1" x14ac:dyDescent="0.35">
      <c r="B1369" s="75" t="s">
        <v>135</v>
      </c>
      <c r="C1369" s="75" t="s">
        <v>110</v>
      </c>
      <c r="D1369" s="73" t="s">
        <v>354</v>
      </c>
      <c r="E1369" s="74">
        <v>0.12</v>
      </c>
      <c r="F1369" s="78" t="s">
        <v>237</v>
      </c>
      <c r="G1369" s="77" t="s">
        <v>220</v>
      </c>
      <c r="H1369" t="str">
        <f>VLOOKUP(D1369,'DETALLE PRECIO INGREDIENTES'!B:B,1,0)</f>
        <v>HARINA BIZCOCHERA</v>
      </c>
    </row>
    <row r="1370" spans="2:8" ht="15.5" hidden="1" x14ac:dyDescent="0.35">
      <c r="B1370" s="75" t="s">
        <v>135</v>
      </c>
      <c r="C1370" s="75" t="s">
        <v>110</v>
      </c>
      <c r="D1370" s="73" t="s">
        <v>381</v>
      </c>
      <c r="E1370" s="74">
        <v>0.02</v>
      </c>
      <c r="F1370" s="78" t="s">
        <v>237</v>
      </c>
      <c r="G1370" s="77" t="s">
        <v>220</v>
      </c>
      <c r="H1370" t="str">
        <f>VLOOKUP(D1370,'DETALLE PRECIO INGREDIENTES'!B:B,1,0)</f>
        <v>MANTECA VEGETAL</v>
      </c>
    </row>
    <row r="1371" spans="2:8" ht="15.5" hidden="1" x14ac:dyDescent="0.35">
      <c r="B1371" s="75" t="s">
        <v>135</v>
      </c>
      <c r="C1371" s="75" t="s">
        <v>110</v>
      </c>
      <c r="D1371" s="73" t="s">
        <v>374</v>
      </c>
      <c r="E1371" s="74">
        <v>2E-3</v>
      </c>
      <c r="F1371" s="78" t="s">
        <v>237</v>
      </c>
      <c r="G1371" s="77" t="s">
        <v>220</v>
      </c>
      <c r="H1371" t="str">
        <f>VLOOKUP(D1371,'DETALLE PRECIO INGREDIENTES'!B:B,1,0)</f>
        <v>LEVADURA SECA</v>
      </c>
    </row>
    <row r="1372" spans="2:8" ht="15.5" hidden="1" x14ac:dyDescent="0.35">
      <c r="B1372" s="75" t="s">
        <v>135</v>
      </c>
      <c r="C1372" s="75" t="s">
        <v>110</v>
      </c>
      <c r="D1372" s="73" t="s">
        <v>716</v>
      </c>
      <c r="E1372" s="74">
        <v>0.1</v>
      </c>
      <c r="F1372" s="78" t="s">
        <v>237</v>
      </c>
      <c r="G1372" s="77" t="s">
        <v>621</v>
      </c>
      <c r="H1372" t="str">
        <f>VLOOKUP(D1372,'DETALLE PRECIO INGREDIENTES'!B:B,1,0)</f>
        <v>TOMATE LARGA VIDA</v>
      </c>
    </row>
    <row r="1373" spans="2:8" ht="15.5" hidden="1" x14ac:dyDescent="0.35">
      <c r="B1373" s="75" t="s">
        <v>135</v>
      </c>
      <c r="C1373" s="75" t="s">
        <v>110</v>
      </c>
      <c r="D1373" s="73" t="s">
        <v>628</v>
      </c>
      <c r="E1373" s="74">
        <v>0.2</v>
      </c>
      <c r="F1373" s="78" t="s">
        <v>259</v>
      </c>
      <c r="G1373" s="77" t="s">
        <v>621</v>
      </c>
      <c r="H1373" t="str">
        <f>VLOOKUP(D1373,'DETALLE PRECIO INGREDIENTES'!B:B,1,0)</f>
        <v>AJO CABEZA</v>
      </c>
    </row>
    <row r="1374" spans="2:8" ht="15.5" hidden="1" x14ac:dyDescent="0.35">
      <c r="B1374" s="75" t="s">
        <v>135</v>
      </c>
      <c r="C1374" s="75" t="s">
        <v>110</v>
      </c>
      <c r="D1374" s="73" t="s">
        <v>477</v>
      </c>
      <c r="E1374" s="74">
        <v>0.01</v>
      </c>
      <c r="F1374" s="78" t="s">
        <v>222</v>
      </c>
      <c r="G1374" s="77" t="s">
        <v>220</v>
      </c>
      <c r="H1374" t="str">
        <f>VLOOKUP(D1374,'DETALLE PRECIO INGREDIENTES'!B:B,1,0)</f>
        <v>VINAGRE TINTO</v>
      </c>
    </row>
    <row r="1375" spans="2:8" ht="15.5" hidden="1" x14ac:dyDescent="0.35">
      <c r="B1375" s="75" t="s">
        <v>135</v>
      </c>
      <c r="C1375" s="75" t="s">
        <v>109</v>
      </c>
      <c r="D1375" s="73" t="s">
        <v>854</v>
      </c>
      <c r="E1375" s="74">
        <v>0.05</v>
      </c>
      <c r="F1375" s="78" t="s">
        <v>237</v>
      </c>
      <c r="G1375" s="77" t="s">
        <v>852</v>
      </c>
      <c r="H1375" t="str">
        <f>VLOOKUP(D1375,'DETALLE PRECIO INGREDIENTES'!B:B,1,0)</f>
        <v>CHARQUI</v>
      </c>
    </row>
    <row r="1376" spans="2:8" ht="15.5" hidden="1" x14ac:dyDescent="0.35">
      <c r="B1376" s="75" t="s">
        <v>135</v>
      </c>
      <c r="C1376" s="75" t="s">
        <v>109</v>
      </c>
      <c r="D1376" s="73" t="s">
        <v>644</v>
      </c>
      <c r="E1376" s="74">
        <v>0.09</v>
      </c>
      <c r="F1376" s="78" t="s">
        <v>237</v>
      </c>
      <c r="G1376" s="77" t="s">
        <v>621</v>
      </c>
      <c r="H1376" t="str">
        <f>VLOOKUP(D1376,'DETALLE PRECIO INGREDIENTES'!B:B,1,0)</f>
        <v>CEBOLLA BLANCA</v>
      </c>
    </row>
    <row r="1377" spans="2:8" ht="15.5" hidden="1" x14ac:dyDescent="0.35">
      <c r="B1377" s="75" t="s">
        <v>135</v>
      </c>
      <c r="C1377" s="75" t="s">
        <v>109</v>
      </c>
      <c r="D1377" s="73" t="s">
        <v>720</v>
      </c>
      <c r="E1377" s="74">
        <v>0.05</v>
      </c>
      <c r="F1377" s="78" t="s">
        <v>237</v>
      </c>
      <c r="G1377" s="77" t="s">
        <v>621</v>
      </c>
      <c r="H1377" t="str">
        <f>VLOOKUP(D1377,'DETALLE PRECIO INGREDIENTES'!B:B,1,0)</f>
        <v>ZANAHORIA</v>
      </c>
    </row>
    <row r="1378" spans="2:8" ht="15.5" hidden="1" x14ac:dyDescent="0.35">
      <c r="B1378" s="75" t="s">
        <v>135</v>
      </c>
      <c r="C1378" s="75" t="s">
        <v>109</v>
      </c>
      <c r="D1378" s="73" t="s">
        <v>628</v>
      </c>
      <c r="E1378" s="74">
        <v>0.2</v>
      </c>
      <c r="F1378" s="78" t="s">
        <v>259</v>
      </c>
      <c r="G1378" s="77" t="s">
        <v>621</v>
      </c>
      <c r="H1378" t="str">
        <f>VLOOKUP(D1378,'DETALLE PRECIO INGREDIENTES'!B:B,1,0)</f>
        <v>AJO CABEZA</v>
      </c>
    </row>
    <row r="1379" spans="2:8" ht="15.5" hidden="1" x14ac:dyDescent="0.35">
      <c r="B1379" s="75" t="s">
        <v>135</v>
      </c>
      <c r="C1379" s="75" t="s">
        <v>109</v>
      </c>
      <c r="D1379" s="73" t="s">
        <v>702</v>
      </c>
      <c r="E1379" s="74">
        <v>0.25</v>
      </c>
      <c r="F1379" s="78" t="s">
        <v>259</v>
      </c>
      <c r="G1379" s="77" t="s">
        <v>621</v>
      </c>
      <c r="H1379" t="str">
        <f>VLOOKUP(D1379,'DETALLE PRECIO INGREDIENTES'!B:B,1,0)</f>
        <v>PIMIENTO ROJO</v>
      </c>
    </row>
    <row r="1380" spans="2:8" ht="15.5" hidden="1" x14ac:dyDescent="0.35">
      <c r="B1380" s="75" t="s">
        <v>135</v>
      </c>
      <c r="C1380" s="75" t="s">
        <v>109</v>
      </c>
      <c r="D1380" s="73" t="s">
        <v>228</v>
      </c>
      <c r="E1380" s="74">
        <v>0.02</v>
      </c>
      <c r="F1380" s="78" t="s">
        <v>222</v>
      </c>
      <c r="G1380" s="77" t="s">
        <v>220</v>
      </c>
      <c r="H1380" t="str">
        <f>VLOOKUP(D1380,'DETALLE PRECIO INGREDIENTES'!B:B,1,0)</f>
        <v>ACEITE DE MARAVILLA</v>
      </c>
    </row>
    <row r="1381" spans="2:8" ht="15.5" hidden="1" x14ac:dyDescent="0.35">
      <c r="B1381" s="75" t="s">
        <v>135</v>
      </c>
      <c r="C1381" s="75" t="s">
        <v>109</v>
      </c>
      <c r="D1381" s="73" t="s">
        <v>428</v>
      </c>
      <c r="E1381" s="74">
        <v>1E-3</v>
      </c>
      <c r="F1381" s="78" t="s">
        <v>237</v>
      </c>
      <c r="G1381" s="77" t="s">
        <v>220</v>
      </c>
      <c r="H1381" t="str">
        <f>VLOOKUP(D1381,'DETALLE PRECIO INGREDIENTES'!B:B,1,0)</f>
        <v>PIMIENTA NEGRA MOLIDA</v>
      </c>
    </row>
    <row r="1382" spans="2:8" ht="15.5" hidden="1" x14ac:dyDescent="0.35">
      <c r="B1382" s="75" t="s">
        <v>135</v>
      </c>
      <c r="C1382" s="75" t="s">
        <v>109</v>
      </c>
      <c r="D1382" s="73" t="s">
        <v>445</v>
      </c>
      <c r="E1382" s="74">
        <v>1E-3</v>
      </c>
      <c r="F1382" s="78" t="s">
        <v>237</v>
      </c>
      <c r="G1382" s="77" t="s">
        <v>220</v>
      </c>
      <c r="H1382" t="str">
        <f>VLOOKUP(D1382,'DETALLE PRECIO INGREDIENTES'!B:B,1,0)</f>
        <v>SAL DE MESA LOBOS</v>
      </c>
    </row>
    <row r="1383" spans="2:8" ht="15.5" hidden="1" x14ac:dyDescent="0.35">
      <c r="B1383" s="75" t="s">
        <v>135</v>
      </c>
      <c r="C1383" s="75" t="s">
        <v>109</v>
      </c>
      <c r="D1383" s="73" t="s">
        <v>309</v>
      </c>
      <c r="E1383" s="74">
        <v>0.01</v>
      </c>
      <c r="F1383" s="78" t="s">
        <v>237</v>
      </c>
      <c r="G1383" s="77" t="s">
        <v>220</v>
      </c>
      <c r="H1383" t="str">
        <f>VLOOKUP(D1383,'DETALLE PRECIO INGREDIENTES'!B:B,1,0)</f>
        <v>COMINO MOLIDO</v>
      </c>
    </row>
    <row r="1384" spans="2:8" ht="15.5" hidden="1" x14ac:dyDescent="0.35">
      <c r="B1384" s="75" t="s">
        <v>135</v>
      </c>
      <c r="C1384" s="75" t="s">
        <v>109</v>
      </c>
      <c r="D1384" s="73" t="s">
        <v>248</v>
      </c>
      <c r="E1384" s="74">
        <v>1E-3</v>
      </c>
      <c r="F1384" s="78" t="s">
        <v>237</v>
      </c>
      <c r="G1384" s="77" t="s">
        <v>220</v>
      </c>
      <c r="H1384" t="str">
        <f>VLOOKUP(D1384,'DETALLE PRECIO INGREDIENTES'!B:B,1,0)</f>
        <v>AJI DE COLOR</v>
      </c>
    </row>
    <row r="1385" spans="2:8" ht="15.5" hidden="1" x14ac:dyDescent="0.35">
      <c r="B1385" s="75" t="s">
        <v>135</v>
      </c>
      <c r="C1385" s="75" t="s">
        <v>109</v>
      </c>
      <c r="D1385" s="73" t="s">
        <v>407</v>
      </c>
      <c r="E1385" s="74">
        <v>1E-3</v>
      </c>
      <c r="F1385" s="78" t="s">
        <v>237</v>
      </c>
      <c r="G1385" s="77" t="s">
        <v>220</v>
      </c>
      <c r="H1385" t="str">
        <f>VLOOKUP(D1385,'DETALLE PRECIO INGREDIENTES'!B:B,1,0)</f>
        <v>OREGANO SECO</v>
      </c>
    </row>
    <row r="1386" spans="2:8" ht="15.5" x14ac:dyDescent="0.35">
      <c r="B1386" s="75" t="s">
        <v>135</v>
      </c>
      <c r="C1386" s="75" t="s">
        <v>109</v>
      </c>
      <c r="D1386" s="73" t="s">
        <v>960</v>
      </c>
      <c r="E1386" s="74">
        <v>0.5</v>
      </c>
      <c r="F1386" s="78" t="s">
        <v>259</v>
      </c>
      <c r="G1386" s="77" t="s">
        <v>621</v>
      </c>
      <c r="H1386" t="e">
        <f>VLOOKUP(D1386,'DETALLE PRECIO INGREDIENTES'!B:B,1,0)</f>
        <v>#N/A</v>
      </c>
    </row>
    <row r="1387" spans="2:8" ht="15.5" hidden="1" x14ac:dyDescent="0.35">
      <c r="B1387" s="75" t="s">
        <v>135</v>
      </c>
      <c r="C1387" s="75" t="s">
        <v>109</v>
      </c>
      <c r="D1387" s="73" t="s">
        <v>722</v>
      </c>
      <c r="E1387" s="74">
        <v>0.08</v>
      </c>
      <c r="F1387" s="78" t="s">
        <v>237</v>
      </c>
      <c r="G1387" s="77" t="s">
        <v>621</v>
      </c>
      <c r="H1387" t="str">
        <f>VLOOKUP(D1387,'DETALLE PRECIO INGREDIENTES'!B:B,1,0)</f>
        <v>ZAPALLO CAMOTE</v>
      </c>
    </row>
    <row r="1388" spans="2:8" ht="15.5" hidden="1" x14ac:dyDescent="0.35">
      <c r="B1388" s="75" t="s">
        <v>135</v>
      </c>
      <c r="C1388" s="75" t="s">
        <v>109</v>
      </c>
      <c r="D1388" s="73" t="s">
        <v>653</v>
      </c>
      <c r="E1388" s="74">
        <v>0.05</v>
      </c>
      <c r="F1388" s="78" t="s">
        <v>237</v>
      </c>
      <c r="G1388" s="77" t="s">
        <v>621</v>
      </c>
      <c r="H1388" t="str">
        <f>VLOOKUP(D1388,'DETALLE PRECIO INGREDIENTES'!B:B,1,0)</f>
        <v>CHOCLO GRANO CONGELADO</v>
      </c>
    </row>
    <row r="1389" spans="2:8" ht="15.5" hidden="1" x14ac:dyDescent="0.35">
      <c r="B1389" s="75" t="s">
        <v>135</v>
      </c>
      <c r="C1389" s="75" t="s">
        <v>109</v>
      </c>
      <c r="D1389" s="73" t="s">
        <v>589</v>
      </c>
      <c r="E1389" s="74">
        <v>0.05</v>
      </c>
      <c r="F1389" s="78" t="s">
        <v>237</v>
      </c>
      <c r="G1389" s="77" t="s">
        <v>587</v>
      </c>
      <c r="H1389" t="str">
        <f>VLOOKUP(D1389,'DETALLE PRECIO INGREDIENTES'!B:B,1,0)</f>
        <v>POROTOS VERDES CONGELADOS</v>
      </c>
    </row>
    <row r="1390" spans="2:8" ht="15.5" hidden="1" x14ac:dyDescent="0.35">
      <c r="B1390" s="75" t="s">
        <v>135</v>
      </c>
      <c r="C1390" s="75" t="s">
        <v>109</v>
      </c>
      <c r="D1390" s="73" t="s">
        <v>635</v>
      </c>
      <c r="E1390" s="74">
        <v>0.05</v>
      </c>
      <c r="F1390" s="78" t="s">
        <v>237</v>
      </c>
      <c r="G1390" s="77" t="s">
        <v>621</v>
      </c>
      <c r="H1390" t="str">
        <f>VLOOKUP(D1390,'DETALLE PRECIO INGREDIENTES'!B:B,1,0)</f>
        <v>ARVEJAS CONGELADAS</v>
      </c>
    </row>
    <row r="1391" spans="2:8" ht="15.5" hidden="1" x14ac:dyDescent="0.35">
      <c r="B1391" s="75" t="s">
        <v>135</v>
      </c>
      <c r="C1391" s="75" t="s">
        <v>109</v>
      </c>
      <c r="D1391" s="73" t="s">
        <v>729</v>
      </c>
      <c r="E1391" s="74">
        <v>1.25</v>
      </c>
      <c r="F1391" s="78" t="s">
        <v>259</v>
      </c>
      <c r="G1391" s="77" t="s">
        <v>728</v>
      </c>
      <c r="H1391" t="str">
        <f>VLOOKUP(D1391,'DETALLE PRECIO INGREDIENTES'!B:B,1,0)</f>
        <v>HUEVO EXTRA BLANCO</v>
      </c>
    </row>
    <row r="1392" spans="2:8" ht="15.5" hidden="1" x14ac:dyDescent="0.35">
      <c r="B1392" s="75" t="s">
        <v>135</v>
      </c>
      <c r="C1392" s="75" t="s">
        <v>109</v>
      </c>
      <c r="D1392" s="73" t="s">
        <v>470</v>
      </c>
      <c r="E1392" s="74">
        <v>7.4999999999999997E-2</v>
      </c>
      <c r="F1392" s="78" t="s">
        <v>237</v>
      </c>
      <c r="G1392" s="77" t="s">
        <v>220</v>
      </c>
      <c r="H1392" t="str">
        <f>VLOOKUP(D1392,'DETALLE PRECIO INGREDIENTES'!B:B,1,0)</f>
        <v>TRIGO MOTE</v>
      </c>
    </row>
    <row r="1393" spans="2:8" ht="15.5" hidden="1" x14ac:dyDescent="0.35">
      <c r="B1393" s="75" t="s">
        <v>135</v>
      </c>
      <c r="C1393" s="75" t="s">
        <v>109</v>
      </c>
      <c r="D1393" s="73" t="s">
        <v>543</v>
      </c>
      <c r="E1393" s="74">
        <v>2.5000000000000001E-2</v>
      </c>
      <c r="F1393" s="78" t="s">
        <v>237</v>
      </c>
      <c r="G1393" s="77" t="s">
        <v>525</v>
      </c>
      <c r="H1393" t="str">
        <f>VLOOKUP(D1393,'DETALLE PRECIO INGREDIENTES'!B:B,1,0)</f>
        <v>MANTECA DE CERDO</v>
      </c>
    </row>
    <row r="1394" spans="2:8" ht="15.5" hidden="1" x14ac:dyDescent="0.35">
      <c r="B1394" s="75" t="s">
        <v>135</v>
      </c>
      <c r="C1394" s="75" t="s">
        <v>109</v>
      </c>
      <c r="D1394" s="73" t="s">
        <v>961</v>
      </c>
      <c r="E1394" s="74">
        <v>2.5000000000000001E-2</v>
      </c>
      <c r="F1394" s="78" t="s">
        <v>237</v>
      </c>
      <c r="G1394" s="77" t="s">
        <v>220</v>
      </c>
      <c r="H1394" t="str">
        <f>VLOOKUP(D1394,'DETALLE PRECIO INGREDIENTES'!B:B,1,0)</f>
        <v>miel</v>
      </c>
    </row>
    <row r="1395" spans="2:8" ht="15.5" hidden="1" x14ac:dyDescent="0.35">
      <c r="B1395" s="75" t="s">
        <v>135</v>
      </c>
      <c r="C1395" s="75" t="s">
        <v>109</v>
      </c>
      <c r="D1395" s="73" t="s">
        <v>636</v>
      </c>
      <c r="E1395" s="74">
        <v>7.4999999999999997E-2</v>
      </c>
      <c r="F1395" s="78" t="s">
        <v>237</v>
      </c>
      <c r="G1395" s="77" t="s">
        <v>621</v>
      </c>
      <c r="H1395" t="str">
        <f>VLOOKUP(D1395,'DETALLE PRECIO INGREDIENTES'!B:B,1,0)</f>
        <v>ARVEJAS PARTIDAS</v>
      </c>
    </row>
    <row r="1396" spans="2:8" ht="15.5" hidden="1" x14ac:dyDescent="0.35">
      <c r="B1396" s="75" t="s">
        <v>135</v>
      </c>
      <c r="C1396" s="75" t="s">
        <v>109</v>
      </c>
      <c r="D1396" s="73" t="s">
        <v>657</v>
      </c>
      <c r="E1396" s="74">
        <v>0.01</v>
      </c>
      <c r="F1396" s="78" t="s">
        <v>237</v>
      </c>
      <c r="G1396" s="77" t="s">
        <v>621</v>
      </c>
      <c r="H1396" t="str">
        <f>VLOOKUP(D1396,'DETALLE PRECIO INGREDIENTES'!B:B,1,0)</f>
        <v>CILANTRO</v>
      </c>
    </row>
    <row r="1397" spans="2:8" ht="15.5" hidden="1" x14ac:dyDescent="0.35">
      <c r="B1397" s="75" t="s">
        <v>135</v>
      </c>
      <c r="C1397" s="75" t="s">
        <v>109</v>
      </c>
      <c r="D1397" s="73" t="s">
        <v>387</v>
      </c>
      <c r="E1397" s="74">
        <v>1E-3</v>
      </c>
      <c r="F1397" s="78" t="s">
        <v>237</v>
      </c>
      <c r="G1397" s="77" t="s">
        <v>220</v>
      </c>
      <c r="H1397" t="str">
        <f>VLOOKUP(D1397,'DETALLE PRECIO INGREDIENTES'!B:B,1,0)</f>
        <v>MERKEN</v>
      </c>
    </row>
    <row r="1398" spans="2:8" ht="15.5" hidden="1" x14ac:dyDescent="0.35">
      <c r="B1398" s="75" t="s">
        <v>135</v>
      </c>
      <c r="C1398" s="75" t="s">
        <v>109</v>
      </c>
      <c r="D1398" s="73" t="s">
        <v>354</v>
      </c>
      <c r="E1398" s="74">
        <v>0.14000000000000001</v>
      </c>
      <c r="F1398" s="78" t="s">
        <v>237</v>
      </c>
      <c r="G1398" s="77" t="s">
        <v>220</v>
      </c>
      <c r="H1398" t="str">
        <f>VLOOKUP(D1398,'DETALLE PRECIO INGREDIENTES'!B:B,1,0)</f>
        <v>HARINA BIZCOCHERA</v>
      </c>
    </row>
    <row r="1399" spans="2:8" ht="15.5" hidden="1" x14ac:dyDescent="0.35">
      <c r="B1399" s="75" t="s">
        <v>135</v>
      </c>
      <c r="C1399" s="75" t="s">
        <v>109</v>
      </c>
      <c r="D1399" s="73" t="s">
        <v>381</v>
      </c>
      <c r="E1399" s="74">
        <v>0.02</v>
      </c>
      <c r="F1399" s="78" t="s">
        <v>237</v>
      </c>
      <c r="G1399" s="77" t="s">
        <v>220</v>
      </c>
      <c r="H1399" t="str">
        <f>VLOOKUP(D1399,'DETALLE PRECIO INGREDIENTES'!B:B,1,0)</f>
        <v>MANTECA VEGETAL</v>
      </c>
    </row>
    <row r="1400" spans="2:8" ht="15.5" hidden="1" x14ac:dyDescent="0.35">
      <c r="B1400" s="75" t="s">
        <v>135</v>
      </c>
      <c r="C1400" s="75" t="s">
        <v>109</v>
      </c>
      <c r="D1400" s="73" t="s">
        <v>811</v>
      </c>
      <c r="E1400" s="74">
        <v>0.1</v>
      </c>
      <c r="F1400" s="78" t="s">
        <v>237</v>
      </c>
      <c r="G1400" s="77" t="s">
        <v>806</v>
      </c>
      <c r="H1400" t="str">
        <f>VLOOKUP(D1400,'DETALLE PRECIO INGREDIENTES'!B:B,1,0)</f>
        <v>ATUN FRESCO</v>
      </c>
    </row>
    <row r="1401" spans="2:8" ht="15.5" hidden="1" x14ac:dyDescent="0.35">
      <c r="B1401" s="75" t="s">
        <v>135</v>
      </c>
      <c r="C1401" s="75" t="s">
        <v>109</v>
      </c>
      <c r="D1401" s="73" t="s">
        <v>766</v>
      </c>
      <c r="E1401" s="74">
        <v>0.1</v>
      </c>
      <c r="F1401" s="78" t="s">
        <v>237</v>
      </c>
      <c r="G1401" s="77" t="s">
        <v>736</v>
      </c>
      <c r="H1401" t="str">
        <f>VLOOKUP(D1401,'DETALLE PRECIO INGREDIENTES'!B:B,1,0)</f>
        <v>QUESO MANTECOSO PIEZA</v>
      </c>
    </row>
    <row r="1402" spans="2:8" ht="15.5" hidden="1" x14ac:dyDescent="0.35">
      <c r="B1402" s="75" t="s">
        <v>135</v>
      </c>
      <c r="C1402" s="75" t="s">
        <v>109</v>
      </c>
      <c r="D1402" s="73" t="s">
        <v>235</v>
      </c>
      <c r="E1402" s="74">
        <v>0.25</v>
      </c>
      <c r="F1402" s="78" t="s">
        <v>222</v>
      </c>
      <c r="G1402" s="77" t="s">
        <v>220</v>
      </c>
      <c r="H1402" t="str">
        <f>VLOOKUP(D1402,'DETALLE PRECIO INGREDIENTES'!B:B,1,0)</f>
        <v>ACEITE VEGETAL</v>
      </c>
    </row>
    <row r="1403" spans="2:8" ht="15.5" hidden="1" x14ac:dyDescent="0.35">
      <c r="B1403" s="75" t="s">
        <v>135</v>
      </c>
      <c r="C1403" s="75" t="s">
        <v>108</v>
      </c>
      <c r="D1403" s="73" t="s">
        <v>926</v>
      </c>
      <c r="E1403" s="74">
        <v>2.5000000000000001E-2</v>
      </c>
      <c r="F1403" s="78" t="s">
        <v>237</v>
      </c>
      <c r="G1403" s="77" t="s">
        <v>621</v>
      </c>
      <c r="H1403" t="str">
        <f>VLOOKUP(D1403,'DETALLE PRECIO INGREDIENTES'!B:B,1,0)</f>
        <v>CEBOLLA BLANCA</v>
      </c>
    </row>
    <row r="1404" spans="2:8" ht="15.5" hidden="1" x14ac:dyDescent="0.35">
      <c r="B1404" s="75" t="s">
        <v>135</v>
      </c>
      <c r="C1404" s="75" t="s">
        <v>108</v>
      </c>
      <c r="D1404" s="73" t="s">
        <v>908</v>
      </c>
      <c r="E1404" s="74">
        <v>0.05</v>
      </c>
      <c r="F1404" s="78" t="s">
        <v>259</v>
      </c>
      <c r="G1404" s="77" t="s">
        <v>621</v>
      </c>
      <c r="H1404" t="str">
        <f>VLOOKUP(D1404,'DETALLE PRECIO INGREDIENTES'!B:B,1,0)</f>
        <v>AJO CABEZA</v>
      </c>
    </row>
    <row r="1405" spans="2:8" ht="15.5" hidden="1" x14ac:dyDescent="0.35">
      <c r="B1405" s="75" t="s">
        <v>135</v>
      </c>
      <c r="C1405" s="75" t="s">
        <v>108</v>
      </c>
      <c r="D1405" s="73" t="s">
        <v>914</v>
      </c>
      <c r="E1405" s="74">
        <v>2.5000000000000001E-4</v>
      </c>
      <c r="F1405" s="78" t="s">
        <v>237</v>
      </c>
      <c r="G1405" s="77" t="s">
        <v>220</v>
      </c>
      <c r="H1405" t="str">
        <f>VLOOKUP(D1405,'DETALLE PRECIO INGREDIENTES'!B:B,1,0)</f>
        <v>PIMIENTA NEGRA MOLIDA</v>
      </c>
    </row>
    <row r="1406" spans="2:8" ht="15.5" hidden="1" x14ac:dyDescent="0.35">
      <c r="B1406" s="75" t="s">
        <v>135</v>
      </c>
      <c r="C1406" s="75" t="s">
        <v>108</v>
      </c>
      <c r="D1406" s="73" t="s">
        <v>962</v>
      </c>
      <c r="E1406" s="74">
        <v>1.5E-3</v>
      </c>
      <c r="F1406" s="78" t="s">
        <v>237</v>
      </c>
      <c r="G1406" s="77" t="s">
        <v>220</v>
      </c>
      <c r="H1406" t="str">
        <f>VLOOKUP(D1406,'DETALLE PRECIO INGREDIENTES'!B:B,1,0)</f>
        <v>SAL DE MESA LOBOS</v>
      </c>
    </row>
    <row r="1407" spans="2:8" ht="15.5" hidden="1" x14ac:dyDescent="0.35">
      <c r="B1407" s="75" t="s">
        <v>135</v>
      </c>
      <c r="C1407" s="75" t="s">
        <v>108</v>
      </c>
      <c r="D1407" s="73" t="s">
        <v>956</v>
      </c>
      <c r="E1407" s="74">
        <v>2.5000000000000001E-4</v>
      </c>
      <c r="F1407" s="78" t="s">
        <v>237</v>
      </c>
      <c r="G1407" s="77" t="s">
        <v>220</v>
      </c>
      <c r="H1407" t="str">
        <f>VLOOKUP(D1407,'DETALLE PRECIO INGREDIENTES'!B:B,1,0)</f>
        <v>COMINO MOLIDO</v>
      </c>
    </row>
    <row r="1408" spans="2:8" ht="15.5" hidden="1" x14ac:dyDescent="0.35">
      <c r="B1408" s="75" t="s">
        <v>135</v>
      </c>
      <c r="C1408" s="75" t="s">
        <v>108</v>
      </c>
      <c r="D1408" s="73" t="s">
        <v>939</v>
      </c>
      <c r="E1408" s="74">
        <v>2.5000000000000001E-4</v>
      </c>
      <c r="F1408" s="78" t="s">
        <v>237</v>
      </c>
      <c r="G1408" s="77" t="s">
        <v>220</v>
      </c>
      <c r="H1408" t="str">
        <f>VLOOKUP(D1408,'DETALLE PRECIO INGREDIENTES'!B:B,1,0)</f>
        <v>AJI DE COLOR</v>
      </c>
    </row>
    <row r="1409" spans="2:8" ht="15.5" hidden="1" x14ac:dyDescent="0.35">
      <c r="B1409" s="75" t="s">
        <v>135</v>
      </c>
      <c r="C1409" s="75" t="s">
        <v>108</v>
      </c>
      <c r="D1409" s="73" t="s">
        <v>957</v>
      </c>
      <c r="E1409" s="74">
        <v>2.5000000000000001E-4</v>
      </c>
      <c r="F1409" s="78" t="s">
        <v>237</v>
      </c>
      <c r="G1409" s="77" t="s">
        <v>220</v>
      </c>
      <c r="H1409" t="str">
        <f>VLOOKUP(D1409,'DETALLE PRECIO INGREDIENTES'!B:B,1,0)</f>
        <v>MERKEN</v>
      </c>
    </row>
    <row r="1410" spans="2:8" ht="15.5" hidden="1" x14ac:dyDescent="0.35">
      <c r="B1410" s="75" t="s">
        <v>135</v>
      </c>
      <c r="C1410" s="75" t="s">
        <v>108</v>
      </c>
      <c r="D1410" s="73" t="s">
        <v>911</v>
      </c>
      <c r="E1410" s="74">
        <v>0</v>
      </c>
      <c r="F1410" s="78" t="s">
        <v>237</v>
      </c>
      <c r="G1410" s="77" t="s">
        <v>220</v>
      </c>
      <c r="H1410" t="str">
        <f>VLOOKUP(D1410,'DETALLE PRECIO INGREDIENTES'!B:B,1,0)</f>
        <v>LAUREL</v>
      </c>
    </row>
    <row r="1411" spans="2:8" ht="15.5" hidden="1" x14ac:dyDescent="0.35">
      <c r="B1411" s="75" t="s">
        <v>135</v>
      </c>
      <c r="C1411" s="75" t="s">
        <v>108</v>
      </c>
      <c r="D1411" s="73" t="s">
        <v>234</v>
      </c>
      <c r="E1411" s="74">
        <v>1.2500000000000001E-2</v>
      </c>
      <c r="F1411" s="78" t="s">
        <v>222</v>
      </c>
      <c r="G1411" s="77" t="s">
        <v>220</v>
      </c>
      <c r="H1411" t="str">
        <f>VLOOKUP(D1411,'DETALLE PRECIO INGREDIENTES'!B:B,1,0)</f>
        <v>ACEITE SEMILLA DE GIRASOL</v>
      </c>
    </row>
    <row r="1412" spans="2:8" ht="15.5" hidden="1" x14ac:dyDescent="0.35">
      <c r="B1412" s="75" t="s">
        <v>135</v>
      </c>
      <c r="C1412" s="75" t="s">
        <v>108</v>
      </c>
      <c r="D1412" s="73" t="s">
        <v>854</v>
      </c>
      <c r="E1412" s="74">
        <v>2.5000000000000001E-2</v>
      </c>
      <c r="F1412" s="78" t="s">
        <v>237</v>
      </c>
      <c r="G1412" s="77" t="s">
        <v>852</v>
      </c>
      <c r="H1412" t="str">
        <f>VLOOKUP(D1412,'DETALLE PRECIO INGREDIENTES'!B:B,1,0)</f>
        <v>CHARQUI</v>
      </c>
    </row>
    <row r="1413" spans="2:8" ht="15.5" hidden="1" x14ac:dyDescent="0.35">
      <c r="B1413" s="75" t="s">
        <v>135</v>
      </c>
      <c r="C1413" s="75" t="s">
        <v>108</v>
      </c>
      <c r="D1413" s="73" t="s">
        <v>925</v>
      </c>
      <c r="E1413" s="74">
        <v>1.7500000000000002E-2</v>
      </c>
      <c r="F1413" s="78" t="s">
        <v>237</v>
      </c>
      <c r="G1413" s="77" t="s">
        <v>621</v>
      </c>
      <c r="H1413" t="str">
        <f>VLOOKUP(D1413,'DETALLE PRECIO INGREDIENTES'!B:B,1,0)</f>
        <v>ZANAHORIA</v>
      </c>
    </row>
    <row r="1414" spans="2:8" ht="15.5" hidden="1" x14ac:dyDescent="0.35">
      <c r="B1414" s="75" t="s">
        <v>135</v>
      </c>
      <c r="C1414" s="75" t="s">
        <v>108</v>
      </c>
      <c r="D1414" s="73" t="s">
        <v>918</v>
      </c>
      <c r="E1414" s="74">
        <v>3.125E-2</v>
      </c>
      <c r="F1414" s="78" t="s">
        <v>259</v>
      </c>
      <c r="G1414" s="77" t="s">
        <v>621</v>
      </c>
      <c r="H1414" t="str">
        <f>VLOOKUP(D1414,'DETALLE PRECIO INGREDIENTES'!B:B,1,0)</f>
        <v>PIMIENTO ROJO</v>
      </c>
    </row>
    <row r="1415" spans="2:8" ht="15.5" hidden="1" x14ac:dyDescent="0.35">
      <c r="B1415" s="75" t="s">
        <v>135</v>
      </c>
      <c r="C1415" s="75" t="s">
        <v>108</v>
      </c>
      <c r="D1415" s="73" t="s">
        <v>407</v>
      </c>
      <c r="E1415" s="74">
        <v>2.5000000000000001E-4</v>
      </c>
      <c r="F1415" s="78" t="s">
        <v>237</v>
      </c>
      <c r="G1415" s="77" t="s">
        <v>220</v>
      </c>
      <c r="H1415" t="str">
        <f>VLOOKUP(D1415,'DETALLE PRECIO INGREDIENTES'!B:B,1,0)</f>
        <v>OREGANO SECO</v>
      </c>
    </row>
    <row r="1416" spans="2:8" ht="15.5" hidden="1" x14ac:dyDescent="0.35">
      <c r="B1416" s="75" t="s">
        <v>135</v>
      </c>
      <c r="C1416" s="75" t="s">
        <v>108</v>
      </c>
      <c r="D1416" s="73" t="s">
        <v>921</v>
      </c>
      <c r="E1416" s="74">
        <v>0.05</v>
      </c>
      <c r="F1416" s="78" t="s">
        <v>237</v>
      </c>
      <c r="G1416" s="77" t="s">
        <v>621</v>
      </c>
      <c r="H1416" t="str">
        <f>VLOOKUP(D1416,'DETALLE PRECIO INGREDIENTES'!B:B,1,0)</f>
        <v>PAPAS</v>
      </c>
    </row>
    <row r="1417" spans="2:8" ht="15.5" hidden="1" x14ac:dyDescent="0.35">
      <c r="B1417" s="75" t="s">
        <v>135</v>
      </c>
      <c r="C1417" s="75" t="s">
        <v>108</v>
      </c>
      <c r="D1417" s="73" t="s">
        <v>959</v>
      </c>
      <c r="E1417" s="74">
        <v>0.05</v>
      </c>
      <c r="F1417" s="78" t="s">
        <v>237</v>
      </c>
      <c r="G1417" s="77" t="s">
        <v>621</v>
      </c>
      <c r="H1417" t="str">
        <f>VLOOKUP(D1417,'DETALLE PRECIO INGREDIENTES'!B:B,1,0)</f>
        <v>ZAPALLO CAMOTE</v>
      </c>
    </row>
    <row r="1418" spans="2:8" ht="15.5" hidden="1" x14ac:dyDescent="0.35">
      <c r="B1418" s="75" t="s">
        <v>135</v>
      </c>
      <c r="C1418" s="75" t="s">
        <v>108</v>
      </c>
      <c r="D1418" s="73" t="s">
        <v>963</v>
      </c>
      <c r="E1418" s="74">
        <v>2.5000000000000001E-2</v>
      </c>
      <c r="F1418" s="78" t="s">
        <v>237</v>
      </c>
      <c r="G1418" s="77" t="s">
        <v>621</v>
      </c>
      <c r="H1418" t="str">
        <f>VLOOKUP(D1418,'DETALLE PRECIO INGREDIENTES'!B:B,1,0)</f>
        <v>CHOCLO GRANO CONGELADO</v>
      </c>
    </row>
    <row r="1419" spans="2:8" ht="15.5" hidden="1" x14ac:dyDescent="0.35">
      <c r="B1419" s="75" t="s">
        <v>135</v>
      </c>
      <c r="C1419" s="75" t="s">
        <v>108</v>
      </c>
      <c r="D1419" s="73" t="s">
        <v>706</v>
      </c>
      <c r="E1419" s="74">
        <v>1.7500000000000002E-2</v>
      </c>
      <c r="F1419" s="78" t="s">
        <v>237</v>
      </c>
      <c r="G1419" s="77" t="s">
        <v>621</v>
      </c>
      <c r="H1419" t="str">
        <f>VLOOKUP(D1419,'DETALLE PRECIO INGREDIENTES'!B:B,1,0)</f>
        <v>POROTOS VERDES FRESCOS</v>
      </c>
    </row>
    <row r="1420" spans="2:8" ht="15.5" hidden="1" x14ac:dyDescent="0.35">
      <c r="B1420" s="75" t="s">
        <v>135</v>
      </c>
      <c r="C1420" s="75" t="s">
        <v>108</v>
      </c>
      <c r="D1420" s="73" t="s">
        <v>635</v>
      </c>
      <c r="E1420" s="74">
        <v>1.7500000000000002E-2</v>
      </c>
      <c r="F1420" s="78" t="s">
        <v>237</v>
      </c>
      <c r="G1420" s="77" t="s">
        <v>621</v>
      </c>
      <c r="H1420" t="str">
        <f>VLOOKUP(D1420,'DETALLE PRECIO INGREDIENTES'!B:B,1,0)</f>
        <v>ARVEJAS CONGELADAS</v>
      </c>
    </row>
    <row r="1421" spans="2:8" ht="15.5" hidden="1" x14ac:dyDescent="0.35">
      <c r="B1421" s="75" t="s">
        <v>135</v>
      </c>
      <c r="C1421" s="75" t="s">
        <v>108</v>
      </c>
      <c r="D1421" s="73" t="s">
        <v>906</v>
      </c>
      <c r="E1421" s="74">
        <v>1.25</v>
      </c>
      <c r="F1421" s="78" t="s">
        <v>259</v>
      </c>
      <c r="G1421" s="77" t="s">
        <v>728</v>
      </c>
      <c r="H1421" t="str">
        <f>VLOOKUP(D1421,'DETALLE PRECIO INGREDIENTES'!B:B,1,0)</f>
        <v>HUEVO EXTRA BLANCO</v>
      </c>
    </row>
    <row r="1422" spans="2:8" ht="15.5" hidden="1" x14ac:dyDescent="0.35">
      <c r="B1422" s="75" t="s">
        <v>135</v>
      </c>
      <c r="C1422" s="75" t="s">
        <v>108</v>
      </c>
      <c r="D1422" s="73" t="s">
        <v>926</v>
      </c>
      <c r="E1422" s="74">
        <v>1.2500000000000001E-2</v>
      </c>
      <c r="F1422" s="78" t="s">
        <v>237</v>
      </c>
      <c r="G1422" s="77" t="s">
        <v>621</v>
      </c>
      <c r="H1422" t="str">
        <f>VLOOKUP(D1422,'DETALLE PRECIO INGREDIENTES'!B:B,1,0)</f>
        <v>CEBOLLA BLANCA</v>
      </c>
    </row>
    <row r="1423" spans="2:8" ht="15.5" hidden="1" x14ac:dyDescent="0.35">
      <c r="B1423" s="75" t="s">
        <v>135</v>
      </c>
      <c r="C1423" s="75" t="s">
        <v>108</v>
      </c>
      <c r="D1423" s="73" t="s">
        <v>927</v>
      </c>
      <c r="E1423" s="74">
        <v>2.5000000000000001E-3</v>
      </c>
      <c r="F1423" s="78" t="s">
        <v>237</v>
      </c>
      <c r="G1423" s="77" t="s">
        <v>621</v>
      </c>
      <c r="H1423" t="str">
        <f>VLOOKUP(D1423,'DETALLE PRECIO INGREDIENTES'!B:B,1,0)</f>
        <v>CILANTRO</v>
      </c>
    </row>
    <row r="1424" spans="2:8" ht="15.5" hidden="1" x14ac:dyDescent="0.35">
      <c r="B1424" s="75" t="s">
        <v>135</v>
      </c>
      <c r="C1424" s="75" t="s">
        <v>108</v>
      </c>
      <c r="D1424" s="73" t="s">
        <v>905</v>
      </c>
      <c r="E1424" s="74">
        <v>0.125</v>
      </c>
      <c r="F1424" s="78" t="s">
        <v>237</v>
      </c>
      <c r="G1424" s="77" t="s">
        <v>220</v>
      </c>
      <c r="H1424" t="str">
        <f>VLOOKUP(D1424,'DETALLE PRECIO INGREDIENTES'!B:B,1,0)</f>
        <v>HARINA BIZCOCHERA</v>
      </c>
    </row>
    <row r="1425" spans="2:8" ht="15.5" hidden="1" x14ac:dyDescent="0.35">
      <c r="B1425" s="75" t="s">
        <v>135</v>
      </c>
      <c r="C1425" s="75" t="s">
        <v>108</v>
      </c>
      <c r="D1425" s="73" t="s">
        <v>964</v>
      </c>
      <c r="E1425" s="74">
        <v>1.2500000000000001E-2</v>
      </c>
      <c r="F1425" s="78" t="s">
        <v>237</v>
      </c>
      <c r="G1425" s="77" t="s">
        <v>220</v>
      </c>
      <c r="H1425" t="str">
        <f>VLOOKUP(D1425,'DETALLE PRECIO INGREDIENTES'!B:B,1,0)</f>
        <v>MANTECA VEGETAL</v>
      </c>
    </row>
    <row r="1426" spans="2:8" ht="15.5" hidden="1" x14ac:dyDescent="0.35">
      <c r="B1426" s="75" t="s">
        <v>135</v>
      </c>
      <c r="C1426" s="75" t="s">
        <v>108</v>
      </c>
      <c r="D1426" s="73" t="s">
        <v>965</v>
      </c>
      <c r="E1426" s="74">
        <v>7.4999999999999997E-2</v>
      </c>
      <c r="F1426" s="78" t="s">
        <v>237</v>
      </c>
      <c r="G1426" s="77" t="s">
        <v>806</v>
      </c>
      <c r="H1426" t="str">
        <f>VLOOKUP(D1426,'DETALLE PRECIO INGREDIENTES'!B:B,1,0)</f>
        <v>ATUN FRESCO</v>
      </c>
    </row>
    <row r="1427" spans="2:8" ht="15.5" hidden="1" x14ac:dyDescent="0.35">
      <c r="B1427" s="75" t="s">
        <v>135</v>
      </c>
      <c r="C1427" s="75" t="s">
        <v>108</v>
      </c>
      <c r="D1427" s="73" t="s">
        <v>763</v>
      </c>
      <c r="E1427" s="74">
        <v>7.4999999999999997E-2</v>
      </c>
      <c r="F1427" s="78" t="s">
        <v>237</v>
      </c>
      <c r="G1427" s="77" t="s">
        <v>736</v>
      </c>
      <c r="H1427" t="str">
        <f>VLOOKUP(D1427,'DETALLE PRECIO INGREDIENTES'!B:B,1,0)</f>
        <v>QUESO GAUDA LAMINADO</v>
      </c>
    </row>
    <row r="1428" spans="2:8" ht="15.5" hidden="1" x14ac:dyDescent="0.35">
      <c r="B1428" s="75" t="s">
        <v>80</v>
      </c>
      <c r="C1428" s="75" t="s">
        <v>78</v>
      </c>
      <c r="D1428" s="73" t="s">
        <v>354</v>
      </c>
      <c r="E1428" s="74">
        <v>0.31</v>
      </c>
      <c r="F1428" s="78" t="s">
        <v>237</v>
      </c>
      <c r="G1428" s="77" t="s">
        <v>220</v>
      </c>
      <c r="H1428" t="str">
        <f>VLOOKUP(D1428,'DETALLE PRECIO INGREDIENTES'!B:B,1,0)</f>
        <v>HARINA BIZCOCHERA</v>
      </c>
    </row>
    <row r="1429" spans="2:8" ht="15.5" hidden="1" x14ac:dyDescent="0.35">
      <c r="B1429" s="75" t="s">
        <v>80</v>
      </c>
      <c r="C1429" s="75" t="s">
        <v>78</v>
      </c>
      <c r="D1429" s="73" t="s">
        <v>432</v>
      </c>
      <c r="E1429" s="74">
        <v>6.0000000000000001E-3</v>
      </c>
      <c r="F1429" s="78" t="s">
        <v>237</v>
      </c>
      <c r="G1429" s="77" t="s">
        <v>220</v>
      </c>
      <c r="H1429" t="str">
        <f>VLOOKUP(D1429,'DETALLE PRECIO INGREDIENTES'!B:B,1,0)</f>
        <v>POLVOS DE HORNEAR</v>
      </c>
    </row>
    <row r="1430" spans="2:8" ht="15.5" hidden="1" x14ac:dyDescent="0.35">
      <c r="B1430" s="75" t="s">
        <v>80</v>
      </c>
      <c r="C1430" s="75" t="s">
        <v>78</v>
      </c>
      <c r="D1430" s="73" t="s">
        <v>445</v>
      </c>
      <c r="E1430" s="74">
        <v>8.0000000000000002E-3</v>
      </c>
      <c r="F1430" s="78" t="s">
        <v>237</v>
      </c>
      <c r="G1430" s="77" t="s">
        <v>220</v>
      </c>
      <c r="H1430" t="str">
        <f>VLOOKUP(D1430,'DETALLE PRECIO INGREDIENTES'!B:B,1,0)</f>
        <v>SAL DE MESA LOBOS</v>
      </c>
    </row>
    <row r="1431" spans="2:8" ht="15.5" hidden="1" x14ac:dyDescent="0.35">
      <c r="B1431" s="75" t="s">
        <v>80</v>
      </c>
      <c r="C1431" s="75" t="s">
        <v>78</v>
      </c>
      <c r="D1431" s="73" t="s">
        <v>553</v>
      </c>
      <c r="E1431" s="74">
        <v>0.02</v>
      </c>
      <c r="F1431" s="78" t="s">
        <v>237</v>
      </c>
      <c r="G1431" s="77" t="s">
        <v>551</v>
      </c>
      <c r="H1431" t="str">
        <f>VLOOKUP(D1431,'DETALLE PRECIO INGREDIENTES'!B:B,1,0)</f>
        <v>CACAO EN POLVO ALCALINO</v>
      </c>
    </row>
    <row r="1432" spans="2:8" ht="15.5" hidden="1" x14ac:dyDescent="0.35">
      <c r="B1432" s="75" t="s">
        <v>80</v>
      </c>
      <c r="C1432" s="75" t="s">
        <v>78</v>
      </c>
      <c r="D1432" s="73" t="s">
        <v>277</v>
      </c>
      <c r="E1432" s="74">
        <v>0.2</v>
      </c>
      <c r="F1432" s="78" t="s">
        <v>237</v>
      </c>
      <c r="G1432" s="77" t="s">
        <v>220</v>
      </c>
      <c r="H1432" t="str">
        <f>VLOOKUP(D1432,'DETALLE PRECIO INGREDIENTES'!B:B,1,0)</f>
        <v>AZUCAR BLANCA GRANULADA</v>
      </c>
    </row>
    <row r="1433" spans="2:8" ht="15.5" hidden="1" x14ac:dyDescent="0.35">
      <c r="B1433" s="75" t="s">
        <v>80</v>
      </c>
      <c r="C1433" s="75" t="s">
        <v>78</v>
      </c>
      <c r="D1433" s="73" t="s">
        <v>228</v>
      </c>
      <c r="E1433" s="74">
        <v>0.02</v>
      </c>
      <c r="F1433" s="78" t="s">
        <v>222</v>
      </c>
      <c r="G1433" s="77" t="s">
        <v>220</v>
      </c>
      <c r="H1433" t="str">
        <f>VLOOKUP(D1433,'DETALLE PRECIO INGREDIENTES'!B:B,1,0)</f>
        <v>ACEITE DE MARAVILLA</v>
      </c>
    </row>
    <row r="1434" spans="2:8" ht="15.5" hidden="1" x14ac:dyDescent="0.35">
      <c r="B1434" s="75" t="s">
        <v>80</v>
      </c>
      <c r="C1434" s="75" t="s">
        <v>78</v>
      </c>
      <c r="D1434" s="73" t="s">
        <v>729</v>
      </c>
      <c r="E1434" s="74">
        <v>4</v>
      </c>
      <c r="F1434" s="78" t="s">
        <v>259</v>
      </c>
      <c r="G1434" s="77" t="s">
        <v>728</v>
      </c>
      <c r="H1434" t="str">
        <f>VLOOKUP(D1434,'DETALLE PRECIO INGREDIENTES'!B:B,1,0)</f>
        <v>HUEVO EXTRA BLANCO</v>
      </c>
    </row>
    <row r="1435" spans="2:8" ht="15.5" hidden="1" x14ac:dyDescent="0.35">
      <c r="B1435" s="75" t="s">
        <v>80</v>
      </c>
      <c r="C1435" s="75" t="s">
        <v>78</v>
      </c>
      <c r="D1435" s="73" t="s">
        <v>329</v>
      </c>
      <c r="E1435" s="74">
        <v>0.01</v>
      </c>
      <c r="F1435" s="78" t="s">
        <v>222</v>
      </c>
      <c r="G1435" s="77" t="s">
        <v>220</v>
      </c>
      <c r="H1435" t="str">
        <f>VLOOKUP(D1435,'DETALLE PRECIO INGREDIENTES'!B:B,1,0)</f>
        <v>ESENCIA DE VAINILLA</v>
      </c>
    </row>
    <row r="1436" spans="2:8" ht="15.5" hidden="1" x14ac:dyDescent="0.35">
      <c r="B1436" s="75" t="s">
        <v>80</v>
      </c>
      <c r="C1436" s="75" t="s">
        <v>78</v>
      </c>
      <c r="D1436" s="73" t="s">
        <v>278</v>
      </c>
      <c r="E1436" s="74">
        <v>0.09</v>
      </c>
      <c r="F1436" s="78" t="s">
        <v>237</v>
      </c>
      <c r="G1436" s="77" t="s">
        <v>220</v>
      </c>
      <c r="H1436" t="str">
        <f>VLOOKUP(D1436,'DETALLE PRECIO INGREDIENTES'!B:B,1,0)</f>
        <v>AZUCAR FLOR</v>
      </c>
    </row>
    <row r="1437" spans="2:8" ht="15.5" hidden="1" x14ac:dyDescent="0.35">
      <c r="B1437" s="75" t="s">
        <v>80</v>
      </c>
      <c r="C1437" s="75" t="s">
        <v>78</v>
      </c>
      <c r="D1437" s="73" t="s">
        <v>751</v>
      </c>
      <c r="E1437" s="74">
        <v>0.18</v>
      </c>
      <c r="F1437" s="78" t="s">
        <v>237</v>
      </c>
      <c r="G1437" s="77" t="s">
        <v>736</v>
      </c>
      <c r="H1437" t="str">
        <f>VLOOKUP(D1437,'DETALLE PRECIO INGREDIENTES'!B:B,1,0)</f>
        <v>MANTEQUILLA SIN SAL</v>
      </c>
    </row>
    <row r="1438" spans="2:8" ht="15.5" hidden="1" x14ac:dyDescent="0.35">
      <c r="B1438" s="75" t="s">
        <v>80</v>
      </c>
      <c r="C1438" s="75" t="s">
        <v>78</v>
      </c>
      <c r="D1438" s="73" t="s">
        <v>632</v>
      </c>
      <c r="E1438" s="74">
        <v>1.4999999999999999E-2</v>
      </c>
      <c r="F1438" s="78" t="s">
        <v>237</v>
      </c>
      <c r="G1438" s="77" t="s">
        <v>621</v>
      </c>
      <c r="H1438" t="str">
        <f>VLOOKUP(D1438,'DETALLE PRECIO INGREDIENTES'!B:B,1,0)</f>
        <v>ALMENDRAS SIN PIEL</v>
      </c>
    </row>
    <row r="1439" spans="2:8" ht="15.5" hidden="1" x14ac:dyDescent="0.35">
      <c r="B1439" s="75" t="s">
        <v>80</v>
      </c>
      <c r="C1439" s="75" t="s">
        <v>78</v>
      </c>
      <c r="D1439" s="73" t="s">
        <v>727</v>
      </c>
      <c r="E1439" s="74">
        <v>8.9999999999999993E-3</v>
      </c>
      <c r="F1439" s="78" t="s">
        <v>237</v>
      </c>
      <c r="G1439" s="77" t="s">
        <v>724</v>
      </c>
      <c r="H1439" t="str">
        <f>VLOOKUP(D1439,'DETALLE PRECIO INGREDIENTES'!B:B,1,0)</f>
        <v>PISTACHOS S/CASCARA SIN SAL</v>
      </c>
    </row>
    <row r="1440" spans="2:8" ht="15.5" hidden="1" x14ac:dyDescent="0.35">
      <c r="B1440" s="75" t="s">
        <v>80</v>
      </c>
      <c r="C1440" s="75" t="s">
        <v>78</v>
      </c>
      <c r="D1440" s="73" t="s">
        <v>555</v>
      </c>
      <c r="E1440" s="74">
        <v>2.5000000000000001E-2</v>
      </c>
      <c r="F1440" s="78" t="s">
        <v>237</v>
      </c>
      <c r="G1440" s="77" t="s">
        <v>551</v>
      </c>
      <c r="H1440" t="str">
        <f>VLOOKUP(D1440,'DETALLE PRECIO INGREDIENTES'!B:B,1,0)</f>
        <v>CHIPS DE CHOCOLATE</v>
      </c>
    </row>
    <row r="1441" spans="2:8" ht="15.5" hidden="1" x14ac:dyDescent="0.35">
      <c r="B1441" s="75" t="s">
        <v>80</v>
      </c>
      <c r="C1441" s="75" t="s">
        <v>78</v>
      </c>
      <c r="D1441" s="73" t="s">
        <v>284</v>
      </c>
      <c r="E1441" s="74">
        <v>5.0000000000000001E-3</v>
      </c>
      <c r="F1441" s="78" t="s">
        <v>237</v>
      </c>
      <c r="G1441" s="77" t="s">
        <v>220</v>
      </c>
      <c r="H1441" t="str">
        <f>VLOOKUP(D1441,'DETALLE PRECIO INGREDIENTES'!B:B,1,0)</f>
        <v>BICARBONATO DE SODIO</v>
      </c>
    </row>
    <row r="1442" spans="2:8" ht="15.5" hidden="1" x14ac:dyDescent="0.35">
      <c r="B1442" s="75" t="s">
        <v>80</v>
      </c>
      <c r="C1442" s="75" t="s">
        <v>78</v>
      </c>
      <c r="D1442" s="73" t="s">
        <v>680</v>
      </c>
      <c r="E1442" s="74">
        <v>0.2</v>
      </c>
      <c r="F1442" s="78" t="s">
        <v>237</v>
      </c>
      <c r="G1442" s="77" t="s">
        <v>621</v>
      </c>
      <c r="H1442" t="str">
        <f>VLOOKUP(D1442,'DETALLE PRECIO INGREDIENTES'!B:B,1,0)</f>
        <v>LIMON DE JUGO</v>
      </c>
    </row>
    <row r="1443" spans="2:8" ht="15.5" hidden="1" x14ac:dyDescent="0.35">
      <c r="B1443" s="75" t="s">
        <v>80</v>
      </c>
      <c r="C1443" s="75" t="s">
        <v>78</v>
      </c>
      <c r="D1443" s="73" t="s">
        <v>414</v>
      </c>
      <c r="E1443" s="74">
        <v>1.0999999999999999E-2</v>
      </c>
      <c r="F1443" s="78" t="s">
        <v>237</v>
      </c>
      <c r="G1443" s="77" t="s">
        <v>220</v>
      </c>
      <c r="H1443" t="str">
        <f>VLOOKUP(D1443,'DETALLE PRECIO INGREDIENTES'!B:B,1,0)</f>
        <v>PASAS CORINTO</v>
      </c>
    </row>
    <row r="1444" spans="2:8" ht="15.5" hidden="1" x14ac:dyDescent="0.35">
      <c r="B1444" s="75" t="s">
        <v>80</v>
      </c>
      <c r="C1444" s="75" t="s">
        <v>78</v>
      </c>
      <c r="D1444" s="73" t="s">
        <v>669</v>
      </c>
      <c r="E1444" s="74">
        <v>0.08</v>
      </c>
      <c r="F1444" s="78" t="s">
        <v>237</v>
      </c>
      <c r="G1444" s="77" t="s">
        <v>621</v>
      </c>
      <c r="H1444" t="str">
        <f>VLOOKUP(D1444,'DETALLE PRECIO INGREDIENTES'!B:B,1,0)</f>
        <v>FRAMBUESA FRESCA</v>
      </c>
    </row>
    <row r="1445" spans="2:8" ht="15.5" hidden="1" x14ac:dyDescent="0.35">
      <c r="B1445" s="75" t="s">
        <v>80</v>
      </c>
      <c r="C1445" s="75" t="s">
        <v>78</v>
      </c>
      <c r="D1445" s="73" t="s">
        <v>375</v>
      </c>
      <c r="E1445" s="74">
        <v>1.4E-2</v>
      </c>
      <c r="F1445" s="78" t="s">
        <v>237</v>
      </c>
      <c r="G1445" s="77" t="s">
        <v>220</v>
      </c>
      <c r="H1445" t="str">
        <f>VLOOKUP(D1445,'DETALLE PRECIO INGREDIENTES'!B:B,1,0)</f>
        <v>MAICENA</v>
      </c>
    </row>
    <row r="1446" spans="2:8" ht="15.5" hidden="1" x14ac:dyDescent="0.35">
      <c r="B1446" s="75" t="s">
        <v>80</v>
      </c>
      <c r="C1446" s="75" t="s">
        <v>78</v>
      </c>
      <c r="D1446" s="73" t="s">
        <v>355</v>
      </c>
      <c r="E1446" s="74">
        <v>0.05</v>
      </c>
      <c r="F1446" s="78" t="s">
        <v>237</v>
      </c>
      <c r="G1446" s="77" t="s">
        <v>220</v>
      </c>
      <c r="H1446" t="str">
        <f>VLOOKUP(D1446,'DETALLE PRECIO INGREDIENTES'!B:B,1,0)</f>
        <v>HARINA DE ALMENDRA</v>
      </c>
    </row>
    <row r="1447" spans="2:8" ht="15.5" hidden="1" x14ac:dyDescent="0.35">
      <c r="B1447" s="75" t="s">
        <v>80</v>
      </c>
      <c r="C1447" s="75" t="s">
        <v>78</v>
      </c>
      <c r="D1447" s="73" t="s">
        <v>362</v>
      </c>
      <c r="E1447" s="74">
        <v>0.18</v>
      </c>
      <c r="F1447" s="78" t="s">
        <v>237</v>
      </c>
      <c r="G1447" s="77" t="s">
        <v>220</v>
      </c>
      <c r="H1447" t="str">
        <f>VLOOKUP(D1447,'DETALLE PRECIO INGREDIENTES'!B:B,1,0)</f>
        <v>HARINA PANADERA SOBRE 13 GR</v>
      </c>
    </row>
    <row r="1448" spans="2:8" ht="15.5" hidden="1" x14ac:dyDescent="0.35">
      <c r="B1448" s="75" t="s">
        <v>80</v>
      </c>
      <c r="C1448" s="75" t="s">
        <v>78</v>
      </c>
      <c r="D1448" s="73" t="s">
        <v>373</v>
      </c>
      <c r="E1448" s="74">
        <v>4.0000000000000001E-3</v>
      </c>
      <c r="F1448" s="78" t="s">
        <v>237</v>
      </c>
      <c r="G1448" s="77" t="s">
        <v>220</v>
      </c>
      <c r="H1448" t="str">
        <f>VLOOKUP(D1448,'DETALLE PRECIO INGREDIENTES'!B:B,1,0)</f>
        <v>LEVADURA FRESCA</v>
      </c>
    </row>
    <row r="1449" spans="2:8" ht="15.5" x14ac:dyDescent="0.35">
      <c r="B1449" s="75" t="s">
        <v>80</v>
      </c>
      <c r="C1449" s="75" t="s">
        <v>78</v>
      </c>
      <c r="D1449" s="73" t="s">
        <v>966</v>
      </c>
      <c r="E1449" s="74">
        <v>0.16500000000000001</v>
      </c>
      <c r="F1449" s="78" t="e">
        <v>#N/A</v>
      </c>
      <c r="G1449" s="77" t="e">
        <v>#N/A</v>
      </c>
      <c r="H1449" t="e">
        <f>VLOOKUP(D1449,'DETALLE PRECIO INGREDIENTES'!B:B,1,0)</f>
        <v>#N/A</v>
      </c>
    </row>
    <row r="1450" spans="2:8" ht="15.5" hidden="1" x14ac:dyDescent="0.35">
      <c r="B1450" s="75" t="s">
        <v>80</v>
      </c>
      <c r="C1450" s="75" t="s">
        <v>78</v>
      </c>
      <c r="D1450" s="73" t="s">
        <v>389</v>
      </c>
      <c r="E1450" s="74">
        <v>8.5000000000000006E-2</v>
      </c>
      <c r="F1450" s="78" t="s">
        <v>237</v>
      </c>
      <c r="G1450" s="77" t="s">
        <v>220</v>
      </c>
      <c r="H1450" t="str">
        <f>VLOOKUP(D1450,'DETALLE PRECIO INGREDIENTES'!B:B,1,0)</f>
        <v>MERMELADA DE FRAMBUESA</v>
      </c>
    </row>
    <row r="1451" spans="2:8" ht="15.5" hidden="1" x14ac:dyDescent="0.35">
      <c r="B1451" s="75" t="s">
        <v>80</v>
      </c>
      <c r="C1451" s="75" t="s">
        <v>78</v>
      </c>
      <c r="D1451" s="73" t="s">
        <v>739</v>
      </c>
      <c r="E1451" s="74">
        <v>0.2</v>
      </c>
      <c r="F1451" s="78" t="s">
        <v>222</v>
      </c>
      <c r="G1451" s="77" t="s">
        <v>736</v>
      </c>
      <c r="H1451" t="str">
        <f>VLOOKUP(D1451,'DETALLE PRECIO INGREDIENTES'!B:B,1,0)</f>
        <v>CREMA DE LECHE</v>
      </c>
    </row>
    <row r="1452" spans="2:8" ht="15.5" hidden="1" x14ac:dyDescent="0.35">
      <c r="B1452" s="75" t="s">
        <v>80</v>
      </c>
      <c r="C1452" s="75" t="s">
        <v>78</v>
      </c>
      <c r="D1452" s="73" t="s">
        <v>748</v>
      </c>
      <c r="E1452" s="74">
        <v>0.18</v>
      </c>
      <c r="F1452" s="78" t="s">
        <v>222</v>
      </c>
      <c r="G1452" s="77" t="s">
        <v>736</v>
      </c>
      <c r="H1452" t="str">
        <f>VLOOKUP(D1452,'DETALLE PRECIO INGREDIENTES'!B:B,1,0)</f>
        <v>LECHE ENTERA</v>
      </c>
    </row>
    <row r="1453" spans="2:8" ht="15.5" hidden="1" x14ac:dyDescent="0.35">
      <c r="B1453" s="75" t="s">
        <v>80</v>
      </c>
      <c r="C1453" s="75" t="s">
        <v>78</v>
      </c>
      <c r="D1453" s="73" t="s">
        <v>786</v>
      </c>
      <c r="E1453" s="74">
        <v>0.01</v>
      </c>
      <c r="F1453" s="78" t="s">
        <v>259</v>
      </c>
      <c r="G1453" s="77" t="s">
        <v>776</v>
      </c>
      <c r="H1453" t="str">
        <f>VLOOKUP(D1453,'DETALLE PRECIO INGREDIENTES'!B:B,1,0)</f>
        <v>PISCO CAPEL 35º</v>
      </c>
    </row>
    <row r="1454" spans="2:8" ht="15.5" hidden="1" x14ac:dyDescent="0.35">
      <c r="B1454" s="75" t="s">
        <v>80</v>
      </c>
      <c r="C1454" s="75" t="s">
        <v>78</v>
      </c>
      <c r="D1454" s="73" t="s">
        <v>286</v>
      </c>
      <c r="E1454" s="74">
        <v>1.5</v>
      </c>
      <c r="F1454" s="78" t="s">
        <v>259</v>
      </c>
      <c r="G1454" s="77" t="s">
        <v>220</v>
      </c>
      <c r="H1454" t="str">
        <f>VLOOKUP(D1454,'DETALLE PRECIO INGREDIENTES'!B:B,1,0)</f>
        <v>CAFE EN SACHET</v>
      </c>
    </row>
    <row r="1455" spans="2:8" ht="15.5" hidden="1" x14ac:dyDescent="0.35">
      <c r="B1455" s="75" t="s">
        <v>80</v>
      </c>
      <c r="C1455" s="75" t="s">
        <v>78</v>
      </c>
      <c r="D1455" s="73" t="s">
        <v>849</v>
      </c>
      <c r="E1455" s="74">
        <v>1.5</v>
      </c>
      <c r="F1455" s="78" t="s">
        <v>259</v>
      </c>
      <c r="G1455" s="77" t="s">
        <v>847</v>
      </c>
      <c r="H1455" t="str">
        <f>VLOOKUP(D1455,'DETALLE PRECIO INGREDIENTES'!B:B,1,0)</f>
        <v>TE LIPTON BOLSA</v>
      </c>
    </row>
    <row r="1456" spans="2:8" ht="15.5" hidden="1" x14ac:dyDescent="0.35">
      <c r="B1456" s="75" t="s">
        <v>80</v>
      </c>
      <c r="C1456" s="75" t="s">
        <v>78</v>
      </c>
      <c r="D1456" s="73" t="s">
        <v>594</v>
      </c>
      <c r="E1456" s="74">
        <v>0.08</v>
      </c>
      <c r="F1456" s="78" t="s">
        <v>237</v>
      </c>
      <c r="G1456" s="77" t="s">
        <v>587</v>
      </c>
      <c r="H1456" t="str">
        <f>VLOOKUP(D1456,'DETALLE PRECIO INGREDIENTES'!B:B,1,0)</f>
        <v>PULPA DE FRUTILLA</v>
      </c>
    </row>
    <row r="1457" spans="2:8" ht="15.5" hidden="1" x14ac:dyDescent="0.35">
      <c r="B1457" s="75" t="s">
        <v>80</v>
      </c>
      <c r="C1457" s="75" t="s">
        <v>78</v>
      </c>
      <c r="D1457" s="73" t="s">
        <v>511</v>
      </c>
      <c r="E1457" s="74">
        <v>1</v>
      </c>
      <c r="F1457" s="78" t="s">
        <v>259</v>
      </c>
      <c r="G1457" s="77" t="s">
        <v>485</v>
      </c>
      <c r="H1457" t="str">
        <f>VLOOKUP(D1457,'DETALLE PRECIO INGREDIENTES'!B:B,1,0)</f>
        <v>PAPEL CERESINADO PLIEGO</v>
      </c>
    </row>
    <row r="1458" spans="2:8" ht="15.5" hidden="1" x14ac:dyDescent="0.35">
      <c r="B1458" s="75" t="s">
        <v>80</v>
      </c>
      <c r="C1458" s="75" t="s">
        <v>78</v>
      </c>
      <c r="D1458" s="73" t="s">
        <v>763</v>
      </c>
      <c r="E1458" s="74">
        <v>0.05</v>
      </c>
      <c r="F1458" s="78" t="s">
        <v>237</v>
      </c>
      <c r="G1458" s="77" t="s">
        <v>736</v>
      </c>
      <c r="H1458" t="str">
        <f>VLOOKUP(D1458,'DETALLE PRECIO INGREDIENTES'!B:B,1,0)</f>
        <v>QUESO GAUDA LAMINADO</v>
      </c>
    </row>
    <row r="1459" spans="2:8" ht="15.5" hidden="1" x14ac:dyDescent="0.35">
      <c r="B1459" s="75" t="s">
        <v>80</v>
      </c>
      <c r="C1459" s="75" t="s">
        <v>78</v>
      </c>
      <c r="D1459" s="73" t="s">
        <v>732</v>
      </c>
      <c r="E1459" s="74">
        <v>0.05</v>
      </c>
      <c r="F1459" s="78" t="s">
        <v>237</v>
      </c>
      <c r="G1459" s="77" t="s">
        <v>731</v>
      </c>
      <c r="H1459" t="str">
        <f>VLOOKUP(D1459,'DETALLE PRECIO INGREDIENTES'!B:B,1,0)</f>
        <v>JAMON ACARAMELADO LAMINADO</v>
      </c>
    </row>
    <row r="1460" spans="2:8" ht="15.5" hidden="1" x14ac:dyDescent="0.35">
      <c r="B1460" s="75" t="s">
        <v>80</v>
      </c>
      <c r="C1460" s="75" t="s">
        <v>78</v>
      </c>
      <c r="D1460" s="73" t="s">
        <v>701</v>
      </c>
      <c r="E1460" s="74">
        <v>0.25</v>
      </c>
      <c r="F1460" s="78" t="s">
        <v>259</v>
      </c>
      <c r="G1460" s="77" t="s">
        <v>621</v>
      </c>
      <c r="H1460" t="str">
        <f>VLOOKUP(D1460,'DETALLE PRECIO INGREDIENTES'!B:B,1,0)</f>
        <v>PIMIENTO MORRON</v>
      </c>
    </row>
    <row r="1461" spans="2:8" ht="15.5" hidden="1" x14ac:dyDescent="0.35">
      <c r="B1461" s="75" t="s">
        <v>80</v>
      </c>
      <c r="C1461" s="75" t="s">
        <v>78</v>
      </c>
      <c r="D1461" s="73" t="s">
        <v>516</v>
      </c>
      <c r="E1461" s="74">
        <v>0.1</v>
      </c>
      <c r="F1461" s="78" t="s">
        <v>259</v>
      </c>
      <c r="G1461" s="77" t="s">
        <v>485</v>
      </c>
      <c r="H1461" t="str">
        <f>VLOOKUP(D1461,'DETALLE PRECIO INGREDIENTES'!B:B,1,0)</f>
        <v>SERVILLETAS MESA 200 UND</v>
      </c>
    </row>
    <row r="1462" spans="2:8" ht="15.5" hidden="1" x14ac:dyDescent="0.35">
      <c r="B1462" s="75" t="s">
        <v>80</v>
      </c>
      <c r="C1462" s="75" t="s">
        <v>78</v>
      </c>
      <c r="D1462" s="73" t="s">
        <v>318</v>
      </c>
      <c r="E1462" s="74">
        <v>2</v>
      </c>
      <c r="F1462" s="78" t="s">
        <v>259</v>
      </c>
      <c r="G1462" s="77" t="s">
        <v>220</v>
      </c>
      <c r="H1462" t="str">
        <f>VLOOKUP(D1462,'DETALLE PRECIO INGREDIENTES'!B:B,1,0)</f>
        <v>CUCHARAS DE MADERA</v>
      </c>
    </row>
    <row r="1463" spans="2:8" ht="15.5" hidden="1" x14ac:dyDescent="0.35">
      <c r="B1463" s="75" t="s">
        <v>80</v>
      </c>
      <c r="C1463" s="75" t="s">
        <v>78</v>
      </c>
      <c r="D1463" s="73" t="s">
        <v>716</v>
      </c>
      <c r="E1463" s="74">
        <v>0.15</v>
      </c>
      <c r="F1463" s="78" t="s">
        <v>237</v>
      </c>
      <c r="G1463" s="77" t="s">
        <v>621</v>
      </c>
      <c r="H1463" t="str">
        <f>VLOOKUP(D1463,'DETALLE PRECIO INGREDIENTES'!B:B,1,0)</f>
        <v>TOMATE LARGA VIDA</v>
      </c>
    </row>
    <row r="1464" spans="2:8" ht="15.5" hidden="1" x14ac:dyDescent="0.35">
      <c r="B1464" s="75" t="s">
        <v>80</v>
      </c>
      <c r="C1464" s="75" t="s">
        <v>77</v>
      </c>
      <c r="D1464" s="73" t="s">
        <v>751</v>
      </c>
      <c r="E1464" s="74">
        <v>0.13</v>
      </c>
      <c r="F1464" s="78" t="s">
        <v>237</v>
      </c>
      <c r="G1464" s="77" t="s">
        <v>736</v>
      </c>
      <c r="H1464" t="str">
        <f>VLOOKUP(D1464,'DETALLE PRECIO INGREDIENTES'!B:B,1,0)</f>
        <v>MANTEQUILLA SIN SAL</v>
      </c>
    </row>
    <row r="1465" spans="2:8" ht="15.5" hidden="1" x14ac:dyDescent="0.35">
      <c r="B1465" s="75" t="s">
        <v>80</v>
      </c>
      <c r="C1465" s="75" t="s">
        <v>77</v>
      </c>
      <c r="D1465" s="73" t="s">
        <v>759</v>
      </c>
      <c r="E1465" s="74">
        <v>0.05</v>
      </c>
      <c r="F1465" s="78" t="s">
        <v>237</v>
      </c>
      <c r="G1465" s="77" t="s">
        <v>736</v>
      </c>
      <c r="H1465" t="str">
        <f>VLOOKUP(D1465,'DETALLE PRECIO INGREDIENTES'!B:B,1,0)</f>
        <v>QUESO CREMA</v>
      </c>
    </row>
    <row r="1466" spans="2:8" ht="15.5" hidden="1" x14ac:dyDescent="0.35">
      <c r="B1466" s="75" t="s">
        <v>80</v>
      </c>
      <c r="C1466" s="75" t="s">
        <v>77</v>
      </c>
      <c r="D1466" s="73" t="s">
        <v>277</v>
      </c>
      <c r="E1466" s="74">
        <v>0.20499999999999999</v>
      </c>
      <c r="F1466" s="78" t="s">
        <v>237</v>
      </c>
      <c r="G1466" s="77" t="s">
        <v>220</v>
      </c>
      <c r="H1466" t="str">
        <f>VLOOKUP(D1466,'DETALLE PRECIO INGREDIENTES'!B:B,1,0)</f>
        <v>AZUCAR BLANCA GRANULADA</v>
      </c>
    </row>
    <row r="1467" spans="2:8" ht="15.5" hidden="1" x14ac:dyDescent="0.35">
      <c r="B1467" s="75" t="s">
        <v>80</v>
      </c>
      <c r="C1467" s="75" t="s">
        <v>77</v>
      </c>
      <c r="D1467" s="73" t="s">
        <v>445</v>
      </c>
      <c r="E1467" s="74">
        <v>4.0000000000000001E-3</v>
      </c>
      <c r="F1467" s="78" t="s">
        <v>237</v>
      </c>
      <c r="G1467" s="77" t="s">
        <v>220</v>
      </c>
      <c r="H1467" t="str">
        <f>VLOOKUP(D1467,'DETALLE PRECIO INGREDIENTES'!B:B,1,0)</f>
        <v>SAL DE MESA LOBOS</v>
      </c>
    </row>
    <row r="1468" spans="2:8" ht="15.5" hidden="1" x14ac:dyDescent="0.35">
      <c r="B1468" s="75" t="s">
        <v>80</v>
      </c>
      <c r="C1468" s="75" t="s">
        <v>77</v>
      </c>
      <c r="D1468" s="73" t="s">
        <v>739</v>
      </c>
      <c r="E1468" s="74">
        <v>0.03</v>
      </c>
      <c r="F1468" s="78" t="s">
        <v>222</v>
      </c>
      <c r="G1468" s="77" t="s">
        <v>736</v>
      </c>
      <c r="H1468" t="str">
        <f>VLOOKUP(D1468,'DETALLE PRECIO INGREDIENTES'!B:B,1,0)</f>
        <v>CREMA DE LECHE</v>
      </c>
    </row>
    <row r="1469" spans="2:8" ht="15.5" hidden="1" x14ac:dyDescent="0.35">
      <c r="B1469" s="75" t="s">
        <v>80</v>
      </c>
      <c r="C1469" s="75" t="s">
        <v>77</v>
      </c>
      <c r="D1469" s="73" t="s">
        <v>729</v>
      </c>
      <c r="E1469" s="74">
        <v>6</v>
      </c>
      <c r="F1469" s="78" t="s">
        <v>259</v>
      </c>
      <c r="G1469" s="77" t="s">
        <v>728</v>
      </c>
      <c r="H1469" t="str">
        <f>VLOOKUP(D1469,'DETALLE PRECIO INGREDIENTES'!B:B,1,0)</f>
        <v>HUEVO EXTRA BLANCO</v>
      </c>
    </row>
    <row r="1470" spans="2:8" ht="15.5" hidden="1" x14ac:dyDescent="0.35">
      <c r="B1470" s="75" t="s">
        <v>80</v>
      </c>
      <c r="C1470" s="75" t="s">
        <v>77</v>
      </c>
      <c r="D1470" s="73" t="s">
        <v>354</v>
      </c>
      <c r="E1470" s="74">
        <v>0.1</v>
      </c>
      <c r="F1470" s="78" t="s">
        <v>237</v>
      </c>
      <c r="G1470" s="77" t="s">
        <v>220</v>
      </c>
      <c r="H1470" t="str">
        <f>VLOOKUP(D1470,'DETALLE PRECIO INGREDIENTES'!B:B,1,0)</f>
        <v>HARINA BIZCOCHERA</v>
      </c>
    </row>
    <row r="1471" spans="2:8" ht="15.5" hidden="1" x14ac:dyDescent="0.35">
      <c r="B1471" s="75" t="s">
        <v>80</v>
      </c>
      <c r="C1471" s="75" t="s">
        <v>77</v>
      </c>
      <c r="D1471" s="73" t="s">
        <v>329</v>
      </c>
      <c r="E1471" s="74">
        <v>5.0000000000000001E-3</v>
      </c>
      <c r="F1471" s="78" t="s">
        <v>222</v>
      </c>
      <c r="G1471" s="77" t="s">
        <v>220</v>
      </c>
      <c r="H1471" t="str">
        <f>VLOOKUP(D1471,'DETALLE PRECIO INGREDIENTES'!B:B,1,0)</f>
        <v>ESENCIA DE VAINILLA</v>
      </c>
    </row>
    <row r="1472" spans="2:8" ht="15.5" hidden="1" x14ac:dyDescent="0.35">
      <c r="B1472" s="75" t="s">
        <v>80</v>
      </c>
      <c r="C1472" s="75" t="s">
        <v>77</v>
      </c>
      <c r="D1472" s="73" t="s">
        <v>278</v>
      </c>
      <c r="E1472" s="74">
        <v>0.1</v>
      </c>
      <c r="F1472" s="78" t="s">
        <v>237</v>
      </c>
      <c r="G1472" s="77" t="s">
        <v>220</v>
      </c>
      <c r="H1472" t="str">
        <f>VLOOKUP(D1472,'DETALLE PRECIO INGREDIENTES'!B:B,1,0)</f>
        <v>AZUCAR FLOR</v>
      </c>
    </row>
    <row r="1473" spans="2:8" ht="15.5" hidden="1" x14ac:dyDescent="0.35">
      <c r="B1473" s="75" t="s">
        <v>80</v>
      </c>
      <c r="C1473" s="75" t="s">
        <v>77</v>
      </c>
      <c r="D1473" s="73" t="s">
        <v>362</v>
      </c>
      <c r="E1473" s="74">
        <v>0.5</v>
      </c>
      <c r="F1473" s="78" t="s">
        <v>237</v>
      </c>
      <c r="G1473" s="77" t="s">
        <v>220</v>
      </c>
      <c r="H1473" t="str">
        <f>VLOOKUP(D1473,'DETALLE PRECIO INGREDIENTES'!B:B,1,0)</f>
        <v>HARINA PANADERA SOBRE 13 GR</v>
      </c>
    </row>
    <row r="1474" spans="2:8" ht="15.5" hidden="1" x14ac:dyDescent="0.35">
      <c r="B1474" s="75" t="s">
        <v>80</v>
      </c>
      <c r="C1474" s="75" t="s">
        <v>77</v>
      </c>
      <c r="D1474" s="73" t="s">
        <v>373</v>
      </c>
      <c r="E1474" s="74">
        <v>0.01</v>
      </c>
      <c r="F1474" s="78" t="s">
        <v>237</v>
      </c>
      <c r="G1474" s="77" t="s">
        <v>220</v>
      </c>
      <c r="H1474" t="str">
        <f>VLOOKUP(D1474,'DETALLE PRECIO INGREDIENTES'!B:B,1,0)</f>
        <v>LEVADURA FRESCA</v>
      </c>
    </row>
    <row r="1475" spans="2:8" ht="15.5" hidden="1" x14ac:dyDescent="0.35">
      <c r="B1475" s="75" t="s">
        <v>80</v>
      </c>
      <c r="C1475" s="75" t="s">
        <v>77</v>
      </c>
      <c r="D1475" s="73" t="s">
        <v>432</v>
      </c>
      <c r="E1475" s="74">
        <v>5.0000000000000001E-3</v>
      </c>
      <c r="F1475" s="78" t="s">
        <v>237</v>
      </c>
      <c r="G1475" s="77" t="s">
        <v>220</v>
      </c>
      <c r="H1475" t="str">
        <f>VLOOKUP(D1475,'DETALLE PRECIO INGREDIENTES'!B:B,1,0)</f>
        <v>POLVOS DE HORNEAR</v>
      </c>
    </row>
    <row r="1476" spans="2:8" ht="15.5" hidden="1" x14ac:dyDescent="0.35">
      <c r="B1476" s="75" t="s">
        <v>80</v>
      </c>
      <c r="C1476" s="75" t="s">
        <v>77</v>
      </c>
      <c r="D1476" s="73" t="s">
        <v>748</v>
      </c>
      <c r="E1476" s="74">
        <v>0.4</v>
      </c>
      <c r="F1476" s="78" t="s">
        <v>222</v>
      </c>
      <c r="G1476" s="77" t="s">
        <v>736</v>
      </c>
      <c r="H1476" t="str">
        <f>VLOOKUP(D1476,'DETALLE PRECIO INGREDIENTES'!B:B,1,0)</f>
        <v>LECHE ENTERA</v>
      </c>
    </row>
    <row r="1477" spans="2:8" ht="15.5" hidden="1" x14ac:dyDescent="0.35">
      <c r="B1477" s="75" t="s">
        <v>80</v>
      </c>
      <c r="C1477" s="75" t="s">
        <v>77</v>
      </c>
      <c r="D1477" s="73" t="s">
        <v>680</v>
      </c>
      <c r="E1477" s="74">
        <v>0.2</v>
      </c>
      <c r="F1477" s="78" t="s">
        <v>237</v>
      </c>
      <c r="G1477" s="77" t="s">
        <v>621</v>
      </c>
      <c r="H1477" t="str">
        <f>VLOOKUP(D1477,'DETALLE PRECIO INGREDIENTES'!B:B,1,0)</f>
        <v>LIMON DE JUGO</v>
      </c>
    </row>
    <row r="1478" spans="2:8" ht="15.5" hidden="1" x14ac:dyDescent="0.35">
      <c r="B1478" s="75" t="s">
        <v>80</v>
      </c>
      <c r="C1478" s="75" t="s">
        <v>77</v>
      </c>
      <c r="D1478" s="73" t="s">
        <v>283</v>
      </c>
      <c r="E1478" s="74">
        <v>0.05</v>
      </c>
      <c r="F1478" s="78" t="s">
        <v>237</v>
      </c>
      <c r="G1478" s="77" t="s">
        <v>220</v>
      </c>
      <c r="H1478" t="str">
        <f>VLOOKUP(D1478,'DETALLE PRECIO INGREDIENTES'!B:B,1,0)</f>
        <v>AZUCAR RUBIA</v>
      </c>
    </row>
    <row r="1479" spans="2:8" ht="15.5" hidden="1" x14ac:dyDescent="0.35">
      <c r="B1479" s="75" t="s">
        <v>80</v>
      </c>
      <c r="C1479" s="75" t="s">
        <v>77</v>
      </c>
      <c r="D1479" s="73" t="s">
        <v>670</v>
      </c>
      <c r="E1479" s="74">
        <v>8.4000000000000005E-2</v>
      </c>
      <c r="F1479" s="78" t="s">
        <v>237</v>
      </c>
      <c r="G1479" s="77" t="s">
        <v>621</v>
      </c>
      <c r="H1479" t="str">
        <f>VLOOKUP(D1479,'DETALLE PRECIO INGREDIENTES'!B:B,1,0)</f>
        <v>FRUTILLA CONGELADA</v>
      </c>
    </row>
    <row r="1480" spans="2:8" ht="15.5" hidden="1" x14ac:dyDescent="0.35">
      <c r="B1480" s="75" t="s">
        <v>80</v>
      </c>
      <c r="C1480" s="75" t="s">
        <v>77</v>
      </c>
      <c r="D1480" s="73" t="s">
        <v>705</v>
      </c>
      <c r="E1480" s="74">
        <v>0.08</v>
      </c>
      <c r="F1480" s="78" t="s">
        <v>237</v>
      </c>
      <c r="G1480" s="77" t="s">
        <v>621</v>
      </c>
      <c r="H1480" t="str">
        <f>VLOOKUP(D1480,'DETALLE PRECIO INGREDIENTES'!B:B,1,0)</f>
        <v>PLATANOS</v>
      </c>
    </row>
    <row r="1481" spans="2:8" ht="15.5" hidden="1" x14ac:dyDescent="0.35">
      <c r="B1481" s="75" t="s">
        <v>80</v>
      </c>
      <c r="C1481" s="75" t="s">
        <v>77</v>
      </c>
      <c r="D1481" s="73" t="s">
        <v>967</v>
      </c>
      <c r="E1481" s="74">
        <v>0.06</v>
      </c>
      <c r="F1481" s="78" t="s">
        <v>237</v>
      </c>
      <c r="G1481" s="77" t="s">
        <v>884</v>
      </c>
      <c r="H1481" t="str">
        <f>VLOOKUP(D1481,'DETALLE PRECIO INGREDIENTES'!B:B,1,0)</f>
        <v>yogurt natural</v>
      </c>
    </row>
    <row r="1482" spans="2:8" ht="15.5" hidden="1" x14ac:dyDescent="0.35">
      <c r="B1482" s="75" t="s">
        <v>80</v>
      </c>
      <c r="C1482" s="75" t="s">
        <v>77</v>
      </c>
      <c r="D1482" s="73" t="s">
        <v>292</v>
      </c>
      <c r="E1482" s="74">
        <v>4.0000000000000001E-3</v>
      </c>
      <c r="F1482" s="78" t="s">
        <v>237</v>
      </c>
      <c r="G1482" s="77" t="s">
        <v>220</v>
      </c>
      <c r="H1482" t="str">
        <f>VLOOKUP(D1482,'DETALLE PRECIO INGREDIENTES'!B:B,1,0)</f>
        <v>CANELA EN POLVO</v>
      </c>
    </row>
    <row r="1483" spans="2:8" ht="15.5" hidden="1" x14ac:dyDescent="0.35">
      <c r="B1483" s="75" t="s">
        <v>80</v>
      </c>
      <c r="C1483" s="75" t="s">
        <v>77</v>
      </c>
      <c r="D1483" s="73" t="s">
        <v>961</v>
      </c>
      <c r="E1483" s="74">
        <v>6.0000000000000001E-3</v>
      </c>
      <c r="F1483" s="78" t="s">
        <v>237</v>
      </c>
      <c r="G1483" s="77" t="s">
        <v>220</v>
      </c>
      <c r="H1483" t="str">
        <f>VLOOKUP(D1483,'DETALLE PRECIO INGREDIENTES'!B:B,1,0)</f>
        <v>miel</v>
      </c>
    </row>
    <row r="1484" spans="2:8" ht="15.5" hidden="1" x14ac:dyDescent="0.35">
      <c r="B1484" s="75" t="s">
        <v>80</v>
      </c>
      <c r="C1484" s="75" t="s">
        <v>77</v>
      </c>
      <c r="D1484" s="73" t="s">
        <v>383</v>
      </c>
      <c r="E1484" s="74">
        <v>0.05</v>
      </c>
      <c r="F1484" s="78" t="s">
        <v>237</v>
      </c>
      <c r="G1484" s="77" t="s">
        <v>220</v>
      </c>
      <c r="H1484" t="str">
        <f>VLOOKUP(D1484,'DETALLE PRECIO INGREDIENTES'!B:B,1,0)</f>
        <v>MANTEQUILLA EXTRA SECA</v>
      </c>
    </row>
    <row r="1485" spans="2:8" ht="15.5" hidden="1" x14ac:dyDescent="0.35">
      <c r="B1485" s="75" t="s">
        <v>80</v>
      </c>
      <c r="C1485" s="75" t="s">
        <v>77</v>
      </c>
      <c r="D1485" s="73" t="s">
        <v>634</v>
      </c>
      <c r="E1485" s="74">
        <v>0.02</v>
      </c>
      <c r="F1485" s="78" t="s">
        <v>237</v>
      </c>
      <c r="G1485" s="77" t="s">
        <v>621</v>
      </c>
      <c r="H1485" t="str">
        <f>VLOOKUP(D1485,'DETALLE PRECIO INGREDIENTES'!B:B,1,0)</f>
        <v>ARANDANOS FRESCOS</v>
      </c>
    </row>
    <row r="1486" spans="2:8" ht="15.5" hidden="1" x14ac:dyDescent="0.35">
      <c r="B1486" s="75" t="s">
        <v>80</v>
      </c>
      <c r="C1486" s="75" t="s">
        <v>77</v>
      </c>
      <c r="D1486" s="73" t="s">
        <v>669</v>
      </c>
      <c r="E1486" s="74">
        <v>0.02</v>
      </c>
      <c r="F1486" s="78" t="s">
        <v>237</v>
      </c>
      <c r="G1486" s="77" t="s">
        <v>621</v>
      </c>
      <c r="H1486" t="str">
        <f>VLOOKUP(D1486,'DETALLE PRECIO INGREDIENTES'!B:B,1,0)</f>
        <v>FRAMBUESA FRESCA</v>
      </c>
    </row>
    <row r="1487" spans="2:8" ht="15.5" hidden="1" x14ac:dyDescent="0.35">
      <c r="B1487" s="75" t="s">
        <v>80</v>
      </c>
      <c r="C1487" s="75" t="s">
        <v>77</v>
      </c>
      <c r="D1487" s="73" t="s">
        <v>375</v>
      </c>
      <c r="E1487" s="74">
        <v>0.01</v>
      </c>
      <c r="F1487" s="78" t="s">
        <v>237</v>
      </c>
      <c r="G1487" s="77" t="s">
        <v>220</v>
      </c>
      <c r="H1487" t="str">
        <f>VLOOKUP(D1487,'DETALLE PRECIO INGREDIENTES'!B:B,1,0)</f>
        <v>MAICENA</v>
      </c>
    </row>
    <row r="1488" spans="2:8" ht="15.5" hidden="1" x14ac:dyDescent="0.35">
      <c r="B1488" s="75" t="s">
        <v>80</v>
      </c>
      <c r="C1488" s="75" t="s">
        <v>77</v>
      </c>
      <c r="D1488" s="73" t="s">
        <v>656</v>
      </c>
      <c r="E1488" s="74">
        <v>0.25</v>
      </c>
      <c r="F1488" s="78" t="s">
        <v>259</v>
      </c>
      <c r="G1488" s="77" t="s">
        <v>621</v>
      </c>
      <c r="H1488" t="str">
        <f>VLOOKUP(D1488,'DETALLE PRECIO INGREDIENTES'!B:B,1,0)</f>
        <v>CIBOULETTE ATADO</v>
      </c>
    </row>
    <row r="1489" spans="2:8" ht="15.5" hidden="1" x14ac:dyDescent="0.35">
      <c r="B1489" s="75" t="s">
        <v>80</v>
      </c>
      <c r="C1489" s="75" t="s">
        <v>77</v>
      </c>
      <c r="D1489" s="73" t="s">
        <v>651</v>
      </c>
      <c r="E1489" s="74">
        <v>0.05</v>
      </c>
      <c r="F1489" s="78" t="s">
        <v>237</v>
      </c>
      <c r="G1489" s="77" t="s">
        <v>621</v>
      </c>
      <c r="H1489" t="str">
        <f>VLOOKUP(D1489,'DETALLE PRECIO INGREDIENTES'!B:B,1,0)</f>
        <v>CHAMPIÑON PARIS</v>
      </c>
    </row>
    <row r="1490" spans="2:8" ht="15.5" hidden="1" x14ac:dyDescent="0.35">
      <c r="B1490" s="75" t="s">
        <v>80</v>
      </c>
      <c r="C1490" s="75" t="s">
        <v>77</v>
      </c>
      <c r="D1490" s="73" t="s">
        <v>716</v>
      </c>
      <c r="E1490" s="74">
        <v>0.1</v>
      </c>
      <c r="F1490" s="78" t="s">
        <v>237</v>
      </c>
      <c r="G1490" s="77" t="s">
        <v>621</v>
      </c>
      <c r="H1490" t="str">
        <f>VLOOKUP(D1490,'DETALLE PRECIO INGREDIENTES'!B:B,1,0)</f>
        <v>TOMATE LARGA VIDA</v>
      </c>
    </row>
    <row r="1491" spans="2:8" ht="15.5" hidden="1" x14ac:dyDescent="0.35">
      <c r="B1491" s="75" t="s">
        <v>80</v>
      </c>
      <c r="C1491" s="75" t="s">
        <v>77</v>
      </c>
      <c r="D1491" s="73" t="s">
        <v>763</v>
      </c>
      <c r="E1491" s="74">
        <v>0.04</v>
      </c>
      <c r="F1491" s="78" t="s">
        <v>237</v>
      </c>
      <c r="G1491" s="77" t="s">
        <v>736</v>
      </c>
      <c r="H1491" t="str">
        <f>VLOOKUP(D1491,'DETALLE PRECIO INGREDIENTES'!B:B,1,0)</f>
        <v>QUESO GAUDA LAMINADO</v>
      </c>
    </row>
    <row r="1492" spans="2:8" ht="15.5" hidden="1" x14ac:dyDescent="0.35">
      <c r="B1492" s="75" t="s">
        <v>80</v>
      </c>
      <c r="C1492" s="75" t="s">
        <v>77</v>
      </c>
      <c r="D1492" s="73" t="s">
        <v>230</v>
      </c>
      <c r="E1492" s="74">
        <v>1.4999999999999999E-2</v>
      </c>
      <c r="F1492" s="78" t="s">
        <v>222</v>
      </c>
      <c r="G1492" s="77" t="s">
        <v>220</v>
      </c>
      <c r="H1492" t="str">
        <f>VLOOKUP(D1492,'DETALLE PRECIO INGREDIENTES'!B:B,1,0)</f>
        <v>ACEITE DE OLIVA</v>
      </c>
    </row>
    <row r="1493" spans="2:8" ht="15.5" hidden="1" x14ac:dyDescent="0.35">
      <c r="B1493" s="75" t="s">
        <v>80</v>
      </c>
      <c r="C1493" s="75" t="s">
        <v>77</v>
      </c>
      <c r="D1493" s="73" t="s">
        <v>428</v>
      </c>
      <c r="E1493" s="74">
        <v>1E-3</v>
      </c>
      <c r="F1493" s="78" t="s">
        <v>237</v>
      </c>
      <c r="G1493" s="77" t="s">
        <v>220</v>
      </c>
      <c r="H1493" t="str">
        <f>VLOOKUP(D1493,'DETALLE PRECIO INGREDIENTES'!B:B,1,0)</f>
        <v>PIMIENTA NEGRA MOLIDA</v>
      </c>
    </row>
    <row r="1494" spans="2:8" ht="15.5" hidden="1" x14ac:dyDescent="0.35">
      <c r="B1494" s="75" t="s">
        <v>80</v>
      </c>
      <c r="C1494" s="75" t="s">
        <v>77</v>
      </c>
      <c r="D1494" s="73" t="s">
        <v>843</v>
      </c>
      <c r="E1494" s="74">
        <v>0.08</v>
      </c>
      <c r="F1494" s="78" t="s">
        <v>237</v>
      </c>
      <c r="G1494" s="77" t="s">
        <v>839</v>
      </c>
      <c r="H1494" t="str">
        <f>VLOOKUP(D1494,'DETALLE PRECIO INGREDIENTES'!B:B,1,0)</f>
        <v>POLLO PECHUGA S/HUESO</v>
      </c>
    </row>
    <row r="1495" spans="2:8" ht="15.5" hidden="1" x14ac:dyDescent="0.35">
      <c r="B1495" s="75" t="s">
        <v>80</v>
      </c>
      <c r="C1495" s="75" t="s">
        <v>77</v>
      </c>
      <c r="D1495" s="73" t="s">
        <v>638</v>
      </c>
      <c r="E1495" s="74">
        <v>0.3</v>
      </c>
      <c r="F1495" s="78" t="s">
        <v>259</v>
      </c>
      <c r="G1495" s="77" t="s">
        <v>621</v>
      </c>
      <c r="H1495" t="str">
        <f>VLOOKUP(D1495,'DETALLE PRECIO INGREDIENTES'!B:B,1,0)</f>
        <v>BERENJENA</v>
      </c>
    </row>
    <row r="1496" spans="2:8" ht="15.5" hidden="1" x14ac:dyDescent="0.35">
      <c r="B1496" s="75" t="s">
        <v>80</v>
      </c>
      <c r="C1496" s="75" t="s">
        <v>77</v>
      </c>
      <c r="D1496" s="73" t="s">
        <v>545</v>
      </c>
      <c r="E1496" s="74">
        <v>0.04</v>
      </c>
      <c r="F1496" s="78" t="s">
        <v>237</v>
      </c>
      <c r="G1496" s="77" t="s">
        <v>525</v>
      </c>
      <c r="H1496" t="str">
        <f>VLOOKUP(D1496,'DETALLE PRECIO INGREDIENTES'!B:B,1,0)</f>
        <v>TOCINO AHUMADO LAMINADO</v>
      </c>
    </row>
    <row r="1497" spans="2:8" ht="15.5" hidden="1" x14ac:dyDescent="0.35">
      <c r="B1497" s="75" t="s">
        <v>80</v>
      </c>
      <c r="C1497" s="75" t="s">
        <v>77</v>
      </c>
      <c r="D1497" s="73" t="s">
        <v>684</v>
      </c>
      <c r="E1497" s="74">
        <v>0.1</v>
      </c>
      <c r="F1497" s="78" t="s">
        <v>237</v>
      </c>
      <c r="G1497" s="77" t="s">
        <v>621</v>
      </c>
      <c r="H1497" t="str">
        <f>VLOOKUP(D1497,'DETALLE PRECIO INGREDIENTES'!B:B,1,0)</f>
        <v>MANZANA VERDE</v>
      </c>
    </row>
    <row r="1498" spans="2:8" ht="15.5" hidden="1" x14ac:dyDescent="0.35">
      <c r="B1498" s="75" t="s">
        <v>80</v>
      </c>
      <c r="C1498" s="75" t="s">
        <v>77</v>
      </c>
      <c r="D1498" s="73" t="s">
        <v>690</v>
      </c>
      <c r="E1498" s="74">
        <v>0.1</v>
      </c>
      <c r="F1498" s="78" t="s">
        <v>237</v>
      </c>
      <c r="G1498" s="77" t="s">
        <v>621</v>
      </c>
      <c r="H1498" t="str">
        <f>VLOOKUP(D1498,'DETALLE PRECIO INGREDIENTES'!B:B,1,0)</f>
        <v>NARANJA DE JUGO</v>
      </c>
    </row>
    <row r="1499" spans="2:8" ht="15.5" hidden="1" x14ac:dyDescent="0.35">
      <c r="B1499" s="75" t="s">
        <v>80</v>
      </c>
      <c r="C1499" s="75" t="s">
        <v>77</v>
      </c>
      <c r="D1499" s="73" t="s">
        <v>596</v>
      </c>
      <c r="E1499" s="74">
        <v>0.125</v>
      </c>
      <c r="F1499" s="78" t="s">
        <v>237</v>
      </c>
      <c r="G1499" s="77" t="s">
        <v>587</v>
      </c>
      <c r="H1499" t="str">
        <f>VLOOKUP(D1499,'DETALLE PRECIO INGREDIENTES'!B:B,1,0)</f>
        <v>PULPA DE MANGO</v>
      </c>
    </row>
    <row r="1500" spans="2:8" ht="15.5" hidden="1" x14ac:dyDescent="0.35">
      <c r="B1500" s="75" t="s">
        <v>80</v>
      </c>
      <c r="C1500" s="75" t="s">
        <v>77</v>
      </c>
      <c r="D1500" s="73" t="s">
        <v>701</v>
      </c>
      <c r="E1500" s="74">
        <v>0.25</v>
      </c>
      <c r="F1500" s="78" t="s">
        <v>259</v>
      </c>
      <c r="G1500" s="77" t="s">
        <v>621</v>
      </c>
      <c r="H1500" t="str">
        <f>VLOOKUP(D1500,'DETALLE PRECIO INGREDIENTES'!B:B,1,0)</f>
        <v>PIMIENTO MORRON</v>
      </c>
    </row>
    <row r="1501" spans="2:8" ht="15.5" hidden="1" x14ac:dyDescent="0.35">
      <c r="B1501" s="75" t="s">
        <v>80</v>
      </c>
      <c r="C1501" s="75" t="s">
        <v>77</v>
      </c>
      <c r="D1501" s="73" t="s">
        <v>679</v>
      </c>
      <c r="E1501" s="74">
        <v>0.1</v>
      </c>
      <c r="F1501" s="78" t="s">
        <v>259</v>
      </c>
      <c r="G1501" s="77" t="s">
        <v>621</v>
      </c>
      <c r="H1501" t="str">
        <f>VLOOKUP(D1501,'DETALLE PRECIO INGREDIENTES'!B:B,1,0)</f>
        <v>LECHUGA LOLLO ROSSA</v>
      </c>
    </row>
    <row r="1502" spans="2:8" ht="15.5" hidden="1" x14ac:dyDescent="0.35">
      <c r="B1502" s="75" t="s">
        <v>80</v>
      </c>
      <c r="C1502" s="75" t="s">
        <v>77</v>
      </c>
      <c r="D1502" s="73" t="s">
        <v>516</v>
      </c>
      <c r="E1502" s="74">
        <v>0.1</v>
      </c>
      <c r="F1502" s="78" t="s">
        <v>259</v>
      </c>
      <c r="G1502" s="77" t="s">
        <v>485</v>
      </c>
      <c r="H1502" t="str">
        <f>VLOOKUP(D1502,'DETALLE PRECIO INGREDIENTES'!B:B,1,0)</f>
        <v>SERVILLETAS MESA 200 UND</v>
      </c>
    </row>
    <row r="1503" spans="2:8" ht="15.5" hidden="1" x14ac:dyDescent="0.35">
      <c r="B1503" s="75" t="s">
        <v>80</v>
      </c>
      <c r="C1503" s="75" t="s">
        <v>77</v>
      </c>
      <c r="D1503" s="73" t="s">
        <v>849</v>
      </c>
      <c r="E1503" s="74">
        <v>1.5</v>
      </c>
      <c r="F1503" s="78" t="s">
        <v>259</v>
      </c>
      <c r="G1503" s="77" t="s">
        <v>847</v>
      </c>
      <c r="H1503" t="str">
        <f>VLOOKUP(D1503,'DETALLE PRECIO INGREDIENTES'!B:B,1,0)</f>
        <v>TE LIPTON BOLSA</v>
      </c>
    </row>
    <row r="1504" spans="2:8" ht="15.5" hidden="1" x14ac:dyDescent="0.35">
      <c r="B1504" s="75" t="s">
        <v>80</v>
      </c>
      <c r="C1504" s="75" t="s">
        <v>77</v>
      </c>
      <c r="D1504" s="73" t="s">
        <v>590</v>
      </c>
      <c r="E1504" s="74">
        <v>0.125</v>
      </c>
      <c r="F1504" s="78" t="s">
        <v>237</v>
      </c>
      <c r="G1504" s="77" t="s">
        <v>587</v>
      </c>
      <c r="H1504" t="str">
        <f>VLOOKUP(D1504,'DETALLE PRECIO INGREDIENTES'!B:B,1,0)</f>
        <v>PULPA DE CHIRIMOYA</v>
      </c>
    </row>
    <row r="1505" spans="2:8" ht="15.5" hidden="1" x14ac:dyDescent="0.35">
      <c r="B1505" s="75" t="s">
        <v>80</v>
      </c>
      <c r="C1505" s="75" t="s">
        <v>77</v>
      </c>
      <c r="D1505" s="73" t="s">
        <v>737</v>
      </c>
      <c r="E1505" s="74">
        <v>3.0000000000000001E-3</v>
      </c>
      <c r="F1505" s="78" t="s">
        <v>222</v>
      </c>
      <c r="G1505" s="77" t="s">
        <v>736</v>
      </c>
      <c r="H1505" t="str">
        <f>VLOOKUP(D1505,'DETALLE PRECIO INGREDIENTES'!B:B,1,0)</f>
        <v>CREMA ACIDA</v>
      </c>
    </row>
    <row r="1506" spans="2:8" ht="15.5" hidden="1" x14ac:dyDescent="0.35">
      <c r="B1506" s="75" t="s">
        <v>80</v>
      </c>
      <c r="C1506" s="75" t="s">
        <v>77</v>
      </c>
      <c r="D1506" s="73" t="s">
        <v>511</v>
      </c>
      <c r="E1506" s="74">
        <v>1</v>
      </c>
      <c r="F1506" s="78" t="s">
        <v>259</v>
      </c>
      <c r="G1506" s="77" t="s">
        <v>485</v>
      </c>
      <c r="H1506" t="str">
        <f>VLOOKUP(D1506,'DETALLE PRECIO INGREDIENTES'!B:B,1,0)</f>
        <v>PAPEL CERESINADO PLIEGO</v>
      </c>
    </row>
    <row r="1507" spans="2:8" ht="15.5" hidden="1" x14ac:dyDescent="0.35">
      <c r="B1507" s="75" t="s">
        <v>80</v>
      </c>
      <c r="C1507" s="75" t="s">
        <v>77</v>
      </c>
      <c r="D1507" s="73" t="s">
        <v>286</v>
      </c>
      <c r="E1507" s="74">
        <v>1.5</v>
      </c>
      <c r="F1507" s="78" t="s">
        <v>259</v>
      </c>
      <c r="G1507" s="77" t="s">
        <v>220</v>
      </c>
      <c r="H1507" t="str">
        <f>VLOOKUP(D1507,'DETALLE PRECIO INGREDIENTES'!B:B,1,0)</f>
        <v>CAFE EN SACHET</v>
      </c>
    </row>
    <row r="1508" spans="2:8" ht="15.5" hidden="1" x14ac:dyDescent="0.35">
      <c r="B1508" s="75" t="s">
        <v>80</v>
      </c>
      <c r="C1508" s="75" t="s">
        <v>77</v>
      </c>
      <c r="D1508" s="73" t="s">
        <v>285</v>
      </c>
      <c r="E1508" s="74">
        <v>5.0000000000000001E-3</v>
      </c>
      <c r="F1508" s="78" t="s">
        <v>237</v>
      </c>
      <c r="G1508" s="77" t="s">
        <v>220</v>
      </c>
      <c r="H1508" t="str">
        <f>VLOOKUP(D1508,'DETALLE PRECIO INGREDIENTES'!B:B,1,0)</f>
        <v>BRILLOX GEL / MIROIR</v>
      </c>
    </row>
    <row r="1509" spans="2:8" ht="15.5" hidden="1" x14ac:dyDescent="0.35">
      <c r="B1509" s="75" t="s">
        <v>80</v>
      </c>
      <c r="C1509" s="75" t="s">
        <v>77</v>
      </c>
      <c r="D1509" s="73" t="s">
        <v>318</v>
      </c>
      <c r="E1509" s="74">
        <v>2</v>
      </c>
      <c r="F1509" s="78" t="s">
        <v>259</v>
      </c>
      <c r="G1509" s="77" t="s">
        <v>220</v>
      </c>
      <c r="H1509" t="str">
        <f>VLOOKUP(D1509,'DETALLE PRECIO INGREDIENTES'!B:B,1,0)</f>
        <v>CUCHARAS DE MADERA</v>
      </c>
    </row>
    <row r="1510" spans="2:8" ht="15.5" hidden="1" x14ac:dyDescent="0.35">
      <c r="B1510" s="75" t="s">
        <v>80</v>
      </c>
      <c r="C1510" s="75" t="s">
        <v>76</v>
      </c>
      <c r="D1510" s="73" t="s">
        <v>739</v>
      </c>
      <c r="E1510" s="74">
        <v>0.45</v>
      </c>
      <c r="F1510" s="78" t="s">
        <v>222</v>
      </c>
      <c r="G1510" s="77" t="s">
        <v>736</v>
      </c>
      <c r="H1510" t="str">
        <f>VLOOKUP(D1510,'DETALLE PRECIO INGREDIENTES'!B:B,1,0)</f>
        <v>CREMA DE LECHE</v>
      </c>
    </row>
    <row r="1511" spans="2:8" ht="15.5" hidden="1" x14ac:dyDescent="0.35">
      <c r="B1511" s="75" t="s">
        <v>80</v>
      </c>
      <c r="C1511" s="75" t="s">
        <v>76</v>
      </c>
      <c r="D1511" s="73" t="s">
        <v>748</v>
      </c>
      <c r="E1511" s="74">
        <v>0.15</v>
      </c>
      <c r="F1511" s="78" t="s">
        <v>222</v>
      </c>
      <c r="G1511" s="77" t="s">
        <v>736</v>
      </c>
      <c r="H1511" t="str">
        <f>VLOOKUP(D1511,'DETALLE PRECIO INGREDIENTES'!B:B,1,0)</f>
        <v>LECHE ENTERA</v>
      </c>
    </row>
    <row r="1512" spans="2:8" ht="15.5" hidden="1" x14ac:dyDescent="0.35">
      <c r="B1512" s="75" t="s">
        <v>80</v>
      </c>
      <c r="C1512" s="75" t="s">
        <v>76</v>
      </c>
      <c r="D1512" s="73" t="s">
        <v>277</v>
      </c>
      <c r="E1512" s="74">
        <v>0.3</v>
      </c>
      <c r="F1512" s="78" t="s">
        <v>237</v>
      </c>
      <c r="G1512" s="77" t="s">
        <v>220</v>
      </c>
      <c r="H1512" t="str">
        <f>VLOOKUP(D1512,'DETALLE PRECIO INGREDIENTES'!B:B,1,0)</f>
        <v>AZUCAR BLANCA GRANULADA</v>
      </c>
    </row>
    <row r="1513" spans="2:8" ht="15.5" hidden="1" x14ac:dyDescent="0.35">
      <c r="B1513" s="75" t="s">
        <v>80</v>
      </c>
      <c r="C1513" s="75" t="s">
        <v>76</v>
      </c>
      <c r="D1513" s="73" t="s">
        <v>345</v>
      </c>
      <c r="E1513" s="74">
        <v>0.01</v>
      </c>
      <c r="F1513" s="78" t="s">
        <v>237</v>
      </c>
      <c r="G1513" s="77" t="s">
        <v>220</v>
      </c>
      <c r="H1513" t="str">
        <f>VLOOKUP(D1513,'DETALLE PRECIO INGREDIENTES'!B:B,1,0)</f>
        <v>GELATINA SIN SABOR</v>
      </c>
    </row>
    <row r="1514" spans="2:8" ht="15.5" hidden="1" x14ac:dyDescent="0.35">
      <c r="B1514" s="75" t="s">
        <v>80</v>
      </c>
      <c r="C1514" s="75" t="s">
        <v>76</v>
      </c>
      <c r="D1514" s="73" t="s">
        <v>471</v>
      </c>
      <c r="E1514" s="74">
        <v>0.25</v>
      </c>
      <c r="F1514" s="78" t="s">
        <v>259</v>
      </c>
      <c r="G1514" s="77" t="s">
        <v>220</v>
      </c>
      <c r="H1514" t="str">
        <f>VLOOKUP(D1514,'DETALLE PRECIO INGREDIENTES'!B:B,1,0)</f>
        <v>VAINA VAINILLA</v>
      </c>
    </row>
    <row r="1515" spans="2:8" ht="15.5" hidden="1" x14ac:dyDescent="0.35">
      <c r="B1515" s="75" t="s">
        <v>80</v>
      </c>
      <c r="C1515" s="75" t="s">
        <v>76</v>
      </c>
      <c r="D1515" s="73" t="s">
        <v>288</v>
      </c>
      <c r="E1515" s="74">
        <v>5.0000000000000001E-3</v>
      </c>
      <c r="F1515" s="78" t="s">
        <v>237</v>
      </c>
      <c r="G1515" s="77" t="s">
        <v>220</v>
      </c>
      <c r="H1515" t="str">
        <f>VLOOKUP(D1515,'DETALLE PRECIO INGREDIENTES'!B:B,1,0)</f>
        <v>CAFE INSTANTANEO</v>
      </c>
    </row>
    <row r="1516" spans="2:8" ht="15.5" hidden="1" x14ac:dyDescent="0.35">
      <c r="B1516" s="75" t="s">
        <v>80</v>
      </c>
      <c r="C1516" s="75" t="s">
        <v>76</v>
      </c>
      <c r="D1516" s="73" t="s">
        <v>686</v>
      </c>
      <c r="E1516" s="74">
        <v>0.06</v>
      </c>
      <c r="F1516" s="78" t="s">
        <v>237</v>
      </c>
      <c r="G1516" s="77" t="s">
        <v>621</v>
      </c>
      <c r="H1516" t="str">
        <f>VLOOKUP(D1516,'DETALLE PRECIO INGREDIENTES'!B:B,1,0)</f>
        <v>MIX DE BERRIES CONGELADO</v>
      </c>
    </row>
    <row r="1517" spans="2:8" ht="15.5" hidden="1" x14ac:dyDescent="0.35">
      <c r="B1517" s="75" t="s">
        <v>80</v>
      </c>
      <c r="C1517" s="75" t="s">
        <v>76</v>
      </c>
      <c r="D1517" s="73" t="s">
        <v>680</v>
      </c>
      <c r="E1517" s="74">
        <v>0.06</v>
      </c>
      <c r="F1517" s="78" t="s">
        <v>237</v>
      </c>
      <c r="G1517" s="77" t="s">
        <v>621</v>
      </c>
      <c r="H1517" t="str">
        <f>VLOOKUP(D1517,'DETALLE PRECIO INGREDIENTES'!B:B,1,0)</f>
        <v>LIMON DE JUGO</v>
      </c>
    </row>
    <row r="1518" spans="2:8" ht="15.5" hidden="1" x14ac:dyDescent="0.35">
      <c r="B1518" s="75" t="s">
        <v>80</v>
      </c>
      <c r="C1518" s="75" t="s">
        <v>76</v>
      </c>
      <c r="D1518" s="73" t="s">
        <v>751</v>
      </c>
      <c r="E1518" s="74">
        <v>7.0000000000000007E-2</v>
      </c>
      <c r="F1518" s="78" t="s">
        <v>237</v>
      </c>
      <c r="G1518" s="77" t="s">
        <v>736</v>
      </c>
      <c r="H1518" t="str">
        <f>VLOOKUP(D1518,'DETALLE PRECIO INGREDIENTES'!B:B,1,0)</f>
        <v>MANTEQUILLA SIN SAL</v>
      </c>
    </row>
    <row r="1519" spans="2:8" ht="15.5" hidden="1" x14ac:dyDescent="0.35">
      <c r="B1519" s="75" t="s">
        <v>80</v>
      </c>
      <c r="C1519" s="75" t="s">
        <v>76</v>
      </c>
      <c r="D1519" s="73" t="s">
        <v>729</v>
      </c>
      <c r="E1519" s="74">
        <v>4.5</v>
      </c>
      <c r="F1519" s="78" t="s">
        <v>259</v>
      </c>
      <c r="G1519" s="77" t="s">
        <v>728</v>
      </c>
      <c r="H1519" t="str">
        <f>VLOOKUP(D1519,'DETALLE PRECIO INGREDIENTES'!B:B,1,0)</f>
        <v>HUEVO EXTRA BLANCO</v>
      </c>
    </row>
    <row r="1520" spans="2:8" ht="15.5" hidden="1" x14ac:dyDescent="0.35">
      <c r="B1520" s="75" t="s">
        <v>80</v>
      </c>
      <c r="C1520" s="75" t="s">
        <v>76</v>
      </c>
      <c r="D1520" s="73" t="s">
        <v>329</v>
      </c>
      <c r="E1520" s="74">
        <v>5.0000000000000001E-3</v>
      </c>
      <c r="F1520" s="78" t="s">
        <v>222</v>
      </c>
      <c r="G1520" s="77" t="s">
        <v>220</v>
      </c>
      <c r="H1520" t="str">
        <f>VLOOKUP(D1520,'DETALLE PRECIO INGREDIENTES'!B:B,1,0)</f>
        <v>ESENCIA DE VAINILLA</v>
      </c>
    </row>
    <row r="1521" spans="2:8" ht="15.5" hidden="1" x14ac:dyDescent="0.35">
      <c r="B1521" s="75" t="s">
        <v>80</v>
      </c>
      <c r="C1521" s="75" t="s">
        <v>76</v>
      </c>
      <c r="D1521" s="73" t="s">
        <v>354</v>
      </c>
      <c r="E1521" s="74">
        <v>0.08</v>
      </c>
      <c r="F1521" s="78" t="s">
        <v>237</v>
      </c>
      <c r="G1521" s="77" t="s">
        <v>220</v>
      </c>
      <c r="H1521" t="str">
        <f>VLOOKUP(D1521,'DETALLE PRECIO INGREDIENTES'!B:B,1,0)</f>
        <v>HARINA BIZCOCHERA</v>
      </c>
    </row>
    <row r="1522" spans="2:8" ht="15.5" hidden="1" x14ac:dyDescent="0.35">
      <c r="B1522" s="75" t="s">
        <v>80</v>
      </c>
      <c r="C1522" s="75" t="s">
        <v>76</v>
      </c>
      <c r="D1522" s="73" t="s">
        <v>740</v>
      </c>
      <c r="E1522" s="74">
        <v>0.18</v>
      </c>
      <c r="F1522" s="78" t="s">
        <v>237</v>
      </c>
      <c r="G1522" s="77" t="s">
        <v>736</v>
      </c>
      <c r="H1522" t="str">
        <f>VLOOKUP(D1522,'DETALLE PRECIO INGREDIENTES'!B:B,1,0)</f>
        <v>LECHE CONDENSADA</v>
      </c>
    </row>
    <row r="1523" spans="2:8" ht="15.5" hidden="1" x14ac:dyDescent="0.35">
      <c r="B1523" s="75" t="s">
        <v>80</v>
      </c>
      <c r="C1523" s="75" t="s">
        <v>76</v>
      </c>
      <c r="D1523" s="73" t="s">
        <v>891</v>
      </c>
      <c r="E1523" s="74">
        <v>0.18</v>
      </c>
      <c r="F1523" s="78" t="e">
        <v>#N/A</v>
      </c>
      <c r="G1523" s="77" t="e">
        <v>#N/A</v>
      </c>
      <c r="H1523" t="str">
        <f>VLOOKUP(D1523,'DETALLE PRECIO INGREDIENTES'!B:B,1,0)</f>
        <v>LECHE EVAPORADA</v>
      </c>
    </row>
    <row r="1524" spans="2:8" ht="15.5" hidden="1" x14ac:dyDescent="0.35">
      <c r="B1524" s="75" t="s">
        <v>80</v>
      </c>
      <c r="C1524" s="75" t="s">
        <v>76</v>
      </c>
      <c r="D1524" s="73" t="s">
        <v>877</v>
      </c>
      <c r="E1524" s="74">
        <v>0.02</v>
      </c>
      <c r="F1524" s="78" t="s">
        <v>259</v>
      </c>
      <c r="G1524" s="77" t="s">
        <v>876</v>
      </c>
      <c r="H1524" t="str">
        <f>VLOOKUP(D1524,'DETALLE PRECIO INGREDIENTES'!B:B,1,0)</f>
        <v>OPORTO DIAMANTE MITJANS</v>
      </c>
    </row>
    <row r="1525" spans="2:8" ht="15.5" hidden="1" x14ac:dyDescent="0.35">
      <c r="B1525" s="75" t="s">
        <v>80</v>
      </c>
      <c r="C1525" s="75" t="s">
        <v>76</v>
      </c>
      <c r="D1525" s="73" t="s">
        <v>292</v>
      </c>
      <c r="E1525" s="74">
        <v>5.0000000000000001E-3</v>
      </c>
      <c r="F1525" s="78" t="s">
        <v>237</v>
      </c>
      <c r="G1525" s="77" t="s">
        <v>220</v>
      </c>
      <c r="H1525" t="str">
        <f>VLOOKUP(D1525,'DETALLE PRECIO INGREDIENTES'!B:B,1,0)</f>
        <v>CANELA EN POLVO</v>
      </c>
    </row>
    <row r="1526" spans="2:8" ht="15.5" hidden="1" x14ac:dyDescent="0.35">
      <c r="B1526" s="75" t="s">
        <v>80</v>
      </c>
      <c r="C1526" s="75" t="s">
        <v>76</v>
      </c>
      <c r="D1526" s="73" t="s">
        <v>375</v>
      </c>
      <c r="E1526" s="74">
        <v>0.02</v>
      </c>
      <c r="F1526" s="78" t="s">
        <v>237</v>
      </c>
      <c r="G1526" s="77" t="s">
        <v>220</v>
      </c>
      <c r="H1526" t="str">
        <f>VLOOKUP(D1526,'DETALLE PRECIO INGREDIENTES'!B:B,1,0)</f>
        <v>MAICENA</v>
      </c>
    </row>
    <row r="1527" spans="2:8" ht="15.5" hidden="1" x14ac:dyDescent="0.35">
      <c r="B1527" s="75" t="s">
        <v>80</v>
      </c>
      <c r="C1527" s="75" t="s">
        <v>76</v>
      </c>
      <c r="D1527" s="73" t="s">
        <v>749</v>
      </c>
      <c r="E1527" s="74">
        <v>0.06</v>
      </c>
      <c r="F1527" s="78" t="s">
        <v>237</v>
      </c>
      <c r="G1527" s="77" t="s">
        <v>736</v>
      </c>
      <c r="H1527" t="str">
        <f>VLOOKUP(D1527,'DETALLE PRECIO INGREDIENTES'!B:B,1,0)</f>
        <v>MANJAR</v>
      </c>
    </row>
    <row r="1528" spans="2:8" ht="15.5" hidden="1" x14ac:dyDescent="0.35">
      <c r="B1528" s="75" t="s">
        <v>80</v>
      </c>
      <c r="C1528" s="75" t="s">
        <v>76</v>
      </c>
      <c r="D1528" s="73" t="s">
        <v>556</v>
      </c>
      <c r="E1528" s="74">
        <v>0.05</v>
      </c>
      <c r="F1528" s="78" t="s">
        <v>237</v>
      </c>
      <c r="G1528" s="77" t="s">
        <v>551</v>
      </c>
      <c r="H1528" t="str">
        <f>VLOOKUP(D1528,'DETALLE PRECIO INGREDIENTES'!B:B,1,0)</f>
        <v>CHOCOLATE AMARGO 56%</v>
      </c>
    </row>
    <row r="1529" spans="2:8" ht="15.5" hidden="1" x14ac:dyDescent="0.35">
      <c r="B1529" s="75" t="s">
        <v>80</v>
      </c>
      <c r="C1529" s="75" t="s">
        <v>76</v>
      </c>
      <c r="D1529" s="73" t="s">
        <v>563</v>
      </c>
      <c r="E1529" s="74">
        <v>0.05</v>
      </c>
      <c r="F1529" s="78" t="s">
        <v>237</v>
      </c>
      <c r="G1529" s="77" t="s">
        <v>551</v>
      </c>
      <c r="H1529" t="str">
        <f>VLOOKUP(D1529,'DETALLE PRECIO INGREDIENTES'!B:B,1,0)</f>
        <v>CHOCOLATE LECHE 35%</v>
      </c>
    </row>
    <row r="1530" spans="2:8" ht="15.5" hidden="1" x14ac:dyDescent="0.35">
      <c r="B1530" s="75" t="s">
        <v>80</v>
      </c>
      <c r="C1530" s="75" t="s">
        <v>76</v>
      </c>
      <c r="D1530" s="73" t="s">
        <v>560</v>
      </c>
      <c r="E1530" s="74">
        <v>0.05</v>
      </c>
      <c r="F1530" s="78" t="s">
        <v>237</v>
      </c>
      <c r="G1530" s="77" t="s">
        <v>551</v>
      </c>
      <c r="H1530" t="str">
        <f>VLOOKUP(D1530,'DETALLE PRECIO INGREDIENTES'!B:B,1,0)</f>
        <v>CHOCOLATE CALLEBAUT BLANCO 28%</v>
      </c>
    </row>
    <row r="1531" spans="2:8" ht="15.5" hidden="1" x14ac:dyDescent="0.35">
      <c r="B1531" s="75" t="s">
        <v>80</v>
      </c>
      <c r="C1531" s="75" t="s">
        <v>76</v>
      </c>
      <c r="D1531" s="73" t="s">
        <v>278</v>
      </c>
      <c r="E1531" s="74">
        <v>0.02</v>
      </c>
      <c r="F1531" s="78" t="s">
        <v>237</v>
      </c>
      <c r="G1531" s="77" t="s">
        <v>220</v>
      </c>
      <c r="H1531" t="str">
        <f>VLOOKUP(D1531,'DETALLE PRECIO INGREDIENTES'!B:B,1,0)</f>
        <v>AZUCAR FLOR</v>
      </c>
    </row>
    <row r="1532" spans="2:8" ht="15.5" hidden="1" x14ac:dyDescent="0.35">
      <c r="B1532" s="75" t="s">
        <v>80</v>
      </c>
      <c r="C1532" s="75" t="s">
        <v>76</v>
      </c>
      <c r="D1532" s="73" t="s">
        <v>759</v>
      </c>
      <c r="E1532" s="74">
        <v>0.08</v>
      </c>
      <c r="F1532" s="78" t="s">
        <v>237</v>
      </c>
      <c r="G1532" s="77" t="s">
        <v>736</v>
      </c>
      <c r="H1532" t="str">
        <f>VLOOKUP(D1532,'DETALLE PRECIO INGREDIENTES'!B:B,1,0)</f>
        <v>QUESO CREMA</v>
      </c>
    </row>
    <row r="1533" spans="2:8" ht="15.5" hidden="1" x14ac:dyDescent="0.35">
      <c r="B1533" s="75" t="s">
        <v>80</v>
      </c>
      <c r="C1533" s="75" t="s">
        <v>76</v>
      </c>
      <c r="D1533" s="73" t="s">
        <v>599</v>
      </c>
      <c r="E1533" s="74">
        <v>0.05</v>
      </c>
      <c r="F1533" s="78" t="s">
        <v>237</v>
      </c>
      <c r="G1533" s="77" t="s">
        <v>587</v>
      </c>
      <c r="H1533" t="str">
        <f>VLOOKUP(D1533,'DETALLE PRECIO INGREDIENTES'!B:B,1,0)</f>
        <v>PULPA DE MARACUYA SIN SEMILLA</v>
      </c>
    </row>
    <row r="1534" spans="2:8" ht="15.5" hidden="1" x14ac:dyDescent="0.35">
      <c r="B1534" s="75" t="s">
        <v>80</v>
      </c>
      <c r="C1534" s="75" t="s">
        <v>76</v>
      </c>
      <c r="D1534" s="73" t="s">
        <v>341</v>
      </c>
      <c r="E1534" s="74">
        <v>0.2</v>
      </c>
      <c r="F1534" s="78" t="s">
        <v>259</v>
      </c>
      <c r="G1534" s="77" t="s">
        <v>220</v>
      </c>
      <c r="H1534" t="str">
        <f>VLOOKUP(D1534,'DETALLE PRECIO INGREDIENTES'!B:B,1,0)</f>
        <v>GALLETAS LOTUS</v>
      </c>
    </row>
    <row r="1535" spans="2:8" ht="15.5" hidden="1" x14ac:dyDescent="0.35">
      <c r="B1535" s="75" t="s">
        <v>80</v>
      </c>
      <c r="C1535" s="75" t="s">
        <v>76</v>
      </c>
      <c r="D1535" s="73" t="s">
        <v>511</v>
      </c>
      <c r="E1535" s="74">
        <v>1</v>
      </c>
      <c r="F1535" s="78" t="s">
        <v>259</v>
      </c>
      <c r="G1535" s="77" t="s">
        <v>485</v>
      </c>
      <c r="H1535" t="str">
        <f>VLOOKUP(D1535,'DETALLE PRECIO INGREDIENTES'!B:B,1,0)</f>
        <v>PAPEL CERESINADO PLIEGO</v>
      </c>
    </row>
    <row r="1536" spans="2:8" ht="15.5" hidden="1" x14ac:dyDescent="0.35">
      <c r="B1536" s="75" t="s">
        <v>80</v>
      </c>
      <c r="C1536" s="75" t="s">
        <v>76</v>
      </c>
      <c r="D1536" s="73" t="s">
        <v>261</v>
      </c>
      <c r="E1536" s="74">
        <v>0.02</v>
      </c>
      <c r="F1536" s="78" t="s">
        <v>237</v>
      </c>
      <c r="G1536" s="77" t="s">
        <v>220</v>
      </c>
      <c r="H1536" t="str">
        <f>VLOOKUP(D1536,'DETALLE PRECIO INGREDIENTES'!B:B,1,0)</f>
        <v>ALMENDRAS ENTERAS</v>
      </c>
    </row>
    <row r="1537" spans="2:8" ht="15.5" hidden="1" x14ac:dyDescent="0.35">
      <c r="B1537" s="75" t="s">
        <v>80</v>
      </c>
      <c r="C1537" s="75" t="s">
        <v>76</v>
      </c>
      <c r="D1537" s="73" t="s">
        <v>458</v>
      </c>
      <c r="E1537" s="74">
        <v>5.0000000000000001E-3</v>
      </c>
      <c r="F1537" s="78" t="s">
        <v>237</v>
      </c>
      <c r="G1537" s="77" t="s">
        <v>220</v>
      </c>
      <c r="H1537" t="str">
        <f>VLOOKUP(D1537,'DETALLE PRECIO INGREDIENTES'!B:B,1,0)</f>
        <v>SEMILLAS DE SESAMO BLANCO</v>
      </c>
    </row>
    <row r="1538" spans="2:8" ht="15.5" hidden="1" x14ac:dyDescent="0.35">
      <c r="B1538" s="75" t="s">
        <v>80</v>
      </c>
      <c r="C1538" s="75" t="s">
        <v>76</v>
      </c>
      <c r="D1538" s="73" t="s">
        <v>244</v>
      </c>
      <c r="E1538" s="74">
        <v>1E-3</v>
      </c>
      <c r="F1538" s="78" t="s">
        <v>237</v>
      </c>
      <c r="G1538" s="77" t="s">
        <v>220</v>
      </c>
      <c r="H1538" t="str">
        <f>VLOOKUP(D1538,'DETALLE PRECIO INGREDIENTES'!B:B,1,0)</f>
        <v>AGAR-AGAR</v>
      </c>
    </row>
    <row r="1539" spans="2:8" ht="15.5" x14ac:dyDescent="0.35">
      <c r="B1539" s="75" t="s">
        <v>80</v>
      </c>
      <c r="C1539" s="75" t="s">
        <v>76</v>
      </c>
      <c r="D1539" s="73" t="s">
        <v>968</v>
      </c>
      <c r="E1539" s="74">
        <v>6</v>
      </c>
      <c r="F1539" s="78" t="s">
        <v>259</v>
      </c>
      <c r="G1539" s="77" t="s">
        <v>485</v>
      </c>
      <c r="H1539" t="e">
        <f>VLOOKUP(D1539,'DETALLE PRECIO INGREDIENTES'!B:B,1,0)</f>
        <v>#N/A</v>
      </c>
    </row>
    <row r="1540" spans="2:8" ht="15.5" x14ac:dyDescent="0.35">
      <c r="B1540" s="75" t="s">
        <v>80</v>
      </c>
      <c r="C1540" s="75" t="s">
        <v>76</v>
      </c>
      <c r="D1540" s="73" t="s">
        <v>969</v>
      </c>
      <c r="E1540" s="74">
        <v>3</v>
      </c>
      <c r="F1540" s="78" t="s">
        <v>259</v>
      </c>
      <c r="G1540" s="77" t="s">
        <v>485</v>
      </c>
      <c r="H1540" t="e">
        <f>VLOOKUP(D1540,'DETALLE PRECIO INGREDIENTES'!B:B,1,0)</f>
        <v>#N/A</v>
      </c>
    </row>
    <row r="1541" spans="2:8" ht="15.5" hidden="1" x14ac:dyDescent="0.35">
      <c r="B1541" s="75" t="s">
        <v>80</v>
      </c>
      <c r="C1541" s="75" t="s">
        <v>76</v>
      </c>
      <c r="D1541" s="73" t="s">
        <v>516</v>
      </c>
      <c r="E1541" s="74">
        <v>0.1</v>
      </c>
      <c r="F1541" s="78" t="s">
        <v>259</v>
      </c>
      <c r="G1541" s="77" t="s">
        <v>485</v>
      </c>
      <c r="H1541" t="str">
        <f>VLOOKUP(D1541,'DETALLE PRECIO INGREDIENTES'!B:B,1,0)</f>
        <v>SERVILLETAS MESA 200 UND</v>
      </c>
    </row>
    <row r="1542" spans="2:8" ht="15.5" hidden="1" x14ac:dyDescent="0.35">
      <c r="B1542" s="75" t="s">
        <v>80</v>
      </c>
      <c r="C1542" s="75" t="s">
        <v>76</v>
      </c>
      <c r="D1542" s="73" t="s">
        <v>318</v>
      </c>
      <c r="E1542" s="74">
        <v>2</v>
      </c>
      <c r="F1542" s="78" t="s">
        <v>259</v>
      </c>
      <c r="G1542" s="77" t="s">
        <v>220</v>
      </c>
      <c r="H1542" t="str">
        <f>VLOOKUP(D1542,'DETALLE PRECIO INGREDIENTES'!B:B,1,0)</f>
        <v>CUCHARAS DE MADERA</v>
      </c>
    </row>
    <row r="1543" spans="2:8" ht="15.5" hidden="1" x14ac:dyDescent="0.35">
      <c r="B1543" s="75" t="s">
        <v>80</v>
      </c>
      <c r="C1543" s="75" t="s">
        <v>76</v>
      </c>
      <c r="D1543" s="73" t="s">
        <v>503</v>
      </c>
      <c r="E1543" s="74">
        <v>2</v>
      </c>
      <c r="F1543" s="78" t="s">
        <v>259</v>
      </c>
      <c r="G1543" s="77" t="s">
        <v>485</v>
      </c>
      <c r="H1543" t="str">
        <f>VLOOKUP(D1543,'DETALLE PRECIO INGREDIENTES'!B:B,1,0)</f>
        <v>MANGAS DESECHABLES PEQUEÑAS</v>
      </c>
    </row>
    <row r="1544" spans="2:8" ht="15.5" hidden="1" x14ac:dyDescent="0.35">
      <c r="B1544" s="75" t="s">
        <v>80</v>
      </c>
      <c r="C1544" s="75" t="s">
        <v>76</v>
      </c>
      <c r="D1544" s="73" t="s">
        <v>438</v>
      </c>
      <c r="E1544" s="74">
        <v>0.01</v>
      </c>
      <c r="F1544" s="78" t="s">
        <v>237</v>
      </c>
      <c r="G1544" s="77" t="s">
        <v>220</v>
      </c>
      <c r="H1544" t="str">
        <f>VLOOKUP(D1544,'DETALLE PRECIO INGREDIENTES'!B:B,1,0)</f>
        <v>QUINOA INFLADA POPS</v>
      </c>
    </row>
    <row r="1545" spans="2:8" ht="15.5" hidden="1" x14ac:dyDescent="0.35">
      <c r="B1545" s="75" t="s">
        <v>80</v>
      </c>
      <c r="C1545" s="75" t="s">
        <v>76</v>
      </c>
      <c r="D1545" s="73" t="s">
        <v>512</v>
      </c>
      <c r="E1545" s="74">
        <v>0.5</v>
      </c>
      <c r="F1545" s="78" t="s">
        <v>259</v>
      </c>
      <c r="G1545" s="77" t="s">
        <v>485</v>
      </c>
      <c r="H1545" t="str">
        <f>VLOOKUP(D1545,'DETALLE PRECIO INGREDIENTES'!B:B,1,0)</f>
        <v>PAPEL GUITARRA</v>
      </c>
    </row>
    <row r="1546" spans="2:8" ht="15.5" hidden="1" x14ac:dyDescent="0.35">
      <c r="B1546" s="75" t="s">
        <v>80</v>
      </c>
      <c r="C1546" s="75" t="s">
        <v>76</v>
      </c>
      <c r="D1546" s="73" t="s">
        <v>504</v>
      </c>
      <c r="E1546" s="74">
        <v>0.5</v>
      </c>
      <c r="F1546" s="78" t="s">
        <v>259</v>
      </c>
      <c r="G1546" s="77" t="s">
        <v>485</v>
      </c>
      <c r="H1546" t="str">
        <f>VLOOKUP(D1546,'DETALLE PRECIO INGREDIENTES'!B:B,1,0)</f>
        <v>MICA CARTA</v>
      </c>
    </row>
    <row r="1547" spans="2:8" ht="15.5" hidden="1" x14ac:dyDescent="0.35">
      <c r="B1547" s="75" t="s">
        <v>80</v>
      </c>
      <c r="C1547" s="75" t="s">
        <v>75</v>
      </c>
      <c r="D1547" s="73" t="s">
        <v>363</v>
      </c>
      <c r="E1547" s="74">
        <v>0.05</v>
      </c>
      <c r="F1547" s="78" t="s">
        <v>237</v>
      </c>
      <c r="G1547" s="77" t="s">
        <v>220</v>
      </c>
      <c r="H1547" t="str">
        <f>VLOOKUP(D1547,'DETALLE PRECIO INGREDIENTES'!B:B,1,0)</f>
        <v>HUESILLOS SIN CAROZO SECOS</v>
      </c>
    </row>
    <row r="1548" spans="2:8" ht="15.5" hidden="1" x14ac:dyDescent="0.35">
      <c r="B1548" s="75" t="s">
        <v>80</v>
      </c>
      <c r="C1548" s="75" t="s">
        <v>75</v>
      </c>
      <c r="D1548" s="73" t="s">
        <v>300</v>
      </c>
      <c r="E1548" s="74">
        <v>0.08</v>
      </c>
      <c r="F1548" s="78" t="s">
        <v>237</v>
      </c>
      <c r="G1548" s="77" t="s">
        <v>220</v>
      </c>
      <c r="H1548" t="str">
        <f>VLOOKUP(D1548,'DETALLE PRECIO INGREDIENTES'!B:B,1,0)</f>
        <v>CHANCACA</v>
      </c>
    </row>
    <row r="1549" spans="2:8" ht="15.5" hidden="1" x14ac:dyDescent="0.35">
      <c r="B1549" s="75" t="s">
        <v>80</v>
      </c>
      <c r="C1549" s="75" t="s">
        <v>75</v>
      </c>
      <c r="D1549" s="73" t="s">
        <v>277</v>
      </c>
      <c r="E1549" s="74">
        <v>0.25</v>
      </c>
      <c r="F1549" s="78" t="s">
        <v>237</v>
      </c>
      <c r="G1549" s="77" t="s">
        <v>220</v>
      </c>
      <c r="H1549" t="str">
        <f>VLOOKUP(D1549,'DETALLE PRECIO INGREDIENTES'!B:B,1,0)</f>
        <v>AZUCAR BLANCA GRANULADA</v>
      </c>
    </row>
    <row r="1550" spans="2:8" ht="15.5" hidden="1" x14ac:dyDescent="0.35">
      <c r="B1550" s="75" t="s">
        <v>80</v>
      </c>
      <c r="C1550" s="75" t="s">
        <v>75</v>
      </c>
      <c r="D1550" s="73" t="s">
        <v>293</v>
      </c>
      <c r="E1550" s="74">
        <v>0.01</v>
      </c>
      <c r="F1550" s="78" t="s">
        <v>237</v>
      </c>
      <c r="G1550" s="77" t="s">
        <v>220</v>
      </c>
      <c r="H1550" t="str">
        <f>VLOOKUP(D1550,'DETALLE PRECIO INGREDIENTES'!B:B,1,0)</f>
        <v>CANELA ENTERA</v>
      </c>
    </row>
    <row r="1551" spans="2:8" ht="15.5" hidden="1" x14ac:dyDescent="0.35">
      <c r="B1551" s="75" t="s">
        <v>80</v>
      </c>
      <c r="C1551" s="75" t="s">
        <v>75</v>
      </c>
      <c r="D1551" s="73" t="s">
        <v>690</v>
      </c>
      <c r="E1551" s="74">
        <v>0.12</v>
      </c>
      <c r="F1551" s="78" t="s">
        <v>237</v>
      </c>
      <c r="G1551" s="77" t="s">
        <v>621</v>
      </c>
      <c r="H1551" t="str">
        <f>VLOOKUP(D1551,'DETALLE PRECIO INGREDIENTES'!B:B,1,0)</f>
        <v>NARANJA DE JUGO</v>
      </c>
    </row>
    <row r="1552" spans="2:8" ht="15.5" hidden="1" x14ac:dyDescent="0.35">
      <c r="B1552" s="75" t="s">
        <v>80</v>
      </c>
      <c r="C1552" s="75" t="s">
        <v>75</v>
      </c>
      <c r="D1552" s="73" t="s">
        <v>302</v>
      </c>
      <c r="E1552" s="74">
        <v>5.0000000000000001E-3</v>
      </c>
      <c r="F1552" s="78" t="s">
        <v>237</v>
      </c>
      <c r="G1552" s="77" t="s">
        <v>220</v>
      </c>
      <c r="H1552" t="str">
        <f>VLOOKUP(D1552,'DETALLE PRECIO INGREDIENTES'!B:B,1,0)</f>
        <v>CLAVO DE OLOR ENTERO</v>
      </c>
    </row>
    <row r="1553" spans="2:8" ht="15.5" hidden="1" x14ac:dyDescent="0.35">
      <c r="B1553" s="75" t="s">
        <v>80</v>
      </c>
      <c r="C1553" s="75" t="s">
        <v>75</v>
      </c>
      <c r="D1553" s="73" t="s">
        <v>470</v>
      </c>
      <c r="E1553" s="74">
        <v>2.5000000000000001E-2</v>
      </c>
      <c r="F1553" s="78" t="s">
        <v>237</v>
      </c>
      <c r="G1553" s="77" t="s">
        <v>220</v>
      </c>
      <c r="H1553" t="str">
        <f>VLOOKUP(D1553,'DETALLE PRECIO INGREDIENTES'!B:B,1,0)</f>
        <v>TRIGO MOTE</v>
      </c>
    </row>
    <row r="1554" spans="2:8" ht="15.5" hidden="1" x14ac:dyDescent="0.35">
      <c r="B1554" s="75" t="s">
        <v>80</v>
      </c>
      <c r="C1554" s="75" t="s">
        <v>75</v>
      </c>
      <c r="D1554" s="73" t="s">
        <v>729</v>
      </c>
      <c r="E1554" s="74">
        <v>6</v>
      </c>
      <c r="F1554" s="78" t="s">
        <v>259</v>
      </c>
      <c r="G1554" s="77" t="s">
        <v>728</v>
      </c>
      <c r="H1554" t="str">
        <f>VLOOKUP(D1554,'DETALLE PRECIO INGREDIENTES'!B:B,1,0)</f>
        <v>HUEVO EXTRA BLANCO</v>
      </c>
    </row>
    <row r="1555" spans="2:8" ht="15.5" hidden="1" x14ac:dyDescent="0.35">
      <c r="B1555" s="75" t="s">
        <v>80</v>
      </c>
      <c r="C1555" s="75" t="s">
        <v>75</v>
      </c>
      <c r="D1555" s="73" t="s">
        <v>882</v>
      </c>
      <c r="E1555" s="74">
        <v>8.5000000000000006E-2</v>
      </c>
      <c r="F1555" s="78" t="s">
        <v>222</v>
      </c>
      <c r="G1555" s="77" t="s">
        <v>876</v>
      </c>
      <c r="H1555" t="str">
        <f>VLOOKUP(D1555,'DETALLE PRECIO INGREDIENTES'!B:B,1,0)</f>
        <v>VINO TINTO TETRA</v>
      </c>
    </row>
    <row r="1556" spans="2:8" ht="15.5" hidden="1" x14ac:dyDescent="0.35">
      <c r="B1556" s="75" t="s">
        <v>80</v>
      </c>
      <c r="C1556" s="75" t="s">
        <v>75</v>
      </c>
      <c r="D1556" s="73" t="s">
        <v>375</v>
      </c>
      <c r="E1556" s="74">
        <v>2.5000000000000001E-2</v>
      </c>
      <c r="F1556" s="78" t="s">
        <v>237</v>
      </c>
      <c r="G1556" s="77" t="s">
        <v>220</v>
      </c>
      <c r="H1556" t="str">
        <f>VLOOKUP(D1556,'DETALLE PRECIO INGREDIENTES'!B:B,1,0)</f>
        <v>MAICENA</v>
      </c>
    </row>
    <row r="1557" spans="2:8" ht="15.5" hidden="1" x14ac:dyDescent="0.35">
      <c r="B1557" s="75" t="s">
        <v>80</v>
      </c>
      <c r="C1557" s="75" t="s">
        <v>75</v>
      </c>
      <c r="D1557" s="73" t="s">
        <v>725</v>
      </c>
      <c r="E1557" s="74">
        <v>1.4999999999999999E-2</v>
      </c>
      <c r="F1557" s="78" t="s">
        <v>237</v>
      </c>
      <c r="G1557" s="77" t="s">
        <v>724</v>
      </c>
      <c r="H1557" t="str">
        <f>VLOOKUP(D1557,'DETALLE PRECIO INGREDIENTES'!B:B,1,0)</f>
        <v>NUEZ CUARTILLO</v>
      </c>
    </row>
    <row r="1558" spans="2:8" ht="15.5" hidden="1" x14ac:dyDescent="0.35">
      <c r="B1558" s="75" t="s">
        <v>80</v>
      </c>
      <c r="C1558" s="75" t="s">
        <v>75</v>
      </c>
      <c r="D1558" s="73" t="s">
        <v>354</v>
      </c>
      <c r="E1558" s="74">
        <v>0.35</v>
      </c>
      <c r="F1558" s="78" t="s">
        <v>237</v>
      </c>
      <c r="G1558" s="77" t="s">
        <v>220</v>
      </c>
      <c r="H1558" t="str">
        <f>VLOOKUP(D1558,'DETALLE PRECIO INGREDIENTES'!B:B,1,0)</f>
        <v>HARINA BIZCOCHERA</v>
      </c>
    </row>
    <row r="1559" spans="2:8" ht="15.5" hidden="1" x14ac:dyDescent="0.35">
      <c r="B1559" s="75" t="s">
        <v>80</v>
      </c>
      <c r="C1559" s="75" t="s">
        <v>75</v>
      </c>
      <c r="D1559" s="73" t="s">
        <v>748</v>
      </c>
      <c r="E1559" s="74">
        <v>5.5E-2</v>
      </c>
      <c r="F1559" s="78" t="s">
        <v>222</v>
      </c>
      <c r="G1559" s="77" t="s">
        <v>736</v>
      </c>
      <c r="H1559" t="str">
        <f>VLOOKUP(D1559,'DETALLE PRECIO INGREDIENTES'!B:B,1,0)</f>
        <v>LECHE ENTERA</v>
      </c>
    </row>
    <row r="1560" spans="2:8" ht="15.5" hidden="1" x14ac:dyDescent="0.35">
      <c r="B1560" s="75" t="s">
        <v>80</v>
      </c>
      <c r="C1560" s="75" t="s">
        <v>75</v>
      </c>
      <c r="D1560" s="73" t="s">
        <v>233</v>
      </c>
      <c r="E1560" s="74">
        <v>0.3</v>
      </c>
      <c r="F1560" s="78" t="s">
        <v>222</v>
      </c>
      <c r="G1560" s="77" t="s">
        <v>220</v>
      </c>
      <c r="H1560" t="str">
        <f>VLOOKUP(D1560,'DETALLE PRECIO INGREDIENTES'!B:B,1,0)</f>
        <v>ACEITE PARA FREIR</v>
      </c>
    </row>
    <row r="1561" spans="2:8" ht="15.5" hidden="1" x14ac:dyDescent="0.35">
      <c r="B1561" s="75" t="s">
        <v>80</v>
      </c>
      <c r="C1561" s="75" t="s">
        <v>75</v>
      </c>
      <c r="D1561" s="73" t="s">
        <v>786</v>
      </c>
      <c r="E1561" s="74">
        <v>0.01</v>
      </c>
      <c r="F1561" s="78" t="s">
        <v>259</v>
      </c>
      <c r="G1561" s="77" t="s">
        <v>776</v>
      </c>
      <c r="H1561" t="str">
        <f>VLOOKUP(D1561,'DETALLE PRECIO INGREDIENTES'!B:B,1,0)</f>
        <v>PISCO CAPEL 35º</v>
      </c>
    </row>
    <row r="1562" spans="2:8" ht="15.5" hidden="1" x14ac:dyDescent="0.35">
      <c r="B1562" s="75" t="s">
        <v>80</v>
      </c>
      <c r="C1562" s="75" t="s">
        <v>75</v>
      </c>
      <c r="D1562" s="73" t="s">
        <v>749</v>
      </c>
      <c r="E1562" s="74">
        <v>0.25</v>
      </c>
      <c r="F1562" s="78" t="s">
        <v>237</v>
      </c>
      <c r="G1562" s="77" t="s">
        <v>736</v>
      </c>
      <c r="H1562" t="str">
        <f>VLOOKUP(D1562,'DETALLE PRECIO INGREDIENTES'!B:B,1,0)</f>
        <v>MANJAR</v>
      </c>
    </row>
    <row r="1563" spans="2:8" ht="15.5" hidden="1" x14ac:dyDescent="0.35">
      <c r="B1563" s="75" t="s">
        <v>80</v>
      </c>
      <c r="C1563" s="75" t="s">
        <v>75</v>
      </c>
      <c r="D1563" s="73" t="s">
        <v>395</v>
      </c>
      <c r="E1563" s="74">
        <v>5.0000000000000001E-3</v>
      </c>
      <c r="F1563" s="78" t="s">
        <v>237</v>
      </c>
      <c r="G1563" s="77" t="s">
        <v>220</v>
      </c>
      <c r="H1563" t="str">
        <f>VLOOKUP(D1563,'DETALLE PRECIO INGREDIENTES'!B:B,1,0)</f>
        <v>MOSTACILLA DE COLORES REDONDAS</v>
      </c>
    </row>
    <row r="1564" spans="2:8" ht="15.5" hidden="1" x14ac:dyDescent="0.35">
      <c r="B1564" s="75" t="s">
        <v>80</v>
      </c>
      <c r="C1564" s="75" t="s">
        <v>75</v>
      </c>
      <c r="D1564" s="73" t="s">
        <v>432</v>
      </c>
      <c r="E1564" s="74">
        <v>4.0000000000000001E-3</v>
      </c>
      <c r="F1564" s="78" t="s">
        <v>237</v>
      </c>
      <c r="G1564" s="77" t="s">
        <v>220</v>
      </c>
      <c r="H1564" t="str">
        <f>VLOOKUP(D1564,'DETALLE PRECIO INGREDIENTES'!B:B,1,0)</f>
        <v>POLVOS DE HORNEAR</v>
      </c>
    </row>
    <row r="1565" spans="2:8" ht="15.5" hidden="1" x14ac:dyDescent="0.35">
      <c r="B1565" s="75" t="s">
        <v>80</v>
      </c>
      <c r="C1565" s="75" t="s">
        <v>75</v>
      </c>
      <c r="D1565" s="73" t="s">
        <v>306</v>
      </c>
      <c r="E1565" s="74">
        <v>2.5000000000000001E-2</v>
      </c>
      <c r="F1565" s="78" t="s">
        <v>237</v>
      </c>
      <c r="G1565" s="77" t="s">
        <v>220</v>
      </c>
      <c r="H1565" t="str">
        <f>VLOOKUP(D1565,'DETALLE PRECIO INGREDIENTES'!B:B,1,0)</f>
        <v>COCO RALLADO</v>
      </c>
    </row>
    <row r="1566" spans="2:8" ht="15.5" hidden="1" x14ac:dyDescent="0.35">
      <c r="B1566" s="75" t="s">
        <v>80</v>
      </c>
      <c r="C1566" s="75" t="s">
        <v>75</v>
      </c>
      <c r="D1566" s="73" t="s">
        <v>278</v>
      </c>
      <c r="E1566" s="74">
        <v>0.1</v>
      </c>
      <c r="F1566" s="78" t="s">
        <v>237</v>
      </c>
      <c r="G1566" s="77" t="s">
        <v>220</v>
      </c>
      <c r="H1566" t="str">
        <f>VLOOKUP(D1566,'DETALLE PRECIO INGREDIENTES'!B:B,1,0)</f>
        <v>AZUCAR FLOR</v>
      </c>
    </row>
    <row r="1567" spans="2:8" ht="15.5" hidden="1" x14ac:dyDescent="0.35">
      <c r="B1567" s="75" t="s">
        <v>80</v>
      </c>
      <c r="C1567" s="75" t="s">
        <v>75</v>
      </c>
      <c r="D1567" s="73" t="s">
        <v>381</v>
      </c>
      <c r="E1567" s="74">
        <v>0.03</v>
      </c>
      <c r="F1567" s="78" t="s">
        <v>237</v>
      </c>
      <c r="G1567" s="77" t="s">
        <v>220</v>
      </c>
      <c r="H1567" t="str">
        <f>VLOOKUP(D1567,'DETALLE PRECIO INGREDIENTES'!B:B,1,0)</f>
        <v>MANTECA VEGETAL</v>
      </c>
    </row>
    <row r="1568" spans="2:8" ht="15.5" hidden="1" x14ac:dyDescent="0.35">
      <c r="B1568" s="75" t="s">
        <v>80</v>
      </c>
      <c r="C1568" s="75" t="s">
        <v>75</v>
      </c>
      <c r="D1568" s="73" t="s">
        <v>373</v>
      </c>
      <c r="E1568" s="74">
        <v>2E-3</v>
      </c>
      <c r="F1568" s="78" t="s">
        <v>237</v>
      </c>
      <c r="G1568" s="77" t="s">
        <v>220</v>
      </c>
      <c r="H1568" t="str">
        <f>VLOOKUP(D1568,'DETALLE PRECIO INGREDIENTES'!B:B,1,0)</f>
        <v>LEVADURA FRESCA</v>
      </c>
    </row>
    <row r="1569" spans="2:8" ht="15.5" hidden="1" x14ac:dyDescent="0.35">
      <c r="B1569" s="75" t="s">
        <v>80</v>
      </c>
      <c r="C1569" s="75" t="s">
        <v>75</v>
      </c>
      <c r="D1569" s="73" t="s">
        <v>751</v>
      </c>
      <c r="E1569" s="74">
        <v>0.02</v>
      </c>
      <c r="F1569" s="78" t="s">
        <v>237</v>
      </c>
      <c r="G1569" s="77" t="s">
        <v>736</v>
      </c>
      <c r="H1569" t="str">
        <f>VLOOKUP(D1569,'DETALLE PRECIO INGREDIENTES'!B:B,1,0)</f>
        <v>MANTEQUILLA SIN SAL</v>
      </c>
    </row>
    <row r="1570" spans="2:8" ht="15.5" hidden="1" x14ac:dyDescent="0.35">
      <c r="B1570" s="75" t="s">
        <v>80</v>
      </c>
      <c r="C1570" s="75" t="s">
        <v>75</v>
      </c>
      <c r="D1570" s="73" t="s">
        <v>503</v>
      </c>
      <c r="E1570" s="74">
        <v>1</v>
      </c>
      <c r="F1570" s="78" t="s">
        <v>259</v>
      </c>
      <c r="G1570" s="77" t="s">
        <v>485</v>
      </c>
      <c r="H1570" t="str">
        <f>VLOOKUP(D1570,'DETALLE PRECIO INGREDIENTES'!B:B,1,0)</f>
        <v>MANGAS DESECHABLES PEQUEÑAS</v>
      </c>
    </row>
    <row r="1571" spans="2:8" ht="15.5" hidden="1" x14ac:dyDescent="0.35">
      <c r="B1571" s="75" t="s">
        <v>80</v>
      </c>
      <c r="C1571" s="75" t="s">
        <v>75</v>
      </c>
      <c r="D1571" s="73" t="s">
        <v>511</v>
      </c>
      <c r="E1571" s="74">
        <v>1</v>
      </c>
      <c r="F1571" s="78" t="s">
        <v>259</v>
      </c>
      <c r="G1571" s="77" t="s">
        <v>485</v>
      </c>
      <c r="H1571" t="str">
        <f>VLOOKUP(D1571,'DETALLE PRECIO INGREDIENTES'!B:B,1,0)</f>
        <v>PAPEL CERESINADO PLIEGO</v>
      </c>
    </row>
    <row r="1572" spans="2:8" ht="15.5" hidden="1" x14ac:dyDescent="0.35">
      <c r="B1572" s="75" t="s">
        <v>80</v>
      </c>
      <c r="C1572" s="75" t="s">
        <v>75</v>
      </c>
      <c r="D1572" s="73" t="s">
        <v>516</v>
      </c>
      <c r="E1572" s="74">
        <v>0.1</v>
      </c>
      <c r="F1572" s="78" t="s">
        <v>259</v>
      </c>
      <c r="G1572" s="77" t="s">
        <v>485</v>
      </c>
      <c r="H1572" t="str">
        <f>VLOOKUP(D1572,'DETALLE PRECIO INGREDIENTES'!B:B,1,0)</f>
        <v>SERVILLETAS MESA 200 UND</v>
      </c>
    </row>
    <row r="1573" spans="2:8" ht="15.5" hidden="1" x14ac:dyDescent="0.35">
      <c r="B1573" s="75" t="s">
        <v>80</v>
      </c>
      <c r="C1573" s="75" t="s">
        <v>75</v>
      </c>
      <c r="D1573" s="73" t="s">
        <v>318</v>
      </c>
      <c r="E1573" s="74">
        <v>2</v>
      </c>
      <c r="F1573" s="78" t="s">
        <v>259</v>
      </c>
      <c r="G1573" s="77" t="s">
        <v>220</v>
      </c>
      <c r="H1573" t="str">
        <f>VLOOKUP(D1573,'DETALLE PRECIO INGREDIENTES'!B:B,1,0)</f>
        <v>CUCHARAS DE MADERA</v>
      </c>
    </row>
    <row r="1574" spans="2:8" ht="15.5" hidden="1" x14ac:dyDescent="0.35">
      <c r="B1574" s="75" t="s">
        <v>80</v>
      </c>
      <c r="C1574" s="75" t="s">
        <v>74</v>
      </c>
      <c r="D1574" s="73" t="s">
        <v>354</v>
      </c>
      <c r="E1574" s="74">
        <v>0.31</v>
      </c>
      <c r="F1574" s="78" t="s">
        <v>237</v>
      </c>
      <c r="G1574" s="77" t="s">
        <v>220</v>
      </c>
      <c r="H1574" t="str">
        <f>VLOOKUP(D1574,'DETALLE PRECIO INGREDIENTES'!B:B,1,0)</f>
        <v>HARINA BIZCOCHERA</v>
      </c>
    </row>
    <row r="1575" spans="2:8" ht="15.5" hidden="1" x14ac:dyDescent="0.35">
      <c r="B1575" s="75" t="s">
        <v>80</v>
      </c>
      <c r="C1575" s="75" t="s">
        <v>74</v>
      </c>
      <c r="D1575" s="73" t="s">
        <v>381</v>
      </c>
      <c r="E1575" s="74">
        <v>0.03</v>
      </c>
      <c r="F1575" s="78" t="s">
        <v>237</v>
      </c>
      <c r="G1575" s="77" t="s">
        <v>220</v>
      </c>
      <c r="H1575" t="str">
        <f>VLOOKUP(D1575,'DETALLE PRECIO INGREDIENTES'!B:B,1,0)</f>
        <v>MANTECA VEGETAL</v>
      </c>
    </row>
    <row r="1576" spans="2:8" ht="15.5" hidden="1" x14ac:dyDescent="0.35">
      <c r="B1576" s="75" t="s">
        <v>80</v>
      </c>
      <c r="C1576" s="75" t="s">
        <v>74</v>
      </c>
      <c r="D1576" s="73" t="s">
        <v>277</v>
      </c>
      <c r="E1576" s="74">
        <v>0.25</v>
      </c>
      <c r="F1576" s="78" t="s">
        <v>237</v>
      </c>
      <c r="G1576" s="77" t="s">
        <v>220</v>
      </c>
      <c r="H1576" t="str">
        <f>VLOOKUP(D1576,'DETALLE PRECIO INGREDIENTES'!B:B,1,0)</f>
        <v>AZUCAR BLANCA GRANULADA</v>
      </c>
    </row>
    <row r="1577" spans="2:8" ht="15.5" hidden="1" x14ac:dyDescent="0.35">
      <c r="B1577" s="75" t="s">
        <v>80</v>
      </c>
      <c r="C1577" s="75" t="s">
        <v>74</v>
      </c>
      <c r="D1577" s="73" t="s">
        <v>729</v>
      </c>
      <c r="E1577" s="74">
        <v>5.5</v>
      </c>
      <c r="F1577" s="78" t="s">
        <v>259</v>
      </c>
      <c r="G1577" s="77" t="s">
        <v>728</v>
      </c>
      <c r="H1577" t="str">
        <f>VLOOKUP(D1577,'DETALLE PRECIO INGREDIENTES'!B:B,1,0)</f>
        <v>HUEVO EXTRA BLANCO</v>
      </c>
    </row>
    <row r="1578" spans="2:8" ht="15.5" hidden="1" x14ac:dyDescent="0.35">
      <c r="B1578" s="75" t="s">
        <v>80</v>
      </c>
      <c r="C1578" s="75" t="s">
        <v>74</v>
      </c>
      <c r="D1578" s="73" t="s">
        <v>432</v>
      </c>
      <c r="E1578" s="74">
        <v>5.0000000000000001E-3</v>
      </c>
      <c r="F1578" s="78" t="s">
        <v>237</v>
      </c>
      <c r="G1578" s="77" t="s">
        <v>220</v>
      </c>
      <c r="H1578" t="str">
        <f>VLOOKUP(D1578,'DETALLE PRECIO INGREDIENTES'!B:B,1,0)</f>
        <v>POLVOS DE HORNEAR</v>
      </c>
    </row>
    <row r="1579" spans="2:8" ht="15.5" hidden="1" x14ac:dyDescent="0.35">
      <c r="B1579" s="75" t="s">
        <v>80</v>
      </c>
      <c r="C1579" s="75" t="s">
        <v>74</v>
      </c>
      <c r="D1579" s="73" t="s">
        <v>300</v>
      </c>
      <c r="E1579" s="74">
        <v>0.09</v>
      </c>
      <c r="F1579" s="78" t="s">
        <v>237</v>
      </c>
      <c r="G1579" s="77" t="s">
        <v>220</v>
      </c>
      <c r="H1579" t="str">
        <f>VLOOKUP(D1579,'DETALLE PRECIO INGREDIENTES'!B:B,1,0)</f>
        <v>CHANCACA</v>
      </c>
    </row>
    <row r="1580" spans="2:8" ht="15.5" hidden="1" x14ac:dyDescent="0.35">
      <c r="B1580" s="75" t="s">
        <v>80</v>
      </c>
      <c r="C1580" s="75" t="s">
        <v>74</v>
      </c>
      <c r="D1580" s="73" t="s">
        <v>690</v>
      </c>
      <c r="E1580" s="74">
        <v>0.1</v>
      </c>
      <c r="F1580" s="78" t="s">
        <v>237</v>
      </c>
      <c r="G1580" s="77" t="s">
        <v>621</v>
      </c>
      <c r="H1580" t="str">
        <f>VLOOKUP(D1580,'DETALLE PRECIO INGREDIENTES'!B:B,1,0)</f>
        <v>NARANJA DE JUGO</v>
      </c>
    </row>
    <row r="1581" spans="2:8" ht="15.5" hidden="1" x14ac:dyDescent="0.35">
      <c r="B1581" s="75" t="s">
        <v>80</v>
      </c>
      <c r="C1581" s="75" t="s">
        <v>74</v>
      </c>
      <c r="D1581" s="73" t="s">
        <v>375</v>
      </c>
      <c r="E1581" s="74">
        <v>1.4999999999999999E-2</v>
      </c>
      <c r="F1581" s="78" t="s">
        <v>237</v>
      </c>
      <c r="G1581" s="77" t="s">
        <v>220</v>
      </c>
      <c r="H1581" t="str">
        <f>VLOOKUP(D1581,'DETALLE PRECIO INGREDIENTES'!B:B,1,0)</f>
        <v>MAICENA</v>
      </c>
    </row>
    <row r="1582" spans="2:8" ht="15.5" hidden="1" x14ac:dyDescent="0.35">
      <c r="B1582" s="75" t="s">
        <v>80</v>
      </c>
      <c r="C1582" s="75" t="s">
        <v>74</v>
      </c>
      <c r="D1582" s="73" t="s">
        <v>293</v>
      </c>
      <c r="E1582" s="74">
        <v>0.01</v>
      </c>
      <c r="F1582" s="78" t="s">
        <v>237</v>
      </c>
      <c r="G1582" s="77" t="s">
        <v>220</v>
      </c>
      <c r="H1582" t="str">
        <f>VLOOKUP(D1582,'DETALLE PRECIO INGREDIENTES'!B:B,1,0)</f>
        <v>CANELA ENTERA</v>
      </c>
    </row>
    <row r="1583" spans="2:8" ht="15.5" hidden="1" x14ac:dyDescent="0.35">
      <c r="B1583" s="75" t="s">
        <v>80</v>
      </c>
      <c r="C1583" s="75" t="s">
        <v>74</v>
      </c>
      <c r="D1583" s="73" t="s">
        <v>302</v>
      </c>
      <c r="E1583" s="74">
        <v>5.0000000000000001E-3</v>
      </c>
      <c r="F1583" s="78" t="s">
        <v>237</v>
      </c>
      <c r="G1583" s="77" t="s">
        <v>220</v>
      </c>
      <c r="H1583" t="str">
        <f>VLOOKUP(D1583,'DETALLE PRECIO INGREDIENTES'!B:B,1,0)</f>
        <v>CLAVO DE OLOR ENTERO</v>
      </c>
    </row>
    <row r="1584" spans="2:8" ht="15.5" hidden="1" x14ac:dyDescent="0.35">
      <c r="B1584" s="75" t="s">
        <v>80</v>
      </c>
      <c r="C1584" s="75" t="s">
        <v>74</v>
      </c>
      <c r="D1584" s="73" t="s">
        <v>749</v>
      </c>
      <c r="E1584" s="74">
        <v>0.15</v>
      </c>
      <c r="F1584" s="78" t="s">
        <v>237</v>
      </c>
      <c r="G1584" s="77" t="s">
        <v>736</v>
      </c>
      <c r="H1584" t="str">
        <f>VLOOKUP(D1584,'DETALLE PRECIO INGREDIENTES'!B:B,1,0)</f>
        <v>MANJAR</v>
      </c>
    </row>
    <row r="1585" spans="2:8" ht="15.5" hidden="1" x14ac:dyDescent="0.35">
      <c r="B1585" s="75" t="s">
        <v>80</v>
      </c>
      <c r="C1585" s="75" t="s">
        <v>74</v>
      </c>
      <c r="D1585" s="73" t="s">
        <v>278</v>
      </c>
      <c r="E1585" s="74">
        <v>0.1</v>
      </c>
      <c r="F1585" s="78" t="s">
        <v>237</v>
      </c>
      <c r="G1585" s="77" t="s">
        <v>220</v>
      </c>
      <c r="H1585" t="str">
        <f>VLOOKUP(D1585,'DETALLE PRECIO INGREDIENTES'!B:B,1,0)</f>
        <v>AZUCAR FLOR</v>
      </c>
    </row>
    <row r="1586" spans="2:8" ht="15.5" hidden="1" x14ac:dyDescent="0.35">
      <c r="B1586" s="75" t="s">
        <v>80</v>
      </c>
      <c r="C1586" s="75" t="s">
        <v>74</v>
      </c>
      <c r="D1586" s="73" t="s">
        <v>751</v>
      </c>
      <c r="E1586" s="74">
        <v>0.05</v>
      </c>
      <c r="F1586" s="78" t="s">
        <v>237</v>
      </c>
      <c r="G1586" s="77" t="s">
        <v>736</v>
      </c>
      <c r="H1586" t="str">
        <f>VLOOKUP(D1586,'DETALLE PRECIO INGREDIENTES'!B:B,1,0)</f>
        <v>MANTEQUILLA SIN SAL</v>
      </c>
    </row>
    <row r="1587" spans="2:8" ht="15.5" hidden="1" x14ac:dyDescent="0.35">
      <c r="B1587" s="75" t="s">
        <v>80</v>
      </c>
      <c r="C1587" s="75" t="s">
        <v>74</v>
      </c>
      <c r="D1587" s="73" t="s">
        <v>786</v>
      </c>
      <c r="E1587" s="74">
        <v>0.01</v>
      </c>
      <c r="F1587" s="78" t="s">
        <v>259</v>
      </c>
      <c r="G1587" s="77" t="s">
        <v>776</v>
      </c>
      <c r="H1587" t="str">
        <f>VLOOKUP(D1587,'DETALLE PRECIO INGREDIENTES'!B:B,1,0)</f>
        <v>PISCO CAPEL 35º</v>
      </c>
    </row>
    <row r="1588" spans="2:8" ht="15.5" hidden="1" x14ac:dyDescent="0.35">
      <c r="B1588" s="75" t="s">
        <v>80</v>
      </c>
      <c r="C1588" s="75" t="s">
        <v>74</v>
      </c>
      <c r="D1588" s="73" t="s">
        <v>374</v>
      </c>
      <c r="E1588" s="74">
        <v>4.0000000000000001E-3</v>
      </c>
      <c r="F1588" s="78" t="s">
        <v>237</v>
      </c>
      <c r="G1588" s="77" t="s">
        <v>220</v>
      </c>
      <c r="H1588" t="str">
        <f>VLOOKUP(D1588,'DETALLE PRECIO INGREDIENTES'!B:B,1,0)</f>
        <v>LEVADURA SECA</v>
      </c>
    </row>
    <row r="1589" spans="2:8" ht="15.5" hidden="1" x14ac:dyDescent="0.35">
      <c r="B1589" s="75" t="s">
        <v>80</v>
      </c>
      <c r="C1589" s="75" t="s">
        <v>74</v>
      </c>
      <c r="D1589" s="73" t="s">
        <v>748</v>
      </c>
      <c r="E1589" s="74">
        <v>0.2</v>
      </c>
      <c r="F1589" s="78" t="s">
        <v>222</v>
      </c>
      <c r="G1589" s="77" t="s">
        <v>736</v>
      </c>
      <c r="H1589" t="str">
        <f>VLOOKUP(D1589,'DETALLE PRECIO INGREDIENTES'!B:B,1,0)</f>
        <v>LECHE ENTERA</v>
      </c>
    </row>
    <row r="1590" spans="2:8" ht="15.5" hidden="1" x14ac:dyDescent="0.35">
      <c r="B1590" s="75" t="s">
        <v>80</v>
      </c>
      <c r="C1590" s="75" t="s">
        <v>74</v>
      </c>
      <c r="D1590" s="73" t="s">
        <v>233</v>
      </c>
      <c r="E1590" s="74">
        <v>0.25</v>
      </c>
      <c r="F1590" s="78" t="s">
        <v>222</v>
      </c>
      <c r="G1590" s="77" t="s">
        <v>220</v>
      </c>
      <c r="H1590" t="str">
        <f>VLOOKUP(D1590,'DETALLE PRECIO INGREDIENTES'!B:B,1,0)</f>
        <v>ACEITE PARA FREIR</v>
      </c>
    </row>
    <row r="1591" spans="2:8" ht="15.5" hidden="1" x14ac:dyDescent="0.35">
      <c r="B1591" s="75" t="s">
        <v>80</v>
      </c>
      <c r="C1591" s="75" t="s">
        <v>74</v>
      </c>
      <c r="D1591" s="73" t="s">
        <v>759</v>
      </c>
      <c r="E1591" s="74">
        <v>0.06</v>
      </c>
      <c r="F1591" s="78" t="s">
        <v>237</v>
      </c>
      <c r="G1591" s="77" t="s">
        <v>736</v>
      </c>
      <c r="H1591" t="str">
        <f>VLOOKUP(D1591,'DETALLE PRECIO INGREDIENTES'!B:B,1,0)</f>
        <v>QUESO CREMA</v>
      </c>
    </row>
    <row r="1592" spans="2:8" ht="15.5" hidden="1" x14ac:dyDescent="0.35">
      <c r="B1592" s="75" t="s">
        <v>80</v>
      </c>
      <c r="C1592" s="75" t="s">
        <v>74</v>
      </c>
      <c r="D1592" s="73" t="s">
        <v>739</v>
      </c>
      <c r="E1592" s="74">
        <v>0.4</v>
      </c>
      <c r="F1592" s="78" t="s">
        <v>222</v>
      </c>
      <c r="G1592" s="77" t="s">
        <v>736</v>
      </c>
      <c r="H1592" t="str">
        <f>VLOOKUP(D1592,'DETALLE PRECIO INGREDIENTES'!B:B,1,0)</f>
        <v>CREMA DE LECHE</v>
      </c>
    </row>
    <row r="1593" spans="2:8" ht="15.5" hidden="1" x14ac:dyDescent="0.35">
      <c r="B1593" s="75" t="s">
        <v>80</v>
      </c>
      <c r="C1593" s="75" t="s">
        <v>74</v>
      </c>
      <c r="D1593" s="73" t="s">
        <v>345</v>
      </c>
      <c r="E1593" s="74">
        <v>0.01</v>
      </c>
      <c r="F1593" s="78" t="s">
        <v>237</v>
      </c>
      <c r="G1593" s="77" t="s">
        <v>220</v>
      </c>
      <c r="H1593" t="str">
        <f>VLOOKUP(D1593,'DETALLE PRECIO INGREDIENTES'!B:B,1,0)</f>
        <v>GELATINA SIN SABOR</v>
      </c>
    </row>
    <row r="1594" spans="2:8" ht="15.5" hidden="1" x14ac:dyDescent="0.35">
      <c r="B1594" s="75" t="s">
        <v>80</v>
      </c>
      <c r="C1594" s="75" t="s">
        <v>74</v>
      </c>
      <c r="D1594" s="73" t="s">
        <v>599</v>
      </c>
      <c r="E1594" s="74">
        <v>0.03</v>
      </c>
      <c r="F1594" s="78" t="s">
        <v>237</v>
      </c>
      <c r="G1594" s="77" t="s">
        <v>587</v>
      </c>
      <c r="H1594" t="str">
        <f>VLOOKUP(D1594,'DETALLE PRECIO INGREDIENTES'!B:B,1,0)</f>
        <v>PULPA DE MARACUYA SIN SEMILLA</v>
      </c>
    </row>
    <row r="1595" spans="2:8" ht="15.5" hidden="1" x14ac:dyDescent="0.35">
      <c r="B1595" s="75" t="s">
        <v>80</v>
      </c>
      <c r="C1595" s="75" t="s">
        <v>74</v>
      </c>
      <c r="D1595" s="73" t="s">
        <v>556</v>
      </c>
      <c r="E1595" s="74">
        <v>0.05</v>
      </c>
      <c r="F1595" s="78" t="s">
        <v>237</v>
      </c>
      <c r="G1595" s="77" t="s">
        <v>551</v>
      </c>
      <c r="H1595" t="str">
        <f>VLOOKUP(D1595,'DETALLE PRECIO INGREDIENTES'!B:B,1,0)</f>
        <v>CHOCOLATE AMARGO 56%</v>
      </c>
    </row>
    <row r="1596" spans="2:8" ht="15.5" hidden="1" x14ac:dyDescent="0.35">
      <c r="B1596" s="75" t="s">
        <v>80</v>
      </c>
      <c r="C1596" s="75" t="s">
        <v>74</v>
      </c>
      <c r="D1596" s="73" t="s">
        <v>563</v>
      </c>
      <c r="E1596" s="74">
        <v>0.05</v>
      </c>
      <c r="F1596" s="78" t="s">
        <v>237</v>
      </c>
      <c r="G1596" s="77" t="s">
        <v>551</v>
      </c>
      <c r="H1596" t="str">
        <f>VLOOKUP(D1596,'DETALLE PRECIO INGREDIENTES'!B:B,1,0)</f>
        <v>CHOCOLATE LECHE 35%</v>
      </c>
    </row>
    <row r="1597" spans="2:8" ht="15.5" hidden="1" x14ac:dyDescent="0.35">
      <c r="B1597" s="75" t="s">
        <v>80</v>
      </c>
      <c r="C1597" s="75" t="s">
        <v>74</v>
      </c>
      <c r="D1597" s="73" t="s">
        <v>564</v>
      </c>
      <c r="E1597" s="74">
        <v>0.05</v>
      </c>
      <c r="F1597" s="78" t="s">
        <v>237</v>
      </c>
      <c r="G1597" s="77" t="s">
        <v>551</v>
      </c>
      <c r="H1597" t="str">
        <f>VLOOKUP(D1597,'DETALLE PRECIO INGREDIENTES'!B:B,1,0)</f>
        <v>CHOCOLATE MONEDAS BLANCAS 29% CACAO</v>
      </c>
    </row>
    <row r="1598" spans="2:8" ht="15.5" hidden="1" x14ac:dyDescent="0.35">
      <c r="B1598" s="75" t="s">
        <v>80</v>
      </c>
      <c r="C1598" s="75" t="s">
        <v>74</v>
      </c>
      <c r="D1598" s="73" t="s">
        <v>471</v>
      </c>
      <c r="E1598" s="74">
        <v>0.25</v>
      </c>
      <c r="F1598" s="78" t="s">
        <v>259</v>
      </c>
      <c r="G1598" s="77" t="s">
        <v>220</v>
      </c>
      <c r="H1598" t="str">
        <f>VLOOKUP(D1598,'DETALLE PRECIO INGREDIENTES'!B:B,1,0)</f>
        <v>VAINA VAINILLA</v>
      </c>
    </row>
    <row r="1599" spans="2:8" ht="15.5" hidden="1" x14ac:dyDescent="0.35">
      <c r="B1599" s="75" t="s">
        <v>80</v>
      </c>
      <c r="C1599" s="75" t="s">
        <v>74</v>
      </c>
      <c r="D1599" s="73" t="s">
        <v>288</v>
      </c>
      <c r="E1599" s="74">
        <v>0.01</v>
      </c>
      <c r="F1599" s="78" t="s">
        <v>237</v>
      </c>
      <c r="G1599" s="77" t="s">
        <v>220</v>
      </c>
      <c r="H1599" t="str">
        <f>VLOOKUP(D1599,'DETALLE PRECIO INGREDIENTES'!B:B,1,0)</f>
        <v>CAFE INSTANTANEO</v>
      </c>
    </row>
    <row r="1600" spans="2:8" ht="15.5" hidden="1" x14ac:dyDescent="0.35">
      <c r="B1600" s="75" t="s">
        <v>80</v>
      </c>
      <c r="C1600" s="75" t="s">
        <v>74</v>
      </c>
      <c r="D1600" s="73" t="s">
        <v>680</v>
      </c>
      <c r="E1600" s="74">
        <v>0.1</v>
      </c>
      <c r="F1600" s="78" t="s">
        <v>237</v>
      </c>
      <c r="G1600" s="77" t="s">
        <v>621</v>
      </c>
      <c r="H1600" t="str">
        <f>VLOOKUP(D1600,'DETALLE PRECIO INGREDIENTES'!B:B,1,0)</f>
        <v>LIMON DE JUGO</v>
      </c>
    </row>
    <row r="1601" spans="2:8" ht="15.5" hidden="1" x14ac:dyDescent="0.35">
      <c r="B1601" s="75" t="s">
        <v>80</v>
      </c>
      <c r="C1601" s="75" t="s">
        <v>74</v>
      </c>
      <c r="D1601" s="73" t="s">
        <v>686</v>
      </c>
      <c r="E1601" s="74">
        <v>0.08</v>
      </c>
      <c r="F1601" s="78" t="s">
        <v>237</v>
      </c>
      <c r="G1601" s="77" t="s">
        <v>621</v>
      </c>
      <c r="H1601" t="str">
        <f>VLOOKUP(D1601,'DETALLE PRECIO INGREDIENTES'!B:B,1,0)</f>
        <v>MIX DE BERRIES CONGELADO</v>
      </c>
    </row>
    <row r="1602" spans="2:8" ht="15.5" hidden="1" x14ac:dyDescent="0.35">
      <c r="B1602" s="75" t="s">
        <v>80</v>
      </c>
      <c r="C1602" s="75" t="s">
        <v>74</v>
      </c>
      <c r="D1602" s="73" t="s">
        <v>503</v>
      </c>
      <c r="E1602" s="74">
        <v>1</v>
      </c>
      <c r="F1602" s="78" t="s">
        <v>259</v>
      </c>
      <c r="G1602" s="77" t="s">
        <v>485</v>
      </c>
      <c r="H1602" t="str">
        <f>VLOOKUP(D1602,'DETALLE PRECIO INGREDIENTES'!B:B,1,0)</f>
        <v>MANGAS DESECHABLES PEQUEÑAS</v>
      </c>
    </row>
    <row r="1603" spans="2:8" ht="15.5" hidden="1" x14ac:dyDescent="0.35">
      <c r="B1603" s="75" t="s">
        <v>80</v>
      </c>
      <c r="C1603" s="75" t="s">
        <v>74</v>
      </c>
      <c r="D1603" s="73" t="s">
        <v>516</v>
      </c>
      <c r="E1603" s="74">
        <v>0.1</v>
      </c>
      <c r="F1603" s="78" t="s">
        <v>259</v>
      </c>
      <c r="G1603" s="77" t="s">
        <v>485</v>
      </c>
      <c r="H1603" t="str">
        <f>VLOOKUP(D1603,'DETALLE PRECIO INGREDIENTES'!B:B,1,0)</f>
        <v>SERVILLETAS MESA 200 UND</v>
      </c>
    </row>
    <row r="1604" spans="2:8" ht="15.5" hidden="1" x14ac:dyDescent="0.35">
      <c r="B1604" s="75" t="s">
        <v>80</v>
      </c>
      <c r="C1604" s="75" t="s">
        <v>74</v>
      </c>
      <c r="D1604" s="73" t="s">
        <v>511</v>
      </c>
      <c r="E1604" s="74">
        <v>1</v>
      </c>
      <c r="F1604" s="78" t="s">
        <v>259</v>
      </c>
      <c r="G1604" s="77" t="s">
        <v>485</v>
      </c>
      <c r="H1604" t="str">
        <f>VLOOKUP(D1604,'DETALLE PRECIO INGREDIENTES'!B:B,1,0)</f>
        <v>PAPEL CERESINADO PLIEGO</v>
      </c>
    </row>
    <row r="1605" spans="2:8" ht="15.5" hidden="1" x14ac:dyDescent="0.35">
      <c r="B1605" s="75" t="s">
        <v>80</v>
      </c>
      <c r="C1605" s="75" t="s">
        <v>74</v>
      </c>
      <c r="D1605" s="73" t="s">
        <v>318</v>
      </c>
      <c r="E1605" s="74">
        <v>2</v>
      </c>
      <c r="F1605" s="78" t="s">
        <v>259</v>
      </c>
      <c r="G1605" s="77" t="s">
        <v>220</v>
      </c>
      <c r="H1605" t="str">
        <f>VLOOKUP(D1605,'DETALLE PRECIO INGREDIENTES'!B:B,1,0)</f>
        <v>CUCHARAS DE MADERA</v>
      </c>
    </row>
    <row r="1606" spans="2:8" ht="15.5" hidden="1" x14ac:dyDescent="0.35">
      <c r="B1606" s="75" t="s">
        <v>80</v>
      </c>
      <c r="C1606" s="75" t="s">
        <v>74</v>
      </c>
      <c r="D1606" s="73" t="s">
        <v>261</v>
      </c>
      <c r="E1606" s="74">
        <v>0.01</v>
      </c>
      <c r="F1606" s="78" t="s">
        <v>237</v>
      </c>
      <c r="G1606" s="77" t="s">
        <v>220</v>
      </c>
      <c r="H1606" t="str">
        <f>VLOOKUP(D1606,'DETALLE PRECIO INGREDIENTES'!B:B,1,0)</f>
        <v>ALMENDRAS ENTERAS</v>
      </c>
    </row>
    <row r="1607" spans="2:8" ht="15.5" x14ac:dyDescent="0.35">
      <c r="B1607" s="75" t="s">
        <v>80</v>
      </c>
      <c r="C1607" s="75" t="s">
        <v>74</v>
      </c>
      <c r="D1607" s="73" t="s">
        <v>968</v>
      </c>
      <c r="E1607" s="74">
        <v>3</v>
      </c>
      <c r="F1607" s="78" t="s">
        <v>259</v>
      </c>
      <c r="G1607" s="77" t="s">
        <v>485</v>
      </c>
      <c r="H1607" t="e">
        <f>VLOOKUP(D1607,'DETALLE PRECIO INGREDIENTES'!B:B,1,0)</f>
        <v>#N/A</v>
      </c>
    </row>
    <row r="1608" spans="2:8" ht="15.5" x14ac:dyDescent="0.35">
      <c r="B1608" s="75" t="s">
        <v>80</v>
      </c>
      <c r="C1608" s="75" t="s">
        <v>74</v>
      </c>
      <c r="D1608" s="73" t="s">
        <v>969</v>
      </c>
      <c r="E1608" s="74">
        <v>2</v>
      </c>
      <c r="F1608" s="78" t="s">
        <v>259</v>
      </c>
      <c r="G1608" s="77" t="s">
        <v>485</v>
      </c>
      <c r="H1608" t="e">
        <f>VLOOKUP(D1608,'DETALLE PRECIO INGREDIENTES'!B:B,1,0)</f>
        <v>#N/A</v>
      </c>
    </row>
    <row r="1609" spans="2:8" ht="15.5" hidden="1" x14ac:dyDescent="0.35">
      <c r="B1609" s="75" t="s">
        <v>80</v>
      </c>
      <c r="C1609" s="75" t="s">
        <v>74</v>
      </c>
      <c r="D1609" s="73" t="s">
        <v>438</v>
      </c>
      <c r="E1609" s="74">
        <v>0.01</v>
      </c>
      <c r="F1609" s="78" t="s">
        <v>237</v>
      </c>
      <c r="G1609" s="77" t="s">
        <v>220</v>
      </c>
      <c r="H1609" t="str">
        <f>VLOOKUP(D1609,'DETALLE PRECIO INGREDIENTES'!B:B,1,0)</f>
        <v>QUINOA INFLADA POPS</v>
      </c>
    </row>
    <row r="1610" spans="2:8" ht="15.5" hidden="1" x14ac:dyDescent="0.35">
      <c r="B1610" s="75" t="s">
        <v>80</v>
      </c>
      <c r="C1610" s="75" t="s">
        <v>74</v>
      </c>
      <c r="D1610" s="73" t="s">
        <v>503</v>
      </c>
      <c r="E1610" s="74">
        <v>1</v>
      </c>
      <c r="F1610" s="78" t="s">
        <v>259</v>
      </c>
      <c r="G1610" s="77" t="s">
        <v>485</v>
      </c>
      <c r="H1610" t="str">
        <f>VLOOKUP(D1610,'DETALLE PRECIO INGREDIENTES'!B:B,1,0)</f>
        <v>MANGAS DESECHABLES PEQUEÑAS</v>
      </c>
    </row>
    <row r="1611" spans="2:8" ht="15.5" hidden="1" x14ac:dyDescent="0.35">
      <c r="B1611" s="75" t="s">
        <v>80</v>
      </c>
      <c r="C1611" s="75" t="s">
        <v>74</v>
      </c>
      <c r="D1611" s="73" t="s">
        <v>458</v>
      </c>
      <c r="E1611" s="74">
        <v>5.0000000000000001E-3</v>
      </c>
      <c r="F1611" s="78" t="s">
        <v>237</v>
      </c>
      <c r="G1611" s="77" t="s">
        <v>220</v>
      </c>
      <c r="H1611" t="str">
        <f>VLOOKUP(D1611,'DETALLE PRECIO INGREDIENTES'!B:B,1,0)</f>
        <v>SEMILLAS DE SESAMO BLANCO</v>
      </c>
    </row>
    <row r="1612" spans="2:8" ht="15.5" hidden="1" x14ac:dyDescent="0.35">
      <c r="B1612" s="75" t="s">
        <v>80</v>
      </c>
      <c r="C1612" s="75" t="s">
        <v>74</v>
      </c>
      <c r="D1612" s="73" t="s">
        <v>459</v>
      </c>
      <c r="E1612" s="74">
        <v>5.0000000000000001E-3</v>
      </c>
      <c r="F1612" s="78" t="s">
        <v>237</v>
      </c>
      <c r="G1612" s="77" t="s">
        <v>220</v>
      </c>
      <c r="H1612" t="str">
        <f>VLOOKUP(D1612,'DETALLE PRECIO INGREDIENTES'!B:B,1,0)</f>
        <v>SEMILLAS DE SESAMO NEGRO</v>
      </c>
    </row>
    <row r="1613" spans="2:8" ht="15.5" hidden="1" x14ac:dyDescent="0.35">
      <c r="B1613" s="75" t="s">
        <v>80</v>
      </c>
      <c r="C1613" s="75" t="s">
        <v>74</v>
      </c>
      <c r="D1613" s="73" t="s">
        <v>512</v>
      </c>
      <c r="E1613" s="74">
        <v>0.25</v>
      </c>
      <c r="F1613" s="78" t="s">
        <v>259</v>
      </c>
      <c r="G1613" s="77" t="s">
        <v>485</v>
      </c>
      <c r="H1613" t="str">
        <f>VLOOKUP(D1613,'DETALLE PRECIO INGREDIENTES'!B:B,1,0)</f>
        <v>PAPEL GUITARRA</v>
      </c>
    </row>
    <row r="1614" spans="2:8" ht="15.5" hidden="1" x14ac:dyDescent="0.35">
      <c r="B1614" s="75" t="s">
        <v>80</v>
      </c>
      <c r="C1614" s="75" t="s">
        <v>74</v>
      </c>
      <c r="D1614" s="73" t="s">
        <v>504</v>
      </c>
      <c r="E1614" s="74">
        <v>0.5</v>
      </c>
      <c r="F1614" s="78" t="s">
        <v>259</v>
      </c>
      <c r="G1614" s="77" t="s">
        <v>485</v>
      </c>
      <c r="H1614" t="str">
        <f>VLOOKUP(D1614,'DETALLE PRECIO INGREDIENTES'!B:B,1,0)</f>
        <v>MICA CARTA</v>
      </c>
    </row>
    <row r="1615" spans="2:8" ht="15.5" hidden="1" x14ac:dyDescent="0.35">
      <c r="B1615" s="75" t="s">
        <v>80</v>
      </c>
      <c r="C1615" s="75" t="s">
        <v>73</v>
      </c>
      <c r="D1615" s="73" t="s">
        <v>354</v>
      </c>
      <c r="E1615" s="74">
        <v>0.15</v>
      </c>
      <c r="F1615" s="78" t="s">
        <v>237</v>
      </c>
      <c r="G1615" s="77" t="s">
        <v>220</v>
      </c>
      <c r="H1615" t="str">
        <f>VLOOKUP(D1615,'DETALLE PRECIO INGREDIENTES'!B:B,1,0)</f>
        <v>HARINA BIZCOCHERA</v>
      </c>
    </row>
    <row r="1616" spans="2:8" ht="15.5" hidden="1" x14ac:dyDescent="0.35">
      <c r="B1616" s="75" t="s">
        <v>80</v>
      </c>
      <c r="C1616" s="75" t="s">
        <v>73</v>
      </c>
      <c r="D1616" s="73" t="s">
        <v>729</v>
      </c>
      <c r="E1616" s="74">
        <v>6</v>
      </c>
      <c r="F1616" s="78" t="s">
        <v>259</v>
      </c>
      <c r="G1616" s="77" t="s">
        <v>728</v>
      </c>
      <c r="H1616" t="str">
        <f>VLOOKUP(D1616,'DETALLE PRECIO INGREDIENTES'!B:B,1,0)</f>
        <v>HUEVO EXTRA BLANCO</v>
      </c>
    </row>
    <row r="1617" spans="2:8" ht="15.5" hidden="1" x14ac:dyDescent="0.35">
      <c r="B1617" s="75" t="s">
        <v>80</v>
      </c>
      <c r="C1617" s="75" t="s">
        <v>73</v>
      </c>
      <c r="D1617" s="73" t="s">
        <v>278</v>
      </c>
      <c r="E1617" s="74">
        <v>0.15</v>
      </c>
      <c r="F1617" s="78" t="s">
        <v>237</v>
      </c>
      <c r="G1617" s="77" t="s">
        <v>220</v>
      </c>
      <c r="H1617" t="str">
        <f>VLOOKUP(D1617,'DETALLE PRECIO INGREDIENTES'!B:B,1,0)</f>
        <v>AZUCAR FLOR</v>
      </c>
    </row>
    <row r="1618" spans="2:8" ht="15.5" hidden="1" x14ac:dyDescent="0.35">
      <c r="B1618" s="75" t="s">
        <v>80</v>
      </c>
      <c r="C1618" s="75" t="s">
        <v>73</v>
      </c>
      <c r="D1618" s="73" t="s">
        <v>388</v>
      </c>
      <c r="E1618" s="74">
        <v>8.2000000000000003E-2</v>
      </c>
      <c r="F1618" s="78" t="s">
        <v>237</v>
      </c>
      <c r="G1618" s="77" t="s">
        <v>220</v>
      </c>
      <c r="H1618" t="str">
        <f>VLOOKUP(D1618,'DETALLE PRECIO INGREDIENTES'!B:B,1,0)</f>
        <v>MERMELADA DE DAMASCO</v>
      </c>
    </row>
    <row r="1619" spans="2:8" ht="15.5" hidden="1" x14ac:dyDescent="0.35">
      <c r="B1619" s="75" t="s">
        <v>80</v>
      </c>
      <c r="C1619" s="75" t="s">
        <v>73</v>
      </c>
      <c r="D1619" s="73" t="s">
        <v>329</v>
      </c>
      <c r="E1619" s="74">
        <v>8.0000000000000002E-3</v>
      </c>
      <c r="F1619" s="78" t="s">
        <v>222</v>
      </c>
      <c r="G1619" s="77" t="s">
        <v>220</v>
      </c>
      <c r="H1619" t="str">
        <f>VLOOKUP(D1619,'DETALLE PRECIO INGREDIENTES'!B:B,1,0)</f>
        <v>ESENCIA DE VAINILLA</v>
      </c>
    </row>
    <row r="1620" spans="2:8" ht="15.5" hidden="1" x14ac:dyDescent="0.35">
      <c r="B1620" s="75" t="s">
        <v>80</v>
      </c>
      <c r="C1620" s="75" t="s">
        <v>73</v>
      </c>
      <c r="D1620" s="73" t="s">
        <v>751</v>
      </c>
      <c r="E1620" s="74">
        <v>0.15</v>
      </c>
      <c r="F1620" s="78" t="s">
        <v>237</v>
      </c>
      <c r="G1620" s="77" t="s">
        <v>736</v>
      </c>
      <c r="H1620" t="str">
        <f>VLOOKUP(D1620,'DETALLE PRECIO INGREDIENTES'!B:B,1,0)</f>
        <v>MANTEQUILLA SIN SAL</v>
      </c>
    </row>
    <row r="1621" spans="2:8" ht="15.5" hidden="1" x14ac:dyDescent="0.35">
      <c r="B1621" s="75" t="s">
        <v>80</v>
      </c>
      <c r="C1621" s="75" t="s">
        <v>73</v>
      </c>
      <c r="D1621" s="73" t="s">
        <v>277</v>
      </c>
      <c r="E1621" s="74">
        <v>0.37</v>
      </c>
      <c r="F1621" s="78" t="s">
        <v>237</v>
      </c>
      <c r="G1621" s="77" t="s">
        <v>220</v>
      </c>
      <c r="H1621" t="str">
        <f>VLOOKUP(D1621,'DETALLE PRECIO INGREDIENTES'!B:B,1,0)</f>
        <v>AZUCAR BLANCA GRANULADA</v>
      </c>
    </row>
    <row r="1622" spans="2:8" ht="15.5" hidden="1" x14ac:dyDescent="0.35">
      <c r="B1622" s="75" t="s">
        <v>80</v>
      </c>
      <c r="C1622" s="75" t="s">
        <v>73</v>
      </c>
      <c r="D1622" s="73" t="s">
        <v>565</v>
      </c>
      <c r="E1622" s="74">
        <v>0.11</v>
      </c>
      <c r="F1622" s="78" t="s">
        <v>237</v>
      </c>
      <c r="G1622" s="77" t="s">
        <v>551</v>
      </c>
      <c r="H1622" t="str">
        <f>VLOOKUP(D1622,'DETALLE PRECIO INGREDIENTES'!B:B,1,0)</f>
        <v>COBERTURA AMARGA</v>
      </c>
    </row>
    <row r="1623" spans="2:8" ht="15.5" hidden="1" x14ac:dyDescent="0.35">
      <c r="B1623" s="75" t="s">
        <v>80</v>
      </c>
      <c r="C1623" s="75" t="s">
        <v>73</v>
      </c>
      <c r="D1623" s="73" t="s">
        <v>348</v>
      </c>
      <c r="E1623" s="74">
        <v>0.05</v>
      </c>
      <c r="F1623" s="78" t="s">
        <v>237</v>
      </c>
      <c r="G1623" s="77" t="s">
        <v>220</v>
      </c>
      <c r="H1623" t="str">
        <f>VLOOKUP(D1623,'DETALLE PRECIO INGREDIENTES'!B:B,1,0)</f>
        <v>GLUCOSA</v>
      </c>
    </row>
    <row r="1624" spans="2:8" ht="15.5" hidden="1" x14ac:dyDescent="0.35">
      <c r="B1624" s="75" t="s">
        <v>80</v>
      </c>
      <c r="C1624" s="75" t="s">
        <v>73</v>
      </c>
      <c r="D1624" s="73" t="s">
        <v>355</v>
      </c>
      <c r="E1624" s="74">
        <v>3.5000000000000003E-2</v>
      </c>
      <c r="F1624" s="78" t="s">
        <v>237</v>
      </c>
      <c r="G1624" s="77" t="s">
        <v>220</v>
      </c>
      <c r="H1624" t="str">
        <f>VLOOKUP(D1624,'DETALLE PRECIO INGREDIENTES'!B:B,1,0)</f>
        <v>HARINA DE ALMENDRA</v>
      </c>
    </row>
    <row r="1625" spans="2:8" ht="15.5" hidden="1" x14ac:dyDescent="0.35">
      <c r="B1625" s="75" t="s">
        <v>80</v>
      </c>
      <c r="C1625" s="75" t="s">
        <v>73</v>
      </c>
      <c r="D1625" s="73" t="s">
        <v>445</v>
      </c>
      <c r="E1625" s="74">
        <v>5.0000000000000001E-3</v>
      </c>
      <c r="F1625" s="78" t="s">
        <v>237</v>
      </c>
      <c r="G1625" s="77" t="s">
        <v>220</v>
      </c>
      <c r="H1625" t="str">
        <f>VLOOKUP(D1625,'DETALLE PRECIO INGREDIENTES'!B:B,1,0)</f>
        <v>SAL DE MESA LOBOS</v>
      </c>
    </row>
    <row r="1626" spans="2:8" ht="15.5" hidden="1" x14ac:dyDescent="0.35">
      <c r="B1626" s="75" t="s">
        <v>80</v>
      </c>
      <c r="C1626" s="75" t="s">
        <v>73</v>
      </c>
      <c r="D1626" s="73" t="s">
        <v>288</v>
      </c>
      <c r="E1626" s="74">
        <v>5.0000000000000001E-3</v>
      </c>
      <c r="F1626" s="78" t="s">
        <v>237</v>
      </c>
      <c r="G1626" s="77" t="s">
        <v>220</v>
      </c>
      <c r="H1626" t="str">
        <f>VLOOKUP(D1626,'DETALLE PRECIO INGREDIENTES'!B:B,1,0)</f>
        <v>CAFE INSTANTANEO</v>
      </c>
    </row>
    <row r="1627" spans="2:8" ht="15.5" hidden="1" x14ac:dyDescent="0.35">
      <c r="B1627" s="75" t="s">
        <v>80</v>
      </c>
      <c r="C1627" s="75" t="s">
        <v>73</v>
      </c>
      <c r="D1627" s="73" t="s">
        <v>781</v>
      </c>
      <c r="E1627" s="74">
        <v>8.0000000000000002E-3</v>
      </c>
      <c r="F1627" s="78" t="s">
        <v>259</v>
      </c>
      <c r="G1627" s="77" t="s">
        <v>776</v>
      </c>
      <c r="H1627" t="str">
        <f>VLOOKUP(D1627,'DETALLE PRECIO INGREDIENTES'!B:B,1,0)</f>
        <v>LICOR DE CAFE MITJANS</v>
      </c>
    </row>
    <row r="1628" spans="2:8" ht="15.5" hidden="1" x14ac:dyDescent="0.35">
      <c r="B1628" s="75" t="s">
        <v>80</v>
      </c>
      <c r="C1628" s="75" t="s">
        <v>73</v>
      </c>
      <c r="D1628" s="73" t="s">
        <v>739</v>
      </c>
      <c r="E1628" s="74">
        <v>0.15</v>
      </c>
      <c r="F1628" s="78" t="s">
        <v>222</v>
      </c>
      <c r="G1628" s="77" t="s">
        <v>736</v>
      </c>
      <c r="H1628" t="str">
        <f>VLOOKUP(D1628,'DETALLE PRECIO INGREDIENTES'!B:B,1,0)</f>
        <v>CREMA DE LECHE</v>
      </c>
    </row>
    <row r="1629" spans="2:8" ht="15.5" hidden="1" x14ac:dyDescent="0.35">
      <c r="B1629" s="75" t="s">
        <v>80</v>
      </c>
      <c r="C1629" s="75" t="s">
        <v>73</v>
      </c>
      <c r="D1629" s="73" t="s">
        <v>556</v>
      </c>
      <c r="E1629" s="74">
        <v>0.08</v>
      </c>
      <c r="F1629" s="78" t="s">
        <v>237</v>
      </c>
      <c r="G1629" s="77" t="s">
        <v>551</v>
      </c>
      <c r="H1629" t="str">
        <f>VLOOKUP(D1629,'DETALLE PRECIO INGREDIENTES'!B:B,1,0)</f>
        <v>CHOCOLATE AMARGO 56%</v>
      </c>
    </row>
    <row r="1630" spans="2:8" ht="15.5" hidden="1" x14ac:dyDescent="0.35">
      <c r="B1630" s="75" t="s">
        <v>80</v>
      </c>
      <c r="C1630" s="75" t="s">
        <v>73</v>
      </c>
      <c r="D1630" s="73" t="s">
        <v>748</v>
      </c>
      <c r="E1630" s="74">
        <v>0.13500000000000001</v>
      </c>
      <c r="F1630" s="78" t="s">
        <v>222</v>
      </c>
      <c r="G1630" s="77" t="s">
        <v>736</v>
      </c>
      <c r="H1630" t="str">
        <f>VLOOKUP(D1630,'DETALLE PRECIO INGREDIENTES'!B:B,1,0)</f>
        <v>LECHE ENTERA</v>
      </c>
    </row>
    <row r="1631" spans="2:8" ht="15.5" hidden="1" x14ac:dyDescent="0.35">
      <c r="B1631" s="75" t="s">
        <v>80</v>
      </c>
      <c r="C1631" s="75" t="s">
        <v>73</v>
      </c>
      <c r="D1631" s="73" t="s">
        <v>680</v>
      </c>
      <c r="E1631" s="74">
        <v>0.05</v>
      </c>
      <c r="F1631" s="78" t="s">
        <v>237</v>
      </c>
      <c r="G1631" s="77" t="s">
        <v>621</v>
      </c>
      <c r="H1631" t="str">
        <f>VLOOKUP(D1631,'DETALLE PRECIO INGREDIENTES'!B:B,1,0)</f>
        <v>LIMON DE JUGO</v>
      </c>
    </row>
    <row r="1632" spans="2:8" ht="15.5" hidden="1" x14ac:dyDescent="0.35">
      <c r="B1632" s="75" t="s">
        <v>80</v>
      </c>
      <c r="C1632" s="75" t="s">
        <v>73</v>
      </c>
      <c r="D1632" s="73" t="s">
        <v>553</v>
      </c>
      <c r="E1632" s="74">
        <v>0.03</v>
      </c>
      <c r="F1632" s="78" t="s">
        <v>237</v>
      </c>
      <c r="G1632" s="77" t="s">
        <v>551</v>
      </c>
      <c r="H1632" t="str">
        <f>VLOOKUP(D1632,'DETALLE PRECIO INGREDIENTES'!B:B,1,0)</f>
        <v>CACAO EN POLVO ALCALINO</v>
      </c>
    </row>
    <row r="1633" spans="2:8" ht="15.5" hidden="1" x14ac:dyDescent="0.35">
      <c r="B1633" s="75" t="s">
        <v>80</v>
      </c>
      <c r="C1633" s="75" t="s">
        <v>73</v>
      </c>
      <c r="D1633" s="73" t="s">
        <v>577</v>
      </c>
      <c r="E1633" s="74">
        <v>0.01</v>
      </c>
      <c r="F1633" s="78" t="s">
        <v>259</v>
      </c>
      <c r="G1633" s="77" t="s">
        <v>573</v>
      </c>
      <c r="H1633" t="str">
        <f>VLOOKUP(D1633,'DETALLE PRECIO INGREDIENTES'!B:B,1,0)</f>
        <v>COLORANTE HIDROSOLUBLE POLVO ROJO</v>
      </c>
    </row>
    <row r="1634" spans="2:8" ht="15.5" hidden="1" x14ac:dyDescent="0.35">
      <c r="B1634" s="75" t="s">
        <v>80</v>
      </c>
      <c r="C1634" s="75" t="s">
        <v>73</v>
      </c>
      <c r="D1634" s="73" t="s">
        <v>284</v>
      </c>
      <c r="E1634" s="74">
        <v>3.0000000000000001E-3</v>
      </c>
      <c r="F1634" s="78" t="s">
        <v>237</v>
      </c>
      <c r="G1634" s="77" t="s">
        <v>220</v>
      </c>
      <c r="H1634" t="str">
        <f>VLOOKUP(D1634,'DETALLE PRECIO INGREDIENTES'!B:B,1,0)</f>
        <v>BICARBONATO DE SODIO</v>
      </c>
    </row>
    <row r="1635" spans="2:8" ht="15.5" hidden="1" x14ac:dyDescent="0.35">
      <c r="B1635" s="75" t="s">
        <v>80</v>
      </c>
      <c r="C1635" s="75" t="s">
        <v>73</v>
      </c>
      <c r="D1635" s="73" t="s">
        <v>432</v>
      </c>
      <c r="E1635" s="74">
        <v>4.0000000000000001E-3</v>
      </c>
      <c r="F1635" s="78" t="s">
        <v>237</v>
      </c>
      <c r="G1635" s="77" t="s">
        <v>220</v>
      </c>
      <c r="H1635" t="str">
        <f>VLOOKUP(D1635,'DETALLE PRECIO INGREDIENTES'!B:B,1,0)</f>
        <v>POLVOS DE HORNEAR</v>
      </c>
    </row>
    <row r="1636" spans="2:8" ht="15.5" hidden="1" x14ac:dyDescent="0.35">
      <c r="B1636" s="75" t="s">
        <v>80</v>
      </c>
      <c r="C1636" s="75" t="s">
        <v>73</v>
      </c>
      <c r="D1636" s="73" t="s">
        <v>228</v>
      </c>
      <c r="E1636" s="74">
        <v>0.04</v>
      </c>
      <c r="F1636" s="78" t="s">
        <v>222</v>
      </c>
      <c r="G1636" s="77" t="s">
        <v>220</v>
      </c>
      <c r="H1636" t="str">
        <f>VLOOKUP(D1636,'DETALLE PRECIO INGREDIENTES'!B:B,1,0)</f>
        <v>ACEITE DE MARAVILLA</v>
      </c>
    </row>
    <row r="1637" spans="2:8" ht="15.5" hidden="1" x14ac:dyDescent="0.35">
      <c r="B1637" s="75" t="s">
        <v>80</v>
      </c>
      <c r="C1637" s="75" t="s">
        <v>73</v>
      </c>
      <c r="D1637" s="73" t="s">
        <v>293</v>
      </c>
      <c r="E1637" s="74">
        <v>5.0000000000000001E-3</v>
      </c>
      <c r="F1637" s="78" t="s">
        <v>237</v>
      </c>
      <c r="G1637" s="77" t="s">
        <v>220</v>
      </c>
      <c r="H1637" t="str">
        <f>VLOOKUP(D1637,'DETALLE PRECIO INGREDIENTES'!B:B,1,0)</f>
        <v>CANELA ENTERA</v>
      </c>
    </row>
    <row r="1638" spans="2:8" ht="15.5" hidden="1" x14ac:dyDescent="0.35">
      <c r="B1638" s="75" t="s">
        <v>80</v>
      </c>
      <c r="C1638" s="75" t="s">
        <v>73</v>
      </c>
      <c r="D1638" s="73" t="s">
        <v>787</v>
      </c>
      <c r="E1638" s="74">
        <v>8.0000000000000002E-3</v>
      </c>
      <c r="F1638" s="78" t="s">
        <v>259</v>
      </c>
      <c r="G1638" s="77" t="s">
        <v>776</v>
      </c>
      <c r="H1638" t="str">
        <f>VLOOKUP(D1638,'DETALLE PRECIO INGREDIENTES'!B:B,1,0)</f>
        <v>RON MITJANS DORADO</v>
      </c>
    </row>
    <row r="1639" spans="2:8" ht="15.5" hidden="1" x14ac:dyDescent="0.35">
      <c r="B1639" s="75" t="s">
        <v>80</v>
      </c>
      <c r="C1639" s="75" t="s">
        <v>73</v>
      </c>
      <c r="D1639" s="73" t="s">
        <v>737</v>
      </c>
      <c r="E1639" s="74">
        <v>5.0000000000000001E-3</v>
      </c>
      <c r="F1639" s="78" t="s">
        <v>222</v>
      </c>
      <c r="G1639" s="77" t="s">
        <v>736</v>
      </c>
      <c r="H1639" t="str">
        <f>VLOOKUP(D1639,'DETALLE PRECIO INGREDIENTES'!B:B,1,0)</f>
        <v>CREMA ACIDA</v>
      </c>
    </row>
    <row r="1640" spans="2:8" ht="15.5" hidden="1" x14ac:dyDescent="0.35">
      <c r="B1640" s="75" t="s">
        <v>80</v>
      </c>
      <c r="C1640" s="75" t="s">
        <v>73</v>
      </c>
      <c r="D1640" s="73" t="s">
        <v>759</v>
      </c>
      <c r="E1640" s="74">
        <v>0.08</v>
      </c>
      <c r="F1640" s="78" t="s">
        <v>237</v>
      </c>
      <c r="G1640" s="77" t="s">
        <v>736</v>
      </c>
      <c r="H1640" t="str">
        <f>VLOOKUP(D1640,'DETALLE PRECIO INGREDIENTES'!B:B,1,0)</f>
        <v>QUESO CREMA</v>
      </c>
    </row>
    <row r="1641" spans="2:8" ht="15.5" hidden="1" x14ac:dyDescent="0.35">
      <c r="B1641" s="75" t="s">
        <v>80</v>
      </c>
      <c r="C1641" s="75" t="s">
        <v>73</v>
      </c>
      <c r="D1641" s="73" t="s">
        <v>375</v>
      </c>
      <c r="E1641" s="74">
        <v>0.01</v>
      </c>
      <c r="F1641" s="78" t="s">
        <v>237</v>
      </c>
      <c r="G1641" s="77" t="s">
        <v>220</v>
      </c>
      <c r="H1641" t="str">
        <f>VLOOKUP(D1641,'DETALLE PRECIO INGREDIENTES'!B:B,1,0)</f>
        <v>MAICENA</v>
      </c>
    </row>
    <row r="1642" spans="2:8" ht="15.5" hidden="1" x14ac:dyDescent="0.35">
      <c r="B1642" s="75" t="s">
        <v>80</v>
      </c>
      <c r="C1642" s="75" t="s">
        <v>73</v>
      </c>
      <c r="D1642" s="73" t="s">
        <v>362</v>
      </c>
      <c r="E1642" s="74">
        <v>7.0000000000000007E-2</v>
      </c>
      <c r="F1642" s="78" t="s">
        <v>237</v>
      </c>
      <c r="G1642" s="77" t="s">
        <v>220</v>
      </c>
      <c r="H1642" t="str">
        <f>VLOOKUP(D1642,'DETALLE PRECIO INGREDIENTES'!B:B,1,0)</f>
        <v>HARINA PANADERA SOBRE 13 GR</v>
      </c>
    </row>
    <row r="1643" spans="2:8" ht="15.5" hidden="1" x14ac:dyDescent="0.35">
      <c r="B1643" s="75" t="s">
        <v>80</v>
      </c>
      <c r="C1643" s="75" t="s">
        <v>73</v>
      </c>
      <c r="D1643" s="73" t="s">
        <v>383</v>
      </c>
      <c r="E1643" s="74">
        <v>3.3000000000000002E-2</v>
      </c>
      <c r="F1643" s="78" t="s">
        <v>237</v>
      </c>
      <c r="G1643" s="77" t="s">
        <v>220</v>
      </c>
      <c r="H1643" t="str">
        <f>VLOOKUP(D1643,'DETALLE PRECIO INGREDIENTES'!B:B,1,0)</f>
        <v>MANTEQUILLA EXTRA SECA</v>
      </c>
    </row>
    <row r="1644" spans="2:8" ht="15.5" hidden="1" x14ac:dyDescent="0.35">
      <c r="B1644" s="75" t="s">
        <v>80</v>
      </c>
      <c r="C1644" s="75" t="s">
        <v>73</v>
      </c>
      <c r="D1644" s="73" t="s">
        <v>516</v>
      </c>
      <c r="E1644" s="74">
        <v>0.1</v>
      </c>
      <c r="F1644" s="78" t="s">
        <v>259</v>
      </c>
      <c r="G1644" s="77" t="s">
        <v>485</v>
      </c>
      <c r="H1644" t="str">
        <f>VLOOKUP(D1644,'DETALLE PRECIO INGREDIENTES'!B:B,1,0)</f>
        <v>SERVILLETAS MESA 200 UND</v>
      </c>
    </row>
    <row r="1645" spans="2:8" ht="15.5" hidden="1" x14ac:dyDescent="0.35">
      <c r="B1645" s="75" t="s">
        <v>80</v>
      </c>
      <c r="C1645" s="75" t="s">
        <v>73</v>
      </c>
      <c r="D1645" s="73" t="s">
        <v>318</v>
      </c>
      <c r="E1645" s="74">
        <v>2</v>
      </c>
      <c r="F1645" s="78" t="s">
        <v>259</v>
      </c>
      <c r="G1645" s="77" t="s">
        <v>220</v>
      </c>
      <c r="H1645" t="str">
        <f>VLOOKUP(D1645,'DETALLE PRECIO INGREDIENTES'!B:B,1,0)</f>
        <v>CUCHARAS DE MADERA</v>
      </c>
    </row>
    <row r="1646" spans="2:8" ht="15.5" hidden="1" x14ac:dyDescent="0.35">
      <c r="B1646" s="75" t="s">
        <v>80</v>
      </c>
      <c r="C1646" s="75" t="s">
        <v>72</v>
      </c>
      <c r="D1646" s="73" t="s">
        <v>362</v>
      </c>
      <c r="E1646" s="74">
        <v>0.41</v>
      </c>
      <c r="F1646" s="78" t="s">
        <v>237</v>
      </c>
      <c r="G1646" s="77" t="s">
        <v>220</v>
      </c>
      <c r="H1646" t="str">
        <f>VLOOKUP(D1646,'DETALLE PRECIO INGREDIENTES'!B:B,1,0)</f>
        <v>HARINA PANADERA SOBRE 13 GR</v>
      </c>
    </row>
    <row r="1647" spans="2:8" ht="15.5" hidden="1" x14ac:dyDescent="0.35">
      <c r="B1647" s="75" t="s">
        <v>80</v>
      </c>
      <c r="C1647" s="75" t="s">
        <v>72</v>
      </c>
      <c r="D1647" s="73" t="s">
        <v>373</v>
      </c>
      <c r="E1647" s="74">
        <v>1.4999999999999999E-2</v>
      </c>
      <c r="F1647" s="78" t="s">
        <v>237</v>
      </c>
      <c r="G1647" s="77" t="s">
        <v>220</v>
      </c>
      <c r="H1647" t="str">
        <f>VLOOKUP(D1647,'DETALLE PRECIO INGREDIENTES'!B:B,1,0)</f>
        <v>LEVADURA FRESCA</v>
      </c>
    </row>
    <row r="1648" spans="2:8" ht="15.5" hidden="1" x14ac:dyDescent="0.35">
      <c r="B1648" s="75" t="s">
        <v>80</v>
      </c>
      <c r="C1648" s="75" t="s">
        <v>72</v>
      </c>
      <c r="D1648" s="73" t="s">
        <v>445</v>
      </c>
      <c r="E1648" s="74">
        <v>0.01</v>
      </c>
      <c r="F1648" s="78" t="s">
        <v>237</v>
      </c>
      <c r="G1648" s="77" t="s">
        <v>220</v>
      </c>
      <c r="H1648" t="str">
        <f>VLOOKUP(D1648,'DETALLE PRECIO INGREDIENTES'!B:B,1,0)</f>
        <v>SAL DE MESA LOBOS</v>
      </c>
    </row>
    <row r="1649" spans="2:8" ht="15.5" hidden="1" x14ac:dyDescent="0.35">
      <c r="B1649" s="75" t="s">
        <v>80</v>
      </c>
      <c r="C1649" s="75" t="s">
        <v>72</v>
      </c>
      <c r="D1649" s="73" t="s">
        <v>456</v>
      </c>
      <c r="E1649" s="74">
        <v>5.0000000000000001E-3</v>
      </c>
      <c r="F1649" s="78" t="s">
        <v>237</v>
      </c>
      <c r="G1649" s="77" t="s">
        <v>220</v>
      </c>
      <c r="H1649" t="str">
        <f>VLOOKUP(D1649,'DETALLE PRECIO INGREDIENTES'!B:B,1,0)</f>
        <v>SEMILLAS DE LINAZA</v>
      </c>
    </row>
    <row r="1650" spans="2:8" ht="15.5" hidden="1" x14ac:dyDescent="0.35">
      <c r="B1650" s="75" t="s">
        <v>80</v>
      </c>
      <c r="C1650" s="75" t="s">
        <v>72</v>
      </c>
      <c r="D1650" s="73" t="s">
        <v>453</v>
      </c>
      <c r="E1650" s="74">
        <v>5.0000000000000001E-3</v>
      </c>
      <c r="F1650" s="78" t="s">
        <v>237</v>
      </c>
      <c r="G1650" s="77" t="s">
        <v>220</v>
      </c>
      <c r="H1650" t="str">
        <f>VLOOKUP(D1650,'DETALLE PRECIO INGREDIENTES'!B:B,1,0)</f>
        <v>SEMILLA DE MARAVILLA</v>
      </c>
    </row>
    <row r="1651" spans="2:8" ht="15.5" hidden="1" x14ac:dyDescent="0.35">
      <c r="B1651" s="75" t="s">
        <v>80</v>
      </c>
      <c r="C1651" s="75" t="s">
        <v>72</v>
      </c>
      <c r="D1651" s="73" t="s">
        <v>458</v>
      </c>
      <c r="E1651" s="74">
        <v>2E-3</v>
      </c>
      <c r="F1651" s="78" t="s">
        <v>237</v>
      </c>
      <c r="G1651" s="77" t="s">
        <v>220</v>
      </c>
      <c r="H1651" t="str">
        <f>VLOOKUP(D1651,'DETALLE PRECIO INGREDIENTES'!B:B,1,0)</f>
        <v>SEMILLAS DE SESAMO BLANCO</v>
      </c>
    </row>
    <row r="1652" spans="2:8" ht="15.5" hidden="1" x14ac:dyDescent="0.35">
      <c r="B1652" s="75" t="s">
        <v>80</v>
      </c>
      <c r="C1652" s="75" t="s">
        <v>72</v>
      </c>
      <c r="D1652" s="73" t="s">
        <v>459</v>
      </c>
      <c r="E1652" s="74">
        <v>2E-3</v>
      </c>
      <c r="F1652" s="78" t="s">
        <v>237</v>
      </c>
      <c r="G1652" s="77" t="s">
        <v>220</v>
      </c>
      <c r="H1652" t="str">
        <f>VLOOKUP(D1652,'DETALLE PRECIO INGREDIENTES'!B:B,1,0)</f>
        <v>SEMILLAS DE SESAMO NEGRO</v>
      </c>
    </row>
    <row r="1653" spans="2:8" ht="15.5" hidden="1" x14ac:dyDescent="0.35">
      <c r="B1653" s="75" t="s">
        <v>80</v>
      </c>
      <c r="C1653" s="75" t="s">
        <v>72</v>
      </c>
      <c r="D1653" s="73" t="s">
        <v>701</v>
      </c>
      <c r="E1653" s="74">
        <v>0.25</v>
      </c>
      <c r="F1653" s="78" t="s">
        <v>259</v>
      </c>
      <c r="G1653" s="77" t="s">
        <v>621</v>
      </c>
      <c r="H1653" t="str">
        <f>VLOOKUP(D1653,'DETALLE PRECIO INGREDIENTES'!B:B,1,0)</f>
        <v>PIMIENTO MORRON</v>
      </c>
    </row>
    <row r="1654" spans="2:8" ht="15.5" hidden="1" x14ac:dyDescent="0.35">
      <c r="B1654" s="75" t="s">
        <v>80</v>
      </c>
      <c r="C1654" s="75" t="s">
        <v>72</v>
      </c>
      <c r="D1654" s="73" t="s">
        <v>638</v>
      </c>
      <c r="E1654" s="74">
        <v>0.2</v>
      </c>
      <c r="F1654" s="78" t="s">
        <v>259</v>
      </c>
      <c r="G1654" s="77" t="s">
        <v>621</v>
      </c>
      <c r="H1654" t="str">
        <f>VLOOKUP(D1654,'DETALLE PRECIO INGREDIENTES'!B:B,1,0)</f>
        <v>BERENJENA</v>
      </c>
    </row>
    <row r="1655" spans="2:8" ht="15.5" hidden="1" x14ac:dyDescent="0.35">
      <c r="B1655" s="75" t="s">
        <v>80</v>
      </c>
      <c r="C1655" s="75" t="s">
        <v>72</v>
      </c>
      <c r="D1655" s="73" t="s">
        <v>843</v>
      </c>
      <c r="E1655" s="74">
        <v>0.09</v>
      </c>
      <c r="F1655" s="78" t="s">
        <v>237</v>
      </c>
      <c r="G1655" s="77" t="s">
        <v>839</v>
      </c>
      <c r="H1655" t="str">
        <f>VLOOKUP(D1655,'DETALLE PRECIO INGREDIENTES'!B:B,1,0)</f>
        <v>POLLO PECHUGA S/HUESO</v>
      </c>
    </row>
    <row r="1656" spans="2:8" ht="15.5" hidden="1" x14ac:dyDescent="0.35">
      <c r="B1656" s="75" t="s">
        <v>80</v>
      </c>
      <c r="C1656" s="75" t="s">
        <v>72</v>
      </c>
      <c r="D1656" s="73" t="s">
        <v>763</v>
      </c>
      <c r="E1656" s="74">
        <v>2.5000000000000001E-2</v>
      </c>
      <c r="F1656" s="78" t="s">
        <v>237</v>
      </c>
      <c r="G1656" s="77" t="s">
        <v>736</v>
      </c>
      <c r="H1656" t="str">
        <f>VLOOKUP(D1656,'DETALLE PRECIO INGREDIENTES'!B:B,1,0)</f>
        <v>QUESO GAUDA LAMINADO</v>
      </c>
    </row>
    <row r="1657" spans="2:8" ht="15.5" hidden="1" x14ac:dyDescent="0.35">
      <c r="B1657" s="75" t="s">
        <v>80</v>
      </c>
      <c r="C1657" s="75" t="s">
        <v>72</v>
      </c>
      <c r="D1657" s="73" t="s">
        <v>679</v>
      </c>
      <c r="E1657" s="74">
        <v>0.125</v>
      </c>
      <c r="F1657" s="78" t="s">
        <v>259</v>
      </c>
      <c r="G1657" s="77" t="s">
        <v>621</v>
      </c>
      <c r="H1657" t="str">
        <f>VLOOKUP(D1657,'DETALLE PRECIO INGREDIENTES'!B:B,1,0)</f>
        <v>LECHUGA LOLLO ROSSA</v>
      </c>
    </row>
    <row r="1658" spans="2:8" ht="15.5" hidden="1" x14ac:dyDescent="0.35">
      <c r="B1658" s="75" t="s">
        <v>80</v>
      </c>
      <c r="C1658" s="75" t="s">
        <v>72</v>
      </c>
      <c r="D1658" s="73" t="s">
        <v>729</v>
      </c>
      <c r="E1658" s="74">
        <v>6.5</v>
      </c>
      <c r="F1658" s="78" t="s">
        <v>259</v>
      </c>
      <c r="G1658" s="77" t="s">
        <v>728</v>
      </c>
      <c r="H1658" t="str">
        <f>VLOOKUP(D1658,'DETALLE PRECIO INGREDIENTES'!B:B,1,0)</f>
        <v>HUEVO EXTRA BLANCO</v>
      </c>
    </row>
    <row r="1659" spans="2:8" ht="15.5" hidden="1" x14ac:dyDescent="0.35">
      <c r="B1659" s="75" t="s">
        <v>80</v>
      </c>
      <c r="C1659" s="75" t="s">
        <v>72</v>
      </c>
      <c r="D1659" s="73" t="s">
        <v>354</v>
      </c>
      <c r="E1659" s="74">
        <v>0.3</v>
      </c>
      <c r="F1659" s="78" t="s">
        <v>237</v>
      </c>
      <c r="G1659" s="77" t="s">
        <v>220</v>
      </c>
      <c r="H1659" t="str">
        <f>VLOOKUP(D1659,'DETALLE PRECIO INGREDIENTES'!B:B,1,0)</f>
        <v>HARINA BIZCOCHERA</v>
      </c>
    </row>
    <row r="1660" spans="2:8" ht="15.5" hidden="1" x14ac:dyDescent="0.35">
      <c r="B1660" s="75" t="s">
        <v>80</v>
      </c>
      <c r="C1660" s="75" t="s">
        <v>72</v>
      </c>
      <c r="D1660" s="73" t="s">
        <v>277</v>
      </c>
      <c r="E1660" s="74">
        <v>0.37</v>
      </c>
      <c r="F1660" s="78" t="s">
        <v>237</v>
      </c>
      <c r="G1660" s="77" t="s">
        <v>220</v>
      </c>
      <c r="H1660" t="str">
        <f>VLOOKUP(D1660,'DETALLE PRECIO INGREDIENTES'!B:B,1,0)</f>
        <v>AZUCAR BLANCA GRANULADA</v>
      </c>
    </row>
    <row r="1661" spans="2:8" ht="15.5" hidden="1" x14ac:dyDescent="0.35">
      <c r="B1661" s="75" t="s">
        <v>80</v>
      </c>
      <c r="C1661" s="75" t="s">
        <v>72</v>
      </c>
      <c r="D1661" s="73" t="s">
        <v>278</v>
      </c>
      <c r="E1661" s="74">
        <v>0.1</v>
      </c>
      <c r="F1661" s="78" t="s">
        <v>237</v>
      </c>
      <c r="G1661" s="77" t="s">
        <v>220</v>
      </c>
      <c r="H1661" t="str">
        <f>VLOOKUP(D1661,'DETALLE PRECIO INGREDIENTES'!B:B,1,0)</f>
        <v>AZUCAR FLOR</v>
      </c>
    </row>
    <row r="1662" spans="2:8" ht="15.5" hidden="1" x14ac:dyDescent="0.35">
      <c r="B1662" s="75" t="s">
        <v>80</v>
      </c>
      <c r="C1662" s="75" t="s">
        <v>72</v>
      </c>
      <c r="D1662" s="73" t="s">
        <v>751</v>
      </c>
      <c r="E1662" s="74">
        <v>0.18</v>
      </c>
      <c r="F1662" s="78" t="s">
        <v>237</v>
      </c>
      <c r="G1662" s="77" t="s">
        <v>736</v>
      </c>
      <c r="H1662" t="str">
        <f>VLOOKUP(D1662,'DETALLE PRECIO INGREDIENTES'!B:B,1,0)</f>
        <v>MANTEQUILLA SIN SAL</v>
      </c>
    </row>
    <row r="1663" spans="2:8" ht="15.5" hidden="1" x14ac:dyDescent="0.35">
      <c r="B1663" s="75" t="s">
        <v>80</v>
      </c>
      <c r="C1663" s="75" t="s">
        <v>72</v>
      </c>
      <c r="D1663" s="73" t="s">
        <v>669</v>
      </c>
      <c r="E1663" s="74">
        <v>0.06</v>
      </c>
      <c r="F1663" s="78" t="s">
        <v>237</v>
      </c>
      <c r="G1663" s="77" t="s">
        <v>621</v>
      </c>
      <c r="H1663" t="str">
        <f>VLOOKUP(D1663,'DETALLE PRECIO INGREDIENTES'!B:B,1,0)</f>
        <v>FRAMBUESA FRESCA</v>
      </c>
    </row>
    <row r="1664" spans="2:8" ht="15.5" hidden="1" x14ac:dyDescent="0.35">
      <c r="B1664" s="75" t="s">
        <v>80</v>
      </c>
      <c r="C1664" s="75" t="s">
        <v>72</v>
      </c>
      <c r="D1664" s="73" t="s">
        <v>375</v>
      </c>
      <c r="E1664" s="74">
        <v>0.02</v>
      </c>
      <c r="F1664" s="78" t="s">
        <v>237</v>
      </c>
      <c r="G1664" s="77" t="s">
        <v>220</v>
      </c>
      <c r="H1664" t="str">
        <f>VLOOKUP(D1664,'DETALLE PRECIO INGREDIENTES'!B:B,1,0)</f>
        <v>MAICENA</v>
      </c>
    </row>
    <row r="1665" spans="2:8" ht="15.5" hidden="1" x14ac:dyDescent="0.35">
      <c r="B1665" s="75" t="s">
        <v>80</v>
      </c>
      <c r="C1665" s="75" t="s">
        <v>72</v>
      </c>
      <c r="D1665" s="73" t="s">
        <v>355</v>
      </c>
      <c r="E1665" s="74">
        <v>2.5000000000000001E-2</v>
      </c>
      <c r="F1665" s="78" t="s">
        <v>237</v>
      </c>
      <c r="G1665" s="77" t="s">
        <v>220</v>
      </c>
      <c r="H1665" t="str">
        <f>VLOOKUP(D1665,'DETALLE PRECIO INGREDIENTES'!B:B,1,0)</f>
        <v>HARINA DE ALMENDRA</v>
      </c>
    </row>
    <row r="1666" spans="2:8" ht="15.5" hidden="1" x14ac:dyDescent="0.35">
      <c r="B1666" s="75" t="s">
        <v>80</v>
      </c>
      <c r="C1666" s="75" t="s">
        <v>72</v>
      </c>
      <c r="D1666" s="73" t="s">
        <v>680</v>
      </c>
      <c r="E1666" s="74">
        <v>0.1</v>
      </c>
      <c r="F1666" s="78" t="s">
        <v>237</v>
      </c>
      <c r="G1666" s="77" t="s">
        <v>621</v>
      </c>
      <c r="H1666" t="str">
        <f>VLOOKUP(D1666,'DETALLE PRECIO INGREDIENTES'!B:B,1,0)</f>
        <v>LIMON DE JUGO</v>
      </c>
    </row>
    <row r="1667" spans="2:8" ht="15.5" hidden="1" x14ac:dyDescent="0.35">
      <c r="B1667" s="75" t="s">
        <v>80</v>
      </c>
      <c r="C1667" s="75" t="s">
        <v>72</v>
      </c>
      <c r="D1667" s="73" t="s">
        <v>748</v>
      </c>
      <c r="E1667" s="74">
        <v>0.35</v>
      </c>
      <c r="F1667" s="78" t="s">
        <v>222</v>
      </c>
      <c r="G1667" s="77" t="s">
        <v>736</v>
      </c>
      <c r="H1667" t="str">
        <f>VLOOKUP(D1667,'DETALLE PRECIO INGREDIENTES'!B:B,1,0)</f>
        <v>LECHE ENTERA</v>
      </c>
    </row>
    <row r="1668" spans="2:8" ht="15.5" hidden="1" x14ac:dyDescent="0.35">
      <c r="B1668" s="75" t="s">
        <v>80</v>
      </c>
      <c r="C1668" s="75" t="s">
        <v>72</v>
      </c>
      <c r="D1668" s="73" t="s">
        <v>329</v>
      </c>
      <c r="E1668" s="74">
        <v>1.4999999999999999E-2</v>
      </c>
      <c r="F1668" s="78" t="s">
        <v>222</v>
      </c>
      <c r="G1668" s="77" t="s">
        <v>220</v>
      </c>
      <c r="H1668" t="str">
        <f>VLOOKUP(D1668,'DETALLE PRECIO INGREDIENTES'!B:B,1,0)</f>
        <v>ESENCIA DE VAINILLA</v>
      </c>
    </row>
    <row r="1669" spans="2:8" ht="15.5" hidden="1" x14ac:dyDescent="0.35">
      <c r="B1669" s="75" t="s">
        <v>80</v>
      </c>
      <c r="C1669" s="75" t="s">
        <v>72</v>
      </c>
      <c r="D1669" s="73" t="s">
        <v>432</v>
      </c>
      <c r="E1669" s="74">
        <v>8.0000000000000002E-3</v>
      </c>
      <c r="F1669" s="78" t="s">
        <v>237</v>
      </c>
      <c r="G1669" s="77" t="s">
        <v>220</v>
      </c>
      <c r="H1669" t="str">
        <f>VLOOKUP(D1669,'DETALLE PRECIO INGREDIENTES'!B:B,1,0)</f>
        <v>POLVOS DE HORNEAR</v>
      </c>
    </row>
    <row r="1670" spans="2:8" ht="15.5" hidden="1" x14ac:dyDescent="0.35">
      <c r="B1670" s="75" t="s">
        <v>80</v>
      </c>
      <c r="C1670" s="75" t="s">
        <v>72</v>
      </c>
      <c r="D1670" s="73" t="s">
        <v>553</v>
      </c>
      <c r="E1670" s="74">
        <v>0.09</v>
      </c>
      <c r="F1670" s="78" t="s">
        <v>237</v>
      </c>
      <c r="G1670" s="77" t="s">
        <v>551</v>
      </c>
      <c r="H1670" t="str">
        <f>VLOOKUP(D1670,'DETALLE PRECIO INGREDIENTES'!B:B,1,0)</f>
        <v>CACAO EN POLVO ALCALINO</v>
      </c>
    </row>
    <row r="1671" spans="2:8" ht="15.5" hidden="1" x14ac:dyDescent="0.35">
      <c r="B1671" s="75" t="s">
        <v>80</v>
      </c>
      <c r="C1671" s="75" t="s">
        <v>72</v>
      </c>
      <c r="D1671" s="73" t="s">
        <v>555</v>
      </c>
      <c r="E1671" s="74">
        <v>1.4999999999999999E-2</v>
      </c>
      <c r="F1671" s="78" t="s">
        <v>237</v>
      </c>
      <c r="G1671" s="77" t="s">
        <v>551</v>
      </c>
      <c r="H1671" t="str">
        <f>VLOOKUP(D1671,'DETALLE PRECIO INGREDIENTES'!B:B,1,0)</f>
        <v>CHIPS DE CHOCOLATE</v>
      </c>
    </row>
    <row r="1672" spans="2:8" ht="15.5" hidden="1" x14ac:dyDescent="0.35">
      <c r="B1672" s="75" t="s">
        <v>80</v>
      </c>
      <c r="C1672" s="75" t="s">
        <v>72</v>
      </c>
      <c r="D1672" s="73" t="s">
        <v>670</v>
      </c>
      <c r="E1672" s="74">
        <v>0.05</v>
      </c>
      <c r="F1672" s="78" t="s">
        <v>237</v>
      </c>
      <c r="G1672" s="77" t="s">
        <v>621</v>
      </c>
      <c r="H1672" t="str">
        <f>VLOOKUP(D1672,'DETALLE PRECIO INGREDIENTES'!B:B,1,0)</f>
        <v>FRUTILLA CONGELADA</v>
      </c>
    </row>
    <row r="1673" spans="2:8" ht="15.5" hidden="1" x14ac:dyDescent="0.35">
      <c r="B1673" s="75" t="s">
        <v>80</v>
      </c>
      <c r="C1673" s="75" t="s">
        <v>72</v>
      </c>
      <c r="D1673" s="73" t="s">
        <v>705</v>
      </c>
      <c r="E1673" s="74">
        <v>0.08</v>
      </c>
      <c r="F1673" s="78" t="s">
        <v>237</v>
      </c>
      <c r="G1673" s="77" t="s">
        <v>621</v>
      </c>
      <c r="H1673" t="str">
        <f>VLOOKUP(D1673,'DETALLE PRECIO INGREDIENTES'!B:B,1,0)</f>
        <v>PLATANOS</v>
      </c>
    </row>
    <row r="1674" spans="2:8" ht="15.5" hidden="1" x14ac:dyDescent="0.35">
      <c r="B1674" s="75" t="s">
        <v>80</v>
      </c>
      <c r="C1674" s="75" t="s">
        <v>72</v>
      </c>
      <c r="D1674" s="73" t="s">
        <v>967</v>
      </c>
      <c r="E1674" s="74">
        <v>0.05</v>
      </c>
      <c r="F1674" s="78" t="s">
        <v>237</v>
      </c>
      <c r="G1674" s="77" t="s">
        <v>884</v>
      </c>
      <c r="H1674" t="str">
        <f>VLOOKUP(D1674,'DETALLE PRECIO INGREDIENTES'!B:B,1,0)</f>
        <v>yogurt natural</v>
      </c>
    </row>
    <row r="1675" spans="2:8" ht="15.5" hidden="1" x14ac:dyDescent="0.35">
      <c r="B1675" s="75" t="s">
        <v>80</v>
      </c>
      <c r="C1675" s="75" t="s">
        <v>72</v>
      </c>
      <c r="D1675" s="73" t="s">
        <v>292</v>
      </c>
      <c r="E1675" s="74">
        <v>5.0000000000000001E-3</v>
      </c>
      <c r="F1675" s="78" t="s">
        <v>237</v>
      </c>
      <c r="G1675" s="77" t="s">
        <v>220</v>
      </c>
      <c r="H1675" t="str">
        <f>VLOOKUP(D1675,'DETALLE PRECIO INGREDIENTES'!B:B,1,0)</f>
        <v>CANELA EN POLVO</v>
      </c>
    </row>
    <row r="1676" spans="2:8" ht="15.5" hidden="1" x14ac:dyDescent="0.35">
      <c r="B1676" s="75" t="s">
        <v>80</v>
      </c>
      <c r="C1676" s="75" t="s">
        <v>72</v>
      </c>
      <c r="D1676" s="73" t="s">
        <v>961</v>
      </c>
      <c r="E1676" s="74">
        <v>8.0000000000000002E-3</v>
      </c>
      <c r="F1676" s="78" t="s">
        <v>237</v>
      </c>
      <c r="G1676" s="77" t="s">
        <v>220</v>
      </c>
      <c r="H1676" t="str">
        <f>VLOOKUP(D1676,'DETALLE PRECIO INGREDIENTES'!B:B,1,0)</f>
        <v>miel</v>
      </c>
    </row>
    <row r="1677" spans="2:8" ht="15.5" hidden="1" x14ac:dyDescent="0.35">
      <c r="B1677" s="75" t="s">
        <v>80</v>
      </c>
      <c r="C1677" s="75" t="s">
        <v>72</v>
      </c>
      <c r="D1677" s="73" t="s">
        <v>288</v>
      </c>
      <c r="E1677" s="74">
        <v>0.01</v>
      </c>
      <c r="F1677" s="78" t="s">
        <v>237</v>
      </c>
      <c r="G1677" s="77" t="s">
        <v>220</v>
      </c>
      <c r="H1677" t="str">
        <f>VLOOKUP(D1677,'DETALLE PRECIO INGREDIENTES'!B:B,1,0)</f>
        <v>CAFE INSTANTANEO</v>
      </c>
    </row>
    <row r="1678" spans="2:8" ht="15.5" hidden="1" x14ac:dyDescent="0.35">
      <c r="B1678" s="75" t="s">
        <v>80</v>
      </c>
      <c r="C1678" s="75" t="s">
        <v>72</v>
      </c>
      <c r="D1678" s="73" t="s">
        <v>849</v>
      </c>
      <c r="E1678" s="74">
        <v>1.5</v>
      </c>
      <c r="F1678" s="78" t="s">
        <v>259</v>
      </c>
      <c r="G1678" s="77" t="s">
        <v>847</v>
      </c>
      <c r="H1678" t="str">
        <f>VLOOKUP(D1678,'DETALLE PRECIO INGREDIENTES'!B:B,1,0)</f>
        <v>TE LIPTON BOLSA</v>
      </c>
    </row>
    <row r="1679" spans="2:8" ht="15.5" hidden="1" x14ac:dyDescent="0.35">
      <c r="B1679" s="75" t="s">
        <v>80</v>
      </c>
      <c r="C1679" s="75" t="s">
        <v>72</v>
      </c>
      <c r="D1679" s="73" t="s">
        <v>516</v>
      </c>
      <c r="E1679" s="74">
        <v>0.12</v>
      </c>
      <c r="F1679" s="78" t="s">
        <v>259</v>
      </c>
      <c r="G1679" s="77" t="s">
        <v>485</v>
      </c>
      <c r="H1679" t="str">
        <f>VLOOKUP(D1679,'DETALLE PRECIO INGREDIENTES'!B:B,1,0)</f>
        <v>SERVILLETAS MESA 200 UND</v>
      </c>
    </row>
    <row r="1680" spans="2:8" ht="15.5" hidden="1" x14ac:dyDescent="0.35">
      <c r="B1680" s="75" t="s">
        <v>80</v>
      </c>
      <c r="C1680" s="75" t="s">
        <v>72</v>
      </c>
      <c r="D1680" s="73" t="s">
        <v>737</v>
      </c>
      <c r="E1680" s="74">
        <v>5.0000000000000001E-3</v>
      </c>
      <c r="F1680" s="78" t="s">
        <v>222</v>
      </c>
      <c r="G1680" s="77" t="s">
        <v>736</v>
      </c>
      <c r="H1680" t="str">
        <f>VLOOKUP(D1680,'DETALLE PRECIO INGREDIENTES'!B:B,1,0)</f>
        <v>CREMA ACIDA</v>
      </c>
    </row>
    <row r="1681" spans="2:8" ht="15.5" hidden="1" x14ac:dyDescent="0.35">
      <c r="B1681" s="75" t="s">
        <v>80</v>
      </c>
      <c r="C1681" s="75" t="s">
        <v>72</v>
      </c>
      <c r="D1681" s="73" t="s">
        <v>759</v>
      </c>
      <c r="E1681" s="74">
        <v>0.05</v>
      </c>
      <c r="F1681" s="78" t="s">
        <v>237</v>
      </c>
      <c r="G1681" s="77" t="s">
        <v>736</v>
      </c>
      <c r="H1681" t="str">
        <f>VLOOKUP(D1681,'DETALLE PRECIO INGREDIENTES'!B:B,1,0)</f>
        <v>QUESO CREMA</v>
      </c>
    </row>
    <row r="1682" spans="2:8" ht="15.5" hidden="1" x14ac:dyDescent="0.35">
      <c r="B1682" s="75" t="s">
        <v>80</v>
      </c>
      <c r="C1682" s="75" t="s">
        <v>72</v>
      </c>
      <c r="D1682" s="73" t="s">
        <v>740</v>
      </c>
      <c r="E1682" s="74">
        <v>0.12</v>
      </c>
      <c r="F1682" s="78" t="s">
        <v>237</v>
      </c>
      <c r="G1682" s="77" t="s">
        <v>736</v>
      </c>
      <c r="H1682" t="str">
        <f>VLOOKUP(D1682,'DETALLE PRECIO INGREDIENTES'!B:B,1,0)</f>
        <v>LECHE CONDENSADA</v>
      </c>
    </row>
    <row r="1683" spans="2:8" ht="15.5" hidden="1" x14ac:dyDescent="0.35">
      <c r="B1683" s="75" t="s">
        <v>80</v>
      </c>
      <c r="C1683" s="75" t="s">
        <v>72</v>
      </c>
      <c r="D1683" s="73" t="s">
        <v>891</v>
      </c>
      <c r="E1683" s="74">
        <v>0.12</v>
      </c>
      <c r="F1683" s="78" t="e">
        <v>#N/A</v>
      </c>
      <c r="G1683" s="77" t="e">
        <v>#N/A</v>
      </c>
      <c r="H1683" t="str">
        <f>VLOOKUP(D1683,'DETALLE PRECIO INGREDIENTES'!B:B,1,0)</f>
        <v>LECHE EVAPORADA</v>
      </c>
    </row>
    <row r="1684" spans="2:8" ht="15.5" hidden="1" x14ac:dyDescent="0.35">
      <c r="B1684" s="75" t="s">
        <v>80</v>
      </c>
      <c r="C1684" s="75" t="s">
        <v>72</v>
      </c>
      <c r="D1684" s="73" t="s">
        <v>749</v>
      </c>
      <c r="E1684" s="74">
        <v>7.0000000000000007E-2</v>
      </c>
      <c r="F1684" s="78" t="s">
        <v>237</v>
      </c>
      <c r="G1684" s="77" t="s">
        <v>736</v>
      </c>
      <c r="H1684" t="str">
        <f>VLOOKUP(D1684,'DETALLE PRECIO INGREDIENTES'!B:B,1,0)</f>
        <v>MANJAR</v>
      </c>
    </row>
    <row r="1685" spans="2:8" ht="15.5" hidden="1" x14ac:dyDescent="0.35">
      <c r="B1685" s="75" t="s">
        <v>80</v>
      </c>
      <c r="C1685" s="75" t="s">
        <v>72</v>
      </c>
      <c r="D1685" s="73" t="s">
        <v>228</v>
      </c>
      <c r="E1685" s="74">
        <v>0.03</v>
      </c>
      <c r="F1685" s="78" t="s">
        <v>222</v>
      </c>
      <c r="G1685" s="77" t="s">
        <v>220</v>
      </c>
      <c r="H1685" t="str">
        <f>VLOOKUP(D1685,'DETALLE PRECIO INGREDIENTES'!B:B,1,0)</f>
        <v>ACEITE DE MARAVILLA</v>
      </c>
    </row>
    <row r="1686" spans="2:8" ht="15.5" hidden="1" x14ac:dyDescent="0.35">
      <c r="B1686" s="75" t="s">
        <v>80</v>
      </c>
      <c r="C1686" s="75" t="s">
        <v>72</v>
      </c>
      <c r="D1686" s="73" t="s">
        <v>591</v>
      </c>
      <c r="E1686" s="74">
        <v>0.08</v>
      </c>
      <c r="F1686" s="78" t="s">
        <v>237</v>
      </c>
      <c r="G1686" s="77" t="s">
        <v>587</v>
      </c>
      <c r="H1686" t="str">
        <f>VLOOKUP(D1686,'DETALLE PRECIO INGREDIENTES'!B:B,1,0)</f>
        <v>PULPA DE DURAZNO</v>
      </c>
    </row>
    <row r="1687" spans="2:8" ht="15.5" hidden="1" x14ac:dyDescent="0.35">
      <c r="B1687" s="75" t="s">
        <v>80</v>
      </c>
      <c r="C1687" s="75" t="s">
        <v>72</v>
      </c>
      <c r="D1687" s="73" t="s">
        <v>261</v>
      </c>
      <c r="E1687" s="74">
        <v>1.4999999999999999E-2</v>
      </c>
      <c r="F1687" s="78" t="s">
        <v>237</v>
      </c>
      <c r="G1687" s="77" t="s">
        <v>220</v>
      </c>
      <c r="H1687" t="str">
        <f>VLOOKUP(D1687,'DETALLE PRECIO INGREDIENTES'!B:B,1,0)</f>
        <v>ALMENDRAS ENTERAS</v>
      </c>
    </row>
    <row r="1688" spans="2:8" ht="15.5" hidden="1" x14ac:dyDescent="0.35">
      <c r="B1688" s="75" t="s">
        <v>80</v>
      </c>
      <c r="C1688" s="75" t="s">
        <v>72</v>
      </c>
      <c r="D1688" s="73" t="s">
        <v>684</v>
      </c>
      <c r="E1688" s="74">
        <v>0.1</v>
      </c>
      <c r="F1688" s="78" t="s">
        <v>237</v>
      </c>
      <c r="G1688" s="77" t="s">
        <v>621</v>
      </c>
      <c r="H1688" t="str">
        <f>VLOOKUP(D1688,'DETALLE PRECIO INGREDIENTES'!B:B,1,0)</f>
        <v>MANZANA VERDE</v>
      </c>
    </row>
    <row r="1689" spans="2:8" ht="15.5" hidden="1" x14ac:dyDescent="0.35">
      <c r="B1689" s="75" t="s">
        <v>80</v>
      </c>
      <c r="C1689" s="75" t="s">
        <v>72</v>
      </c>
      <c r="D1689" s="73" t="s">
        <v>307</v>
      </c>
      <c r="E1689" s="74">
        <v>1</v>
      </c>
      <c r="F1689" s="78" t="s">
        <v>259</v>
      </c>
      <c r="G1689" s="77" t="s">
        <v>220</v>
      </c>
      <c r="H1689" t="str">
        <f>VLOOKUP(D1689,'DETALLE PRECIO INGREDIENTES'!B:B,1,0)</f>
        <v>COLAPEZ POR HOJA</v>
      </c>
    </row>
    <row r="1690" spans="2:8" ht="15.5" hidden="1" x14ac:dyDescent="0.35">
      <c r="B1690" s="75" t="s">
        <v>80</v>
      </c>
      <c r="C1690" s="75" t="s">
        <v>72</v>
      </c>
      <c r="D1690" s="73" t="s">
        <v>345</v>
      </c>
      <c r="E1690" s="74">
        <v>0.01</v>
      </c>
      <c r="F1690" s="78" t="s">
        <v>237</v>
      </c>
      <c r="G1690" s="77" t="s">
        <v>220</v>
      </c>
      <c r="H1690" t="str">
        <f>VLOOKUP(D1690,'DETALLE PRECIO INGREDIENTES'!B:B,1,0)</f>
        <v>GELATINA SIN SABOR</v>
      </c>
    </row>
    <row r="1691" spans="2:8" ht="15.5" hidden="1" x14ac:dyDescent="0.35">
      <c r="B1691" s="75" t="s">
        <v>80</v>
      </c>
      <c r="C1691" s="75" t="s">
        <v>72</v>
      </c>
      <c r="D1691" s="73" t="s">
        <v>739</v>
      </c>
      <c r="E1691" s="74">
        <v>0.12</v>
      </c>
      <c r="F1691" s="78" t="s">
        <v>222</v>
      </c>
      <c r="G1691" s="77" t="s">
        <v>736</v>
      </c>
      <c r="H1691" t="str">
        <f>VLOOKUP(D1691,'DETALLE PRECIO INGREDIENTES'!B:B,1,0)</f>
        <v>CREMA DE LECHE</v>
      </c>
    </row>
    <row r="1692" spans="2:8" ht="15.5" hidden="1" x14ac:dyDescent="0.35">
      <c r="B1692" s="75" t="s">
        <v>80</v>
      </c>
      <c r="C1692" s="75" t="s">
        <v>72</v>
      </c>
      <c r="D1692" s="73" t="s">
        <v>503</v>
      </c>
      <c r="E1692" s="74">
        <v>1</v>
      </c>
      <c r="F1692" s="78" t="s">
        <v>259</v>
      </c>
      <c r="G1692" s="77" t="s">
        <v>485</v>
      </c>
      <c r="H1692" t="str">
        <f>VLOOKUP(D1692,'DETALLE PRECIO INGREDIENTES'!B:B,1,0)</f>
        <v>MANGAS DESECHABLES PEQUEÑAS</v>
      </c>
    </row>
    <row r="1693" spans="2:8" ht="15.5" hidden="1" x14ac:dyDescent="0.35">
      <c r="B1693" s="75" t="s">
        <v>80</v>
      </c>
      <c r="C1693" s="75" t="s">
        <v>72</v>
      </c>
      <c r="D1693" s="73" t="s">
        <v>502</v>
      </c>
      <c r="E1693" s="74">
        <v>1</v>
      </c>
      <c r="F1693" s="78" t="s">
        <v>259</v>
      </c>
      <c r="G1693" s="77" t="s">
        <v>485</v>
      </c>
      <c r="H1693" t="str">
        <f>VLOOKUP(D1693,'DETALLE PRECIO INGREDIENTES'!B:B,1,0)</f>
        <v>MANGAS DESECHABLES MEDIANAS</v>
      </c>
    </row>
    <row r="1694" spans="2:8" ht="15.5" hidden="1" x14ac:dyDescent="0.35">
      <c r="B1694" s="75" t="s">
        <v>80</v>
      </c>
      <c r="C1694" s="75" t="s">
        <v>72</v>
      </c>
      <c r="D1694" s="73" t="s">
        <v>318</v>
      </c>
      <c r="E1694" s="74">
        <v>2</v>
      </c>
      <c r="F1694" s="78" t="s">
        <v>259</v>
      </c>
      <c r="G1694" s="77" t="s">
        <v>220</v>
      </c>
      <c r="H1694" t="str">
        <f>VLOOKUP(D1694,'DETALLE PRECIO INGREDIENTES'!B:B,1,0)</f>
        <v>CUCHARAS DE MADERA</v>
      </c>
    </row>
    <row r="1695" spans="2:8" ht="15.5" hidden="1" x14ac:dyDescent="0.35">
      <c r="B1695" s="75" t="s">
        <v>80</v>
      </c>
      <c r="C1695" s="75" t="s">
        <v>72</v>
      </c>
      <c r="D1695" s="73" t="s">
        <v>511</v>
      </c>
      <c r="E1695" s="74">
        <v>1.5</v>
      </c>
      <c r="F1695" s="78" t="s">
        <v>259</v>
      </c>
      <c r="G1695" s="77" t="s">
        <v>485</v>
      </c>
      <c r="H1695" t="str">
        <f>VLOOKUP(D1695,'DETALLE PRECIO INGREDIENTES'!B:B,1,0)</f>
        <v>PAPEL CERESINADO PLIEGO</v>
      </c>
    </row>
    <row r="1696" spans="2:8" ht="15.5" hidden="1" x14ac:dyDescent="0.35">
      <c r="B1696" s="75" t="s">
        <v>80</v>
      </c>
      <c r="C1696" s="75" t="s">
        <v>72</v>
      </c>
      <c r="D1696" s="73" t="s">
        <v>686</v>
      </c>
      <c r="E1696" s="74">
        <v>0.05</v>
      </c>
      <c r="F1696" s="78" t="s">
        <v>237</v>
      </c>
      <c r="G1696" s="77" t="s">
        <v>621</v>
      </c>
      <c r="H1696" t="str">
        <f>VLOOKUP(D1696,'DETALLE PRECIO INGREDIENTES'!B:B,1,0)</f>
        <v>MIX DE BERRIES CONGELADO</v>
      </c>
    </row>
    <row r="1697" spans="2:8" ht="15.5" x14ac:dyDescent="0.35">
      <c r="B1697" s="75" t="s">
        <v>80</v>
      </c>
      <c r="C1697" s="75" t="s">
        <v>72</v>
      </c>
      <c r="D1697" s="73" t="s">
        <v>968</v>
      </c>
      <c r="E1697" s="74">
        <v>3</v>
      </c>
      <c r="F1697" s="78" t="s">
        <v>259</v>
      </c>
      <c r="G1697" s="77" t="s">
        <v>485</v>
      </c>
      <c r="H1697" t="e">
        <f>VLOOKUP(D1697,'DETALLE PRECIO INGREDIENTES'!B:B,1,0)</f>
        <v>#N/A</v>
      </c>
    </row>
    <row r="1698" spans="2:8" ht="15.5" hidden="1" x14ac:dyDescent="0.35">
      <c r="B1698" s="75" t="s">
        <v>80</v>
      </c>
      <c r="C1698" s="80" t="s">
        <v>71</v>
      </c>
      <c r="D1698" s="73" t="s">
        <v>362</v>
      </c>
      <c r="E1698" s="74">
        <v>0.43</v>
      </c>
      <c r="F1698" s="78" t="s">
        <v>237</v>
      </c>
      <c r="G1698" s="77" t="s">
        <v>220</v>
      </c>
      <c r="H1698" t="str">
        <f>VLOOKUP(D1698,'DETALLE PRECIO INGREDIENTES'!B:B,1,0)</f>
        <v>HARINA PANADERA SOBRE 13 GR</v>
      </c>
    </row>
    <row r="1699" spans="2:8" ht="15.5" hidden="1" x14ac:dyDescent="0.35">
      <c r="B1699" s="75" t="s">
        <v>80</v>
      </c>
      <c r="C1699" s="80" t="s">
        <v>71</v>
      </c>
      <c r="D1699" s="73" t="s">
        <v>373</v>
      </c>
      <c r="E1699" s="74">
        <v>1.4999999999999999E-2</v>
      </c>
      <c r="F1699" s="78" t="s">
        <v>237</v>
      </c>
      <c r="G1699" s="77" t="s">
        <v>220</v>
      </c>
      <c r="H1699" t="str">
        <f>VLOOKUP(D1699,'DETALLE PRECIO INGREDIENTES'!B:B,1,0)</f>
        <v>LEVADURA FRESCA</v>
      </c>
    </row>
    <row r="1700" spans="2:8" ht="15.5" hidden="1" x14ac:dyDescent="0.35">
      <c r="B1700" s="75" t="s">
        <v>80</v>
      </c>
      <c r="C1700" s="80" t="s">
        <v>71</v>
      </c>
      <c r="D1700" s="73" t="s">
        <v>445</v>
      </c>
      <c r="E1700" s="74">
        <v>0.01</v>
      </c>
      <c r="F1700" s="78" t="s">
        <v>237</v>
      </c>
      <c r="G1700" s="77" t="s">
        <v>220</v>
      </c>
      <c r="H1700" t="str">
        <f>VLOOKUP(D1700,'DETALLE PRECIO INGREDIENTES'!B:B,1,0)</f>
        <v>SAL DE MESA LOBOS</v>
      </c>
    </row>
    <row r="1701" spans="2:8" ht="15.5" hidden="1" x14ac:dyDescent="0.35">
      <c r="B1701" s="75" t="s">
        <v>80</v>
      </c>
      <c r="C1701" s="80" t="s">
        <v>71</v>
      </c>
      <c r="D1701" s="73" t="s">
        <v>458</v>
      </c>
      <c r="E1701" s="74">
        <v>6.0000000000000001E-3</v>
      </c>
      <c r="F1701" s="78" t="s">
        <v>237</v>
      </c>
      <c r="G1701" s="77" t="s">
        <v>220</v>
      </c>
      <c r="H1701" t="str">
        <f>VLOOKUP(D1701,'DETALLE PRECIO INGREDIENTES'!B:B,1,0)</f>
        <v>SEMILLAS DE SESAMO BLANCO</v>
      </c>
    </row>
    <row r="1702" spans="2:8" ht="15.5" hidden="1" x14ac:dyDescent="0.35">
      <c r="B1702" s="75" t="s">
        <v>80</v>
      </c>
      <c r="C1702" s="80" t="s">
        <v>71</v>
      </c>
      <c r="D1702" s="73" t="s">
        <v>459</v>
      </c>
      <c r="E1702" s="74">
        <v>6.0000000000000001E-3</v>
      </c>
      <c r="F1702" s="78" t="s">
        <v>237</v>
      </c>
      <c r="G1702" s="77" t="s">
        <v>220</v>
      </c>
      <c r="H1702" t="str">
        <f>VLOOKUP(D1702,'DETALLE PRECIO INGREDIENTES'!B:B,1,0)</f>
        <v>SEMILLAS DE SESAMO NEGRO</v>
      </c>
    </row>
    <row r="1703" spans="2:8" ht="15.5" hidden="1" x14ac:dyDescent="0.35">
      <c r="B1703" s="75" t="s">
        <v>80</v>
      </c>
      <c r="C1703" s="80" t="s">
        <v>71</v>
      </c>
      <c r="D1703" s="73" t="s">
        <v>453</v>
      </c>
      <c r="E1703" s="74">
        <v>5.0000000000000001E-3</v>
      </c>
      <c r="F1703" s="78" t="s">
        <v>237</v>
      </c>
      <c r="G1703" s="77" t="s">
        <v>220</v>
      </c>
      <c r="H1703" t="str">
        <f>VLOOKUP(D1703,'DETALLE PRECIO INGREDIENTES'!B:B,1,0)</f>
        <v>SEMILLA DE MARAVILLA</v>
      </c>
    </row>
    <row r="1704" spans="2:8" ht="15.5" hidden="1" x14ac:dyDescent="0.35">
      <c r="B1704" s="75" t="s">
        <v>80</v>
      </c>
      <c r="C1704" s="80" t="s">
        <v>71</v>
      </c>
      <c r="D1704" s="73" t="s">
        <v>701</v>
      </c>
      <c r="E1704" s="74">
        <v>0.25</v>
      </c>
      <c r="F1704" s="78" t="s">
        <v>259</v>
      </c>
      <c r="G1704" s="77" t="s">
        <v>621</v>
      </c>
      <c r="H1704" t="str">
        <f>VLOOKUP(D1704,'DETALLE PRECIO INGREDIENTES'!B:B,1,0)</f>
        <v>PIMIENTO MORRON</v>
      </c>
    </row>
    <row r="1705" spans="2:8" ht="15.5" hidden="1" x14ac:dyDescent="0.35">
      <c r="B1705" s="75" t="s">
        <v>80</v>
      </c>
      <c r="C1705" s="80" t="s">
        <v>71</v>
      </c>
      <c r="D1705" s="73" t="s">
        <v>638</v>
      </c>
      <c r="E1705" s="74">
        <v>0.2</v>
      </c>
      <c r="F1705" s="78" t="s">
        <v>259</v>
      </c>
      <c r="G1705" s="77" t="s">
        <v>621</v>
      </c>
      <c r="H1705" t="str">
        <f>VLOOKUP(D1705,'DETALLE PRECIO INGREDIENTES'!B:B,1,0)</f>
        <v>BERENJENA</v>
      </c>
    </row>
    <row r="1706" spans="2:8" ht="15.5" hidden="1" x14ac:dyDescent="0.35">
      <c r="B1706" s="75" t="s">
        <v>80</v>
      </c>
      <c r="C1706" s="80" t="s">
        <v>71</v>
      </c>
      <c r="D1706" s="73" t="s">
        <v>843</v>
      </c>
      <c r="E1706" s="74">
        <v>0.09</v>
      </c>
      <c r="F1706" s="78" t="s">
        <v>237</v>
      </c>
      <c r="G1706" s="77" t="s">
        <v>839</v>
      </c>
      <c r="H1706" t="str">
        <f>VLOOKUP(D1706,'DETALLE PRECIO INGREDIENTES'!B:B,1,0)</f>
        <v>POLLO PECHUGA S/HUESO</v>
      </c>
    </row>
    <row r="1707" spans="2:8" ht="15.5" hidden="1" x14ac:dyDescent="0.35">
      <c r="B1707" s="75" t="s">
        <v>80</v>
      </c>
      <c r="C1707" s="80" t="s">
        <v>71</v>
      </c>
      <c r="D1707" s="73" t="s">
        <v>763</v>
      </c>
      <c r="E1707" s="74">
        <v>2.5000000000000001E-2</v>
      </c>
      <c r="F1707" s="78" t="s">
        <v>237</v>
      </c>
      <c r="G1707" s="77" t="s">
        <v>736</v>
      </c>
      <c r="H1707" t="str">
        <f>VLOOKUP(D1707,'DETALLE PRECIO INGREDIENTES'!B:B,1,0)</f>
        <v>QUESO GAUDA LAMINADO</v>
      </c>
    </row>
    <row r="1708" spans="2:8" ht="15.5" hidden="1" x14ac:dyDescent="0.35">
      <c r="B1708" s="75" t="s">
        <v>80</v>
      </c>
      <c r="C1708" s="80" t="s">
        <v>71</v>
      </c>
      <c r="D1708" s="73" t="s">
        <v>678</v>
      </c>
      <c r="E1708" s="74">
        <v>0.125</v>
      </c>
      <c r="F1708" s="78" t="s">
        <v>259</v>
      </c>
      <c r="G1708" s="77" t="s">
        <v>621</v>
      </c>
      <c r="H1708" t="str">
        <f>VLOOKUP(D1708,'DETALLE PRECIO INGREDIENTES'!B:B,1,0)</f>
        <v>LECHUGA LOLLO GREEN</v>
      </c>
    </row>
    <row r="1709" spans="2:8" ht="15.5" hidden="1" x14ac:dyDescent="0.35">
      <c r="B1709" s="75" t="s">
        <v>80</v>
      </c>
      <c r="C1709" s="80" t="s">
        <v>71</v>
      </c>
      <c r="D1709" s="73" t="s">
        <v>729</v>
      </c>
      <c r="E1709" s="74">
        <v>6</v>
      </c>
      <c r="F1709" s="78" t="s">
        <v>259</v>
      </c>
      <c r="G1709" s="77" t="s">
        <v>728</v>
      </c>
      <c r="H1709" t="str">
        <f>VLOOKUP(D1709,'DETALLE PRECIO INGREDIENTES'!B:B,1,0)</f>
        <v>HUEVO EXTRA BLANCO</v>
      </c>
    </row>
    <row r="1710" spans="2:8" ht="15.5" hidden="1" x14ac:dyDescent="0.35">
      <c r="B1710" s="75" t="s">
        <v>80</v>
      </c>
      <c r="C1710" s="80" t="s">
        <v>71</v>
      </c>
      <c r="D1710" s="73" t="s">
        <v>354</v>
      </c>
      <c r="E1710" s="74">
        <v>0.37</v>
      </c>
      <c r="F1710" s="78" t="s">
        <v>237</v>
      </c>
      <c r="G1710" s="77" t="s">
        <v>220</v>
      </c>
      <c r="H1710" t="str">
        <f>VLOOKUP(D1710,'DETALLE PRECIO INGREDIENTES'!B:B,1,0)</f>
        <v>HARINA BIZCOCHERA</v>
      </c>
    </row>
    <row r="1711" spans="2:8" ht="15.5" hidden="1" x14ac:dyDescent="0.35">
      <c r="B1711" s="75" t="s">
        <v>80</v>
      </c>
      <c r="C1711" s="80" t="s">
        <v>71</v>
      </c>
      <c r="D1711" s="73" t="s">
        <v>277</v>
      </c>
      <c r="E1711" s="74">
        <v>0.4</v>
      </c>
      <c r="F1711" s="78" t="s">
        <v>237</v>
      </c>
      <c r="G1711" s="77" t="s">
        <v>220</v>
      </c>
      <c r="H1711" t="str">
        <f>VLOOKUP(D1711,'DETALLE PRECIO INGREDIENTES'!B:B,1,0)</f>
        <v>AZUCAR BLANCA GRANULADA</v>
      </c>
    </row>
    <row r="1712" spans="2:8" ht="15.5" hidden="1" x14ac:dyDescent="0.35">
      <c r="B1712" s="75" t="s">
        <v>80</v>
      </c>
      <c r="C1712" s="80" t="s">
        <v>71</v>
      </c>
      <c r="D1712" s="73" t="s">
        <v>278</v>
      </c>
      <c r="E1712" s="74">
        <v>0.15</v>
      </c>
      <c r="F1712" s="78" t="s">
        <v>237</v>
      </c>
      <c r="G1712" s="77" t="s">
        <v>220</v>
      </c>
      <c r="H1712" t="str">
        <f>VLOOKUP(D1712,'DETALLE PRECIO INGREDIENTES'!B:B,1,0)</f>
        <v>AZUCAR FLOR</v>
      </c>
    </row>
    <row r="1713" spans="2:8" ht="15.5" hidden="1" x14ac:dyDescent="0.35">
      <c r="B1713" s="75" t="s">
        <v>80</v>
      </c>
      <c r="C1713" s="80" t="s">
        <v>71</v>
      </c>
      <c r="D1713" s="73" t="s">
        <v>751</v>
      </c>
      <c r="E1713" s="74">
        <v>0.18</v>
      </c>
      <c r="F1713" s="78" t="s">
        <v>237</v>
      </c>
      <c r="G1713" s="77" t="s">
        <v>736</v>
      </c>
      <c r="H1713" t="str">
        <f>VLOOKUP(D1713,'DETALLE PRECIO INGREDIENTES'!B:B,1,0)</f>
        <v>MANTEQUILLA SIN SAL</v>
      </c>
    </row>
    <row r="1714" spans="2:8" ht="15.5" hidden="1" x14ac:dyDescent="0.35">
      <c r="B1714" s="75" t="s">
        <v>80</v>
      </c>
      <c r="C1714" s="80" t="s">
        <v>71</v>
      </c>
      <c r="D1714" s="73" t="s">
        <v>669</v>
      </c>
      <c r="E1714" s="74">
        <v>0.08</v>
      </c>
      <c r="F1714" s="78" t="s">
        <v>237</v>
      </c>
      <c r="G1714" s="77" t="s">
        <v>621</v>
      </c>
      <c r="H1714" t="str">
        <f>VLOOKUP(D1714,'DETALLE PRECIO INGREDIENTES'!B:B,1,0)</f>
        <v>FRAMBUESA FRESCA</v>
      </c>
    </row>
    <row r="1715" spans="2:8" ht="15.5" hidden="1" x14ac:dyDescent="0.35">
      <c r="B1715" s="75" t="s">
        <v>80</v>
      </c>
      <c r="C1715" s="80" t="s">
        <v>71</v>
      </c>
      <c r="D1715" s="73" t="s">
        <v>375</v>
      </c>
      <c r="E1715" s="74">
        <v>2.5000000000000001E-2</v>
      </c>
      <c r="F1715" s="78" t="s">
        <v>237</v>
      </c>
      <c r="G1715" s="77" t="s">
        <v>220</v>
      </c>
      <c r="H1715" t="str">
        <f>VLOOKUP(D1715,'DETALLE PRECIO INGREDIENTES'!B:B,1,0)</f>
        <v>MAICENA</v>
      </c>
    </row>
    <row r="1716" spans="2:8" ht="15.5" hidden="1" x14ac:dyDescent="0.35">
      <c r="B1716" s="75" t="s">
        <v>80</v>
      </c>
      <c r="C1716" s="80" t="s">
        <v>71</v>
      </c>
      <c r="D1716" s="73" t="s">
        <v>355</v>
      </c>
      <c r="E1716" s="74">
        <v>0.03</v>
      </c>
      <c r="F1716" s="78" t="s">
        <v>237</v>
      </c>
      <c r="G1716" s="77" t="s">
        <v>220</v>
      </c>
      <c r="H1716" t="str">
        <f>VLOOKUP(D1716,'DETALLE PRECIO INGREDIENTES'!B:B,1,0)</f>
        <v>HARINA DE ALMENDRA</v>
      </c>
    </row>
    <row r="1717" spans="2:8" ht="15.5" hidden="1" x14ac:dyDescent="0.35">
      <c r="B1717" s="75" t="s">
        <v>80</v>
      </c>
      <c r="C1717" s="80" t="s">
        <v>71</v>
      </c>
      <c r="D1717" s="73" t="s">
        <v>680</v>
      </c>
      <c r="E1717" s="74">
        <v>0.1</v>
      </c>
      <c r="F1717" s="78" t="s">
        <v>237</v>
      </c>
      <c r="G1717" s="77" t="s">
        <v>621</v>
      </c>
      <c r="H1717" t="str">
        <f>VLOOKUP(D1717,'DETALLE PRECIO INGREDIENTES'!B:B,1,0)</f>
        <v>LIMON DE JUGO</v>
      </c>
    </row>
    <row r="1718" spans="2:8" ht="15.5" hidden="1" x14ac:dyDescent="0.35">
      <c r="B1718" s="75" t="s">
        <v>80</v>
      </c>
      <c r="C1718" s="80" t="s">
        <v>71</v>
      </c>
      <c r="D1718" s="73" t="s">
        <v>748</v>
      </c>
      <c r="E1718" s="74">
        <v>0.15</v>
      </c>
      <c r="F1718" s="78" t="s">
        <v>222</v>
      </c>
      <c r="G1718" s="77" t="s">
        <v>736</v>
      </c>
      <c r="H1718" t="str">
        <f>VLOOKUP(D1718,'DETALLE PRECIO INGREDIENTES'!B:B,1,0)</f>
        <v>LECHE ENTERA</v>
      </c>
    </row>
    <row r="1719" spans="2:8" ht="15.5" hidden="1" x14ac:dyDescent="0.35">
      <c r="B1719" s="75" t="s">
        <v>80</v>
      </c>
      <c r="C1719" s="80" t="s">
        <v>71</v>
      </c>
      <c r="D1719" s="73" t="s">
        <v>329</v>
      </c>
      <c r="E1719" s="74">
        <v>0.01</v>
      </c>
      <c r="F1719" s="78" t="s">
        <v>222</v>
      </c>
      <c r="G1719" s="77" t="s">
        <v>220</v>
      </c>
      <c r="H1719" t="str">
        <f>VLOOKUP(D1719,'DETALLE PRECIO INGREDIENTES'!B:B,1,0)</f>
        <v>ESENCIA DE VAINILLA</v>
      </c>
    </row>
    <row r="1720" spans="2:8" ht="15.5" hidden="1" x14ac:dyDescent="0.35">
      <c r="B1720" s="75" t="s">
        <v>80</v>
      </c>
      <c r="C1720" s="80" t="s">
        <v>71</v>
      </c>
      <c r="D1720" s="73" t="s">
        <v>432</v>
      </c>
      <c r="E1720" s="74">
        <v>8.0000000000000002E-3</v>
      </c>
      <c r="F1720" s="78" t="s">
        <v>237</v>
      </c>
      <c r="G1720" s="77" t="s">
        <v>220</v>
      </c>
      <c r="H1720" t="str">
        <f>VLOOKUP(D1720,'DETALLE PRECIO INGREDIENTES'!B:B,1,0)</f>
        <v>POLVOS DE HORNEAR</v>
      </c>
    </row>
    <row r="1721" spans="2:8" ht="15.5" hidden="1" x14ac:dyDescent="0.35">
      <c r="B1721" s="75" t="s">
        <v>80</v>
      </c>
      <c r="C1721" s="80" t="s">
        <v>71</v>
      </c>
      <c r="D1721" s="73" t="s">
        <v>553</v>
      </c>
      <c r="E1721" s="74">
        <v>1.2E-2</v>
      </c>
      <c r="F1721" s="78" t="s">
        <v>237</v>
      </c>
      <c r="G1721" s="77" t="s">
        <v>551</v>
      </c>
      <c r="H1721" t="str">
        <f>VLOOKUP(D1721,'DETALLE PRECIO INGREDIENTES'!B:B,1,0)</f>
        <v>CACAO EN POLVO ALCALINO</v>
      </c>
    </row>
    <row r="1722" spans="2:8" ht="15.5" hidden="1" x14ac:dyDescent="0.35">
      <c r="B1722" s="75" t="s">
        <v>80</v>
      </c>
      <c r="C1722" s="80" t="s">
        <v>71</v>
      </c>
      <c r="D1722" s="73" t="s">
        <v>555</v>
      </c>
      <c r="E1722" s="74">
        <v>1.4999999999999999E-2</v>
      </c>
      <c r="F1722" s="78" t="s">
        <v>237</v>
      </c>
      <c r="G1722" s="77" t="s">
        <v>551</v>
      </c>
      <c r="H1722" t="str">
        <f>VLOOKUP(D1722,'DETALLE PRECIO INGREDIENTES'!B:B,1,0)</f>
        <v>CHIPS DE CHOCOLATE</v>
      </c>
    </row>
    <row r="1723" spans="2:8" ht="15.5" hidden="1" x14ac:dyDescent="0.35">
      <c r="B1723" s="75" t="s">
        <v>80</v>
      </c>
      <c r="C1723" s="80" t="s">
        <v>71</v>
      </c>
      <c r="D1723" s="73" t="s">
        <v>686</v>
      </c>
      <c r="E1723" s="74">
        <v>0.05</v>
      </c>
      <c r="F1723" s="78" t="s">
        <v>237</v>
      </c>
      <c r="G1723" s="77" t="s">
        <v>621</v>
      </c>
      <c r="H1723" t="str">
        <f>VLOOKUP(D1723,'DETALLE PRECIO INGREDIENTES'!B:B,1,0)</f>
        <v>MIX DE BERRIES CONGELADO</v>
      </c>
    </row>
    <row r="1724" spans="2:8" ht="15.5" hidden="1" x14ac:dyDescent="0.35">
      <c r="B1724" s="75" t="s">
        <v>80</v>
      </c>
      <c r="C1724" s="80" t="s">
        <v>71</v>
      </c>
      <c r="D1724" s="73" t="s">
        <v>662</v>
      </c>
      <c r="E1724" s="74">
        <v>0.03</v>
      </c>
      <c r="F1724" s="78" t="s">
        <v>237</v>
      </c>
      <c r="G1724" s="77" t="s">
        <v>621</v>
      </c>
      <c r="H1724" t="str">
        <f>VLOOKUP(D1724,'DETALLE PRECIO INGREDIENTES'!B:B,1,0)</f>
        <v>DATILES</v>
      </c>
    </row>
    <row r="1725" spans="2:8" ht="15.5" hidden="1" x14ac:dyDescent="0.35">
      <c r="B1725" s="75" t="s">
        <v>80</v>
      </c>
      <c r="C1725" s="80" t="s">
        <v>71</v>
      </c>
      <c r="D1725" s="73" t="s">
        <v>967</v>
      </c>
      <c r="E1725" s="74">
        <v>0.05</v>
      </c>
      <c r="F1725" s="78" t="s">
        <v>237</v>
      </c>
      <c r="G1725" s="77" t="s">
        <v>884</v>
      </c>
      <c r="H1725" t="str">
        <f>VLOOKUP(D1725,'DETALLE PRECIO INGREDIENTES'!B:B,1,0)</f>
        <v>yogurt natural</v>
      </c>
    </row>
    <row r="1726" spans="2:8" ht="15.5" hidden="1" x14ac:dyDescent="0.35">
      <c r="B1726" s="75" t="s">
        <v>80</v>
      </c>
      <c r="C1726" s="80" t="s">
        <v>71</v>
      </c>
      <c r="D1726" s="73" t="s">
        <v>292</v>
      </c>
      <c r="E1726" s="74">
        <v>5.0000000000000001E-3</v>
      </c>
      <c r="F1726" s="78" t="s">
        <v>237</v>
      </c>
      <c r="G1726" s="77" t="s">
        <v>220</v>
      </c>
      <c r="H1726" t="str">
        <f>VLOOKUP(D1726,'DETALLE PRECIO INGREDIENTES'!B:B,1,0)</f>
        <v>CANELA EN POLVO</v>
      </c>
    </row>
    <row r="1727" spans="2:8" ht="15.5" hidden="1" x14ac:dyDescent="0.35">
      <c r="B1727" s="75" t="s">
        <v>80</v>
      </c>
      <c r="C1727" s="80" t="s">
        <v>71</v>
      </c>
      <c r="D1727" s="73" t="s">
        <v>961</v>
      </c>
      <c r="E1727" s="74">
        <v>0.01</v>
      </c>
      <c r="F1727" s="78" t="s">
        <v>237</v>
      </c>
      <c r="G1727" s="77" t="s">
        <v>220</v>
      </c>
      <c r="H1727" t="str">
        <f>VLOOKUP(D1727,'DETALLE PRECIO INGREDIENTES'!B:B,1,0)</f>
        <v>miel</v>
      </c>
    </row>
    <row r="1728" spans="2:8" ht="15.5" hidden="1" x14ac:dyDescent="0.35">
      <c r="B1728" s="75" t="s">
        <v>80</v>
      </c>
      <c r="C1728" s="80" t="s">
        <v>71</v>
      </c>
      <c r="D1728" s="73" t="s">
        <v>288</v>
      </c>
      <c r="E1728" s="74">
        <v>1.4999999999999999E-2</v>
      </c>
      <c r="F1728" s="78" t="s">
        <v>237</v>
      </c>
      <c r="G1728" s="77" t="s">
        <v>220</v>
      </c>
      <c r="H1728" t="str">
        <f>VLOOKUP(D1728,'DETALLE PRECIO INGREDIENTES'!B:B,1,0)</f>
        <v>CAFE INSTANTANEO</v>
      </c>
    </row>
    <row r="1729" spans="2:8" ht="15.5" hidden="1" x14ac:dyDescent="0.35">
      <c r="B1729" s="75" t="s">
        <v>80</v>
      </c>
      <c r="C1729" s="80" t="s">
        <v>71</v>
      </c>
      <c r="D1729" s="73" t="s">
        <v>849</v>
      </c>
      <c r="E1729" s="74">
        <v>1.5</v>
      </c>
      <c r="F1729" s="78" t="s">
        <v>259</v>
      </c>
      <c r="G1729" s="77" t="s">
        <v>847</v>
      </c>
      <c r="H1729" t="str">
        <f>VLOOKUP(D1729,'DETALLE PRECIO INGREDIENTES'!B:B,1,0)</f>
        <v>TE LIPTON BOLSA</v>
      </c>
    </row>
    <row r="1730" spans="2:8" ht="15.5" hidden="1" x14ac:dyDescent="0.35">
      <c r="B1730" s="75" t="s">
        <v>80</v>
      </c>
      <c r="C1730" s="80" t="s">
        <v>71</v>
      </c>
      <c r="D1730" s="73" t="s">
        <v>516</v>
      </c>
      <c r="E1730" s="74">
        <v>0.1</v>
      </c>
      <c r="F1730" s="78" t="s">
        <v>259</v>
      </c>
      <c r="G1730" s="77" t="s">
        <v>485</v>
      </c>
      <c r="H1730" t="str">
        <f>VLOOKUP(D1730,'DETALLE PRECIO INGREDIENTES'!B:B,1,0)</f>
        <v>SERVILLETAS MESA 200 UND</v>
      </c>
    </row>
    <row r="1731" spans="2:8" ht="15.5" hidden="1" x14ac:dyDescent="0.35">
      <c r="B1731" s="75" t="s">
        <v>80</v>
      </c>
      <c r="C1731" s="80" t="s">
        <v>71</v>
      </c>
      <c r="D1731" s="73" t="s">
        <v>737</v>
      </c>
      <c r="E1731" s="74">
        <v>0.05</v>
      </c>
      <c r="F1731" s="78" t="s">
        <v>222</v>
      </c>
      <c r="G1731" s="77" t="s">
        <v>736</v>
      </c>
      <c r="H1731" t="str">
        <f>VLOOKUP(D1731,'DETALLE PRECIO INGREDIENTES'!B:B,1,0)</f>
        <v>CREMA ACIDA</v>
      </c>
    </row>
    <row r="1732" spans="2:8" ht="15.5" hidden="1" x14ac:dyDescent="0.35">
      <c r="B1732" s="75" t="s">
        <v>80</v>
      </c>
      <c r="C1732" s="80" t="s">
        <v>71</v>
      </c>
      <c r="D1732" s="73" t="s">
        <v>759</v>
      </c>
      <c r="E1732" s="74">
        <v>0.05</v>
      </c>
      <c r="F1732" s="78" t="s">
        <v>237</v>
      </c>
      <c r="G1732" s="77" t="s">
        <v>736</v>
      </c>
      <c r="H1732" t="str">
        <f>VLOOKUP(D1732,'DETALLE PRECIO INGREDIENTES'!B:B,1,0)</f>
        <v>QUESO CREMA</v>
      </c>
    </row>
    <row r="1733" spans="2:8" ht="15.5" hidden="1" x14ac:dyDescent="0.35">
      <c r="B1733" s="75" t="s">
        <v>80</v>
      </c>
      <c r="C1733" s="80" t="s">
        <v>71</v>
      </c>
      <c r="D1733" s="73" t="s">
        <v>749</v>
      </c>
      <c r="E1733" s="74">
        <v>0.08</v>
      </c>
      <c r="F1733" s="78" t="s">
        <v>237</v>
      </c>
      <c r="G1733" s="77" t="s">
        <v>736</v>
      </c>
      <c r="H1733" t="str">
        <f>VLOOKUP(D1733,'DETALLE PRECIO INGREDIENTES'!B:B,1,0)</f>
        <v>MANJAR</v>
      </c>
    </row>
    <row r="1734" spans="2:8" ht="15.5" hidden="1" x14ac:dyDescent="0.35">
      <c r="B1734" s="75" t="s">
        <v>80</v>
      </c>
      <c r="C1734" s="80" t="s">
        <v>71</v>
      </c>
      <c r="D1734" s="73" t="s">
        <v>228</v>
      </c>
      <c r="E1734" s="74">
        <v>0.03</v>
      </c>
      <c r="F1734" s="78" t="s">
        <v>222</v>
      </c>
      <c r="G1734" s="77" t="s">
        <v>220</v>
      </c>
      <c r="H1734" t="str">
        <f>VLOOKUP(D1734,'DETALLE PRECIO INGREDIENTES'!B:B,1,0)</f>
        <v>ACEITE DE MARAVILLA</v>
      </c>
    </row>
    <row r="1735" spans="2:8" ht="15.5" hidden="1" x14ac:dyDescent="0.35">
      <c r="B1735" s="75" t="s">
        <v>80</v>
      </c>
      <c r="C1735" s="80" t="s">
        <v>71</v>
      </c>
      <c r="D1735" s="73" t="s">
        <v>591</v>
      </c>
      <c r="E1735" s="74">
        <v>0.05</v>
      </c>
      <c r="F1735" s="78" t="s">
        <v>237</v>
      </c>
      <c r="G1735" s="77" t="s">
        <v>587</v>
      </c>
      <c r="H1735" t="str">
        <f>VLOOKUP(D1735,'DETALLE PRECIO INGREDIENTES'!B:B,1,0)</f>
        <v>PULPA DE DURAZNO</v>
      </c>
    </row>
    <row r="1736" spans="2:8" ht="15.5" hidden="1" x14ac:dyDescent="0.35">
      <c r="B1736" s="75" t="s">
        <v>80</v>
      </c>
      <c r="C1736" s="80" t="s">
        <v>71</v>
      </c>
      <c r="D1736" s="73" t="s">
        <v>261</v>
      </c>
      <c r="E1736" s="74">
        <v>1.4999999999999999E-2</v>
      </c>
      <c r="F1736" s="78" t="s">
        <v>237</v>
      </c>
      <c r="G1736" s="77" t="s">
        <v>220</v>
      </c>
      <c r="H1736" t="str">
        <f>VLOOKUP(D1736,'DETALLE PRECIO INGREDIENTES'!B:B,1,0)</f>
        <v>ALMENDRAS ENTERAS</v>
      </c>
    </row>
    <row r="1737" spans="2:8" ht="15.5" hidden="1" x14ac:dyDescent="0.35">
      <c r="B1737" s="75" t="s">
        <v>80</v>
      </c>
      <c r="C1737" s="80" t="s">
        <v>71</v>
      </c>
      <c r="D1737" s="73" t="s">
        <v>383</v>
      </c>
      <c r="E1737" s="74">
        <v>0.05</v>
      </c>
      <c r="F1737" s="78" t="s">
        <v>237</v>
      </c>
      <c r="G1737" s="77" t="s">
        <v>220</v>
      </c>
      <c r="H1737" t="str">
        <f>VLOOKUP(D1737,'DETALLE PRECIO INGREDIENTES'!B:B,1,0)</f>
        <v>MANTEQUILLA EXTRA SECA</v>
      </c>
    </row>
    <row r="1738" spans="2:8" ht="15.5" hidden="1" x14ac:dyDescent="0.35">
      <c r="B1738" s="75" t="s">
        <v>80</v>
      </c>
      <c r="C1738" s="80" t="s">
        <v>71</v>
      </c>
      <c r="D1738" s="73" t="s">
        <v>725</v>
      </c>
      <c r="E1738" s="74">
        <v>0.02</v>
      </c>
      <c r="F1738" s="78" t="s">
        <v>237</v>
      </c>
      <c r="G1738" s="77" t="s">
        <v>724</v>
      </c>
      <c r="H1738" t="str">
        <f>VLOOKUP(D1738,'DETALLE PRECIO INGREDIENTES'!B:B,1,0)</f>
        <v>NUEZ CUARTILLO</v>
      </c>
    </row>
    <row r="1739" spans="2:8" ht="15.5" hidden="1" x14ac:dyDescent="0.35">
      <c r="B1739" s="75" t="s">
        <v>80</v>
      </c>
      <c r="C1739" s="80" t="s">
        <v>71</v>
      </c>
      <c r="D1739" s="73" t="s">
        <v>307</v>
      </c>
      <c r="E1739" s="74">
        <v>1.5</v>
      </c>
      <c r="F1739" s="78" t="s">
        <v>259</v>
      </c>
      <c r="G1739" s="77" t="s">
        <v>220</v>
      </c>
      <c r="H1739" t="str">
        <f>VLOOKUP(D1739,'DETALLE PRECIO INGREDIENTES'!B:B,1,0)</f>
        <v>COLAPEZ POR HOJA</v>
      </c>
    </row>
    <row r="1740" spans="2:8" ht="15.5" hidden="1" x14ac:dyDescent="0.35">
      <c r="B1740" s="75" t="s">
        <v>80</v>
      </c>
      <c r="C1740" s="80" t="s">
        <v>71</v>
      </c>
      <c r="D1740" s="73" t="s">
        <v>345</v>
      </c>
      <c r="E1740" s="74">
        <v>0.01</v>
      </c>
      <c r="F1740" s="78" t="s">
        <v>237</v>
      </c>
      <c r="G1740" s="77" t="s">
        <v>220</v>
      </c>
      <c r="H1740" t="str">
        <f>VLOOKUP(D1740,'DETALLE PRECIO INGREDIENTES'!B:B,1,0)</f>
        <v>GELATINA SIN SABOR</v>
      </c>
    </row>
    <row r="1741" spans="2:8" ht="15.5" hidden="1" x14ac:dyDescent="0.35">
      <c r="B1741" s="75" t="s">
        <v>80</v>
      </c>
      <c r="C1741" s="80" t="s">
        <v>71</v>
      </c>
      <c r="D1741" s="73" t="s">
        <v>739</v>
      </c>
      <c r="E1741" s="74">
        <v>0.12</v>
      </c>
      <c r="F1741" s="78" t="s">
        <v>222</v>
      </c>
      <c r="G1741" s="77" t="s">
        <v>736</v>
      </c>
      <c r="H1741" t="str">
        <f>VLOOKUP(D1741,'DETALLE PRECIO INGREDIENTES'!B:B,1,0)</f>
        <v>CREMA DE LECHE</v>
      </c>
    </row>
    <row r="1742" spans="2:8" ht="15.5" hidden="1" x14ac:dyDescent="0.35">
      <c r="B1742" s="75" t="s">
        <v>80</v>
      </c>
      <c r="C1742" s="80" t="s">
        <v>71</v>
      </c>
      <c r="D1742" s="73" t="s">
        <v>471</v>
      </c>
      <c r="E1742" s="74">
        <v>0.25</v>
      </c>
      <c r="F1742" s="78" t="s">
        <v>259</v>
      </c>
      <c r="G1742" s="77" t="s">
        <v>220</v>
      </c>
      <c r="H1742" t="str">
        <f>VLOOKUP(D1742,'DETALLE PRECIO INGREDIENTES'!B:B,1,0)</f>
        <v>VAINA VAINILLA</v>
      </c>
    </row>
    <row r="1743" spans="2:8" ht="15.5" hidden="1" x14ac:dyDescent="0.35">
      <c r="B1743" s="75" t="s">
        <v>80</v>
      </c>
      <c r="C1743" s="80" t="s">
        <v>71</v>
      </c>
      <c r="D1743" s="73" t="s">
        <v>599</v>
      </c>
      <c r="E1743" s="74">
        <v>0.05</v>
      </c>
      <c r="F1743" s="78" t="s">
        <v>237</v>
      </c>
      <c r="G1743" s="77" t="s">
        <v>587</v>
      </c>
      <c r="H1743" t="str">
        <f>VLOOKUP(D1743,'DETALLE PRECIO INGREDIENTES'!B:B,1,0)</f>
        <v>PULPA DE MARACUYA SIN SEMILLA</v>
      </c>
    </row>
    <row r="1744" spans="2:8" ht="15.5" hidden="1" x14ac:dyDescent="0.35">
      <c r="B1744" s="75" t="s">
        <v>80</v>
      </c>
      <c r="C1744" s="80" t="s">
        <v>71</v>
      </c>
      <c r="D1744" s="73" t="s">
        <v>786</v>
      </c>
      <c r="E1744" s="74">
        <v>0.01</v>
      </c>
      <c r="F1744" s="78" t="s">
        <v>259</v>
      </c>
      <c r="G1744" s="77" t="s">
        <v>776</v>
      </c>
      <c r="H1744" t="str">
        <f>VLOOKUP(D1744,'DETALLE PRECIO INGREDIENTES'!B:B,1,0)</f>
        <v>PISCO CAPEL 35º</v>
      </c>
    </row>
    <row r="1745" spans="2:8" ht="15.5" hidden="1" x14ac:dyDescent="0.35">
      <c r="B1745" s="75" t="s">
        <v>80</v>
      </c>
      <c r="C1745" s="80" t="s">
        <v>71</v>
      </c>
      <c r="D1745" s="73" t="s">
        <v>388</v>
      </c>
      <c r="E1745" s="74">
        <v>0.08</v>
      </c>
      <c r="F1745" s="78" t="s">
        <v>237</v>
      </c>
      <c r="G1745" s="77" t="s">
        <v>220</v>
      </c>
      <c r="H1745" t="str">
        <f>VLOOKUP(D1745,'DETALLE PRECIO INGREDIENTES'!B:B,1,0)</f>
        <v>MERMELADA DE DAMASCO</v>
      </c>
    </row>
    <row r="1746" spans="2:8" ht="15.5" hidden="1" x14ac:dyDescent="0.35">
      <c r="B1746" s="75" t="s">
        <v>80</v>
      </c>
      <c r="C1746" s="80" t="s">
        <v>71</v>
      </c>
      <c r="D1746" s="73" t="s">
        <v>565</v>
      </c>
      <c r="E1746" s="74">
        <v>0.12</v>
      </c>
      <c r="F1746" s="78" t="s">
        <v>237</v>
      </c>
      <c r="G1746" s="77" t="s">
        <v>551</v>
      </c>
      <c r="H1746" t="str">
        <f>VLOOKUP(D1746,'DETALLE PRECIO INGREDIENTES'!B:B,1,0)</f>
        <v>COBERTURA AMARGA</v>
      </c>
    </row>
    <row r="1747" spans="2:8" ht="15.5" hidden="1" x14ac:dyDescent="0.35">
      <c r="B1747" s="75" t="s">
        <v>80</v>
      </c>
      <c r="C1747" s="80" t="s">
        <v>71</v>
      </c>
      <c r="D1747" s="73" t="s">
        <v>348</v>
      </c>
      <c r="E1747" s="74">
        <v>0.02</v>
      </c>
      <c r="F1747" s="78" t="s">
        <v>237</v>
      </c>
      <c r="G1747" s="77" t="s">
        <v>220</v>
      </c>
      <c r="H1747" t="str">
        <f>VLOOKUP(D1747,'DETALLE PRECIO INGREDIENTES'!B:B,1,0)</f>
        <v>GLUCOSA</v>
      </c>
    </row>
    <row r="1748" spans="2:8" ht="15.5" hidden="1" x14ac:dyDescent="0.35">
      <c r="B1748" s="75" t="s">
        <v>80</v>
      </c>
      <c r="C1748" s="80" t="s">
        <v>71</v>
      </c>
      <c r="D1748" s="73" t="s">
        <v>511</v>
      </c>
      <c r="E1748" s="74">
        <v>1.5</v>
      </c>
      <c r="F1748" s="78" t="s">
        <v>259</v>
      </c>
      <c r="G1748" s="77" t="s">
        <v>485</v>
      </c>
      <c r="H1748" t="str">
        <f>VLOOKUP(D1748,'DETALLE PRECIO INGREDIENTES'!B:B,1,0)</f>
        <v>PAPEL CERESINADO PLIEGO</v>
      </c>
    </row>
    <row r="1749" spans="2:8" ht="15.5" hidden="1" x14ac:dyDescent="0.35">
      <c r="B1749" s="75" t="s">
        <v>80</v>
      </c>
      <c r="C1749" s="80" t="s">
        <v>71</v>
      </c>
      <c r="D1749" s="73" t="s">
        <v>503</v>
      </c>
      <c r="E1749" s="74">
        <v>2</v>
      </c>
      <c r="F1749" s="78" t="s">
        <v>259</v>
      </c>
      <c r="G1749" s="77" t="s">
        <v>485</v>
      </c>
      <c r="H1749" t="str">
        <f>VLOOKUP(D1749,'DETALLE PRECIO INGREDIENTES'!B:B,1,0)</f>
        <v>MANGAS DESECHABLES PEQUEÑAS</v>
      </c>
    </row>
    <row r="1750" spans="2:8" ht="15.5" hidden="1" x14ac:dyDescent="0.35">
      <c r="B1750" s="75" t="s">
        <v>80</v>
      </c>
      <c r="C1750" s="80" t="s">
        <v>71</v>
      </c>
      <c r="D1750" s="73" t="s">
        <v>502</v>
      </c>
      <c r="E1750" s="74">
        <v>1</v>
      </c>
      <c r="F1750" s="78" t="s">
        <v>259</v>
      </c>
      <c r="G1750" s="77" t="s">
        <v>485</v>
      </c>
      <c r="H1750" t="str">
        <f>VLOOKUP(D1750,'DETALLE PRECIO INGREDIENTES'!B:B,1,0)</f>
        <v>MANGAS DESECHABLES MEDIANAS</v>
      </c>
    </row>
    <row r="1751" spans="2:8" ht="15.5" x14ac:dyDescent="0.35">
      <c r="B1751" s="75" t="s">
        <v>80</v>
      </c>
      <c r="C1751" s="80" t="s">
        <v>71</v>
      </c>
      <c r="D1751" s="73" t="s">
        <v>968</v>
      </c>
      <c r="E1751" s="74">
        <v>2</v>
      </c>
      <c r="F1751" s="78" t="s">
        <v>259</v>
      </c>
      <c r="G1751" s="77" t="s">
        <v>485</v>
      </c>
      <c r="H1751" t="e">
        <f>VLOOKUP(D1751,'DETALLE PRECIO INGREDIENTES'!B:B,1,0)</f>
        <v>#N/A</v>
      </c>
    </row>
    <row r="1752" spans="2:8" ht="15.5" hidden="1" x14ac:dyDescent="0.35">
      <c r="B1752" s="75" t="s">
        <v>80</v>
      </c>
      <c r="C1752" s="80" t="s">
        <v>71</v>
      </c>
      <c r="D1752" s="73" t="s">
        <v>318</v>
      </c>
      <c r="E1752" s="74">
        <v>2</v>
      </c>
      <c r="F1752" s="78" t="s">
        <v>259</v>
      </c>
      <c r="G1752" s="77" t="s">
        <v>220</v>
      </c>
      <c r="H1752" t="str">
        <f>VLOOKUP(D1752,'DETALLE PRECIO INGREDIENTES'!B:B,1,0)</f>
        <v>CUCHARAS DE MADERA</v>
      </c>
    </row>
    <row r="1753" spans="2:8" ht="15.5" hidden="1" x14ac:dyDescent="0.35">
      <c r="B1753" s="75" t="s">
        <v>69</v>
      </c>
      <c r="C1753" s="80" t="s">
        <v>67</v>
      </c>
      <c r="D1753" s="73" t="s">
        <v>228</v>
      </c>
      <c r="E1753" s="74">
        <v>3.1250000000000002E-3</v>
      </c>
      <c r="F1753" s="78" t="s">
        <v>222</v>
      </c>
      <c r="G1753" s="77" t="s">
        <v>220</v>
      </c>
      <c r="H1753" t="str">
        <f>VLOOKUP(D1753,'DETALLE PRECIO INGREDIENTES'!B:B,1,0)</f>
        <v>ACEITE DE MARAVILLA</v>
      </c>
    </row>
    <row r="1754" spans="2:8" ht="15.5" hidden="1" x14ac:dyDescent="0.35">
      <c r="B1754" s="75" t="s">
        <v>69</v>
      </c>
      <c r="C1754" s="80" t="s">
        <v>67</v>
      </c>
      <c r="D1754" s="73" t="s">
        <v>230</v>
      </c>
      <c r="E1754" s="74">
        <v>1.4999999999999999E-2</v>
      </c>
      <c r="F1754" s="78" t="s">
        <v>222</v>
      </c>
      <c r="G1754" s="77" t="s">
        <v>220</v>
      </c>
      <c r="H1754" t="str">
        <f>VLOOKUP(D1754,'DETALLE PRECIO INGREDIENTES'!B:B,1,0)</f>
        <v>ACEITE DE OLIVA</v>
      </c>
    </row>
    <row r="1755" spans="2:8" ht="15.5" hidden="1" x14ac:dyDescent="0.35">
      <c r="B1755" s="75" t="s">
        <v>69</v>
      </c>
      <c r="C1755" s="80" t="s">
        <v>67</v>
      </c>
      <c r="D1755" s="73" t="s">
        <v>233</v>
      </c>
      <c r="E1755" s="74">
        <v>7.4999999999999997E-2</v>
      </c>
      <c r="F1755" s="78" t="s">
        <v>222</v>
      </c>
      <c r="G1755" s="77" t="s">
        <v>220</v>
      </c>
      <c r="H1755" t="str">
        <f>VLOOKUP(D1755,'DETALLE PRECIO INGREDIENTES'!B:B,1,0)</f>
        <v>ACEITE PARA FREIR</v>
      </c>
    </row>
    <row r="1756" spans="2:8" ht="15.5" hidden="1" x14ac:dyDescent="0.35">
      <c r="B1756" s="75" t="s">
        <v>69</v>
      </c>
      <c r="C1756" s="80" t="s">
        <v>67</v>
      </c>
      <c r="D1756" s="73" t="s">
        <v>627</v>
      </c>
      <c r="E1756" s="74">
        <v>3.1250000000000002E-3</v>
      </c>
      <c r="F1756" s="78" t="s">
        <v>237</v>
      </c>
      <c r="G1756" s="77" t="s">
        <v>621</v>
      </c>
      <c r="H1756" t="str">
        <f>VLOOKUP(D1756,'DETALLE PRECIO INGREDIENTES'!B:B,1,0)</f>
        <v>AJI VERDE</v>
      </c>
    </row>
    <row r="1757" spans="2:8" ht="15.5" hidden="1" x14ac:dyDescent="0.35">
      <c r="B1757" s="75" t="s">
        <v>69</v>
      </c>
      <c r="C1757" s="80" t="s">
        <v>67</v>
      </c>
      <c r="D1757" s="73" t="s">
        <v>628</v>
      </c>
      <c r="E1757" s="74">
        <v>1.25E-3</v>
      </c>
      <c r="F1757" s="78" t="s">
        <v>259</v>
      </c>
      <c r="G1757" s="77" t="s">
        <v>621</v>
      </c>
      <c r="H1757" t="str">
        <f>VLOOKUP(D1757,'DETALLE PRECIO INGREDIENTES'!B:B,1,0)</f>
        <v>AJO CABEZA</v>
      </c>
    </row>
    <row r="1758" spans="2:8" ht="15.5" hidden="1" x14ac:dyDescent="0.35">
      <c r="B1758" s="75" t="s">
        <v>69</v>
      </c>
      <c r="C1758" s="80" t="s">
        <v>67</v>
      </c>
      <c r="D1758" s="73" t="s">
        <v>256</v>
      </c>
      <c r="E1758" s="74">
        <v>6.2500000000000001E-4</v>
      </c>
      <c r="F1758" s="78" t="s">
        <v>237</v>
      </c>
      <c r="G1758" s="77" t="s">
        <v>220</v>
      </c>
      <c r="H1758" t="str">
        <f>VLOOKUP(D1758,'DETALLE PRECIO INGREDIENTES'!B:B,1,0)</f>
        <v>ALCAPARRAS</v>
      </c>
    </row>
    <row r="1759" spans="2:8" ht="15.5" hidden="1" x14ac:dyDescent="0.35">
      <c r="B1759" s="75" t="s">
        <v>69</v>
      </c>
      <c r="C1759" s="80" t="s">
        <v>67</v>
      </c>
      <c r="D1759" s="73" t="s">
        <v>277</v>
      </c>
      <c r="E1759" s="74">
        <v>1.4999999999999999E-2</v>
      </c>
      <c r="F1759" s="78" t="s">
        <v>237</v>
      </c>
      <c r="G1759" s="77" t="s">
        <v>220</v>
      </c>
      <c r="H1759" t="str">
        <f>VLOOKUP(D1759,'DETALLE PRECIO INGREDIENTES'!B:B,1,0)</f>
        <v>AZUCAR BLANCA GRANULADA</v>
      </c>
    </row>
    <row r="1760" spans="2:8" ht="15.5" hidden="1" x14ac:dyDescent="0.35">
      <c r="B1760" s="75" t="s">
        <v>69</v>
      </c>
      <c r="C1760" s="80" t="s">
        <v>67</v>
      </c>
      <c r="D1760" s="73" t="s">
        <v>642</v>
      </c>
      <c r="E1760" s="74">
        <v>2.5000000000000001E-3</v>
      </c>
      <c r="F1760" s="78" t="s">
        <v>237</v>
      </c>
      <c r="G1760" s="77" t="s">
        <v>621</v>
      </c>
      <c r="H1760" t="str">
        <f>VLOOKUP(D1760,'DETALLE PRECIO INGREDIENTES'!B:B,1,0)</f>
        <v>BROTES DE ARVEJA</v>
      </c>
    </row>
    <row r="1761" spans="2:8" ht="15.5" hidden="1" x14ac:dyDescent="0.35">
      <c r="B1761" s="75" t="s">
        <v>69</v>
      </c>
      <c r="C1761" s="80" t="s">
        <v>67</v>
      </c>
      <c r="D1761" s="73" t="s">
        <v>644</v>
      </c>
      <c r="E1761" s="74">
        <v>0.05</v>
      </c>
      <c r="F1761" s="78" t="s">
        <v>237</v>
      </c>
      <c r="G1761" s="77" t="s">
        <v>621</v>
      </c>
      <c r="H1761" t="str">
        <f>VLOOKUP(D1761,'DETALLE PRECIO INGREDIENTES'!B:B,1,0)</f>
        <v>CEBOLLA BLANCA</v>
      </c>
    </row>
    <row r="1762" spans="2:8" ht="15.5" hidden="1" x14ac:dyDescent="0.35">
      <c r="B1762" s="75" t="s">
        <v>69</v>
      </c>
      <c r="C1762" s="80" t="s">
        <v>67</v>
      </c>
      <c r="D1762" s="73" t="s">
        <v>549</v>
      </c>
      <c r="E1762" s="74">
        <v>8.0000000000000002E-3</v>
      </c>
      <c r="F1762" s="78" t="s">
        <v>222</v>
      </c>
      <c r="G1762" s="77" t="s">
        <v>548</v>
      </c>
      <c r="H1762" t="str">
        <f>VLOOKUP(D1762,'DETALLE PRECIO INGREDIENTES'!B:B,1,0)</f>
        <v>CERVEZA CRISTAL</v>
      </c>
    </row>
    <row r="1763" spans="2:8" ht="15.5" hidden="1" x14ac:dyDescent="0.35">
      <c r="B1763" s="75" t="s">
        <v>69</v>
      </c>
      <c r="C1763" s="80" t="s">
        <v>67</v>
      </c>
      <c r="D1763" s="73" t="s">
        <v>649</v>
      </c>
      <c r="E1763" s="74">
        <v>0.25</v>
      </c>
      <c r="F1763" s="78" t="s">
        <v>259</v>
      </c>
      <c r="G1763" s="77" t="s">
        <v>621</v>
      </c>
      <c r="H1763" t="str">
        <f>VLOOKUP(D1763,'DETALLE PRECIO INGREDIENTES'!B:B,1,0)</f>
        <v>CHALOTA</v>
      </c>
    </row>
    <row r="1764" spans="2:8" ht="15.5" hidden="1" x14ac:dyDescent="0.35">
      <c r="B1764" s="75" t="s">
        <v>69</v>
      </c>
      <c r="C1764" s="80" t="s">
        <v>67</v>
      </c>
      <c r="D1764" s="73" t="s">
        <v>656</v>
      </c>
      <c r="E1764" s="74">
        <v>0.01</v>
      </c>
      <c r="F1764" s="78" t="s">
        <v>259</v>
      </c>
      <c r="G1764" s="77" t="s">
        <v>621</v>
      </c>
      <c r="H1764" t="str">
        <f>VLOOKUP(D1764,'DETALLE PRECIO INGREDIENTES'!B:B,1,0)</f>
        <v>CIBOULETTE ATADO</v>
      </c>
    </row>
    <row r="1765" spans="2:8" ht="15.5" hidden="1" x14ac:dyDescent="0.35">
      <c r="B1765" s="75" t="s">
        <v>69</v>
      </c>
      <c r="C1765" s="80" t="s">
        <v>67</v>
      </c>
      <c r="D1765" s="73" t="s">
        <v>657</v>
      </c>
      <c r="E1765" s="74">
        <v>5.0000000000000001E-3</v>
      </c>
      <c r="F1765" s="78" t="s">
        <v>237</v>
      </c>
      <c r="G1765" s="77" t="s">
        <v>621</v>
      </c>
      <c r="H1765" t="str">
        <f>VLOOKUP(D1765,'DETALLE PRECIO INGREDIENTES'!B:B,1,0)</f>
        <v>CILANTRO</v>
      </c>
    </row>
    <row r="1766" spans="2:8" ht="15.5" hidden="1" x14ac:dyDescent="0.35">
      <c r="B1766" s="75" t="s">
        <v>69</v>
      </c>
      <c r="C1766" s="80" t="s">
        <v>67</v>
      </c>
      <c r="D1766" s="73" t="s">
        <v>739</v>
      </c>
      <c r="E1766" s="74">
        <v>8.0000000000000002E-3</v>
      </c>
      <c r="F1766" s="78" t="s">
        <v>222</v>
      </c>
      <c r="G1766" s="77" t="s">
        <v>736</v>
      </c>
      <c r="H1766" t="str">
        <f>VLOOKUP(D1766,'DETALLE PRECIO INGREDIENTES'!B:B,1,0)</f>
        <v>CREMA DE LECHE</v>
      </c>
    </row>
    <row r="1767" spans="2:8" ht="15.5" hidden="1" x14ac:dyDescent="0.35">
      <c r="B1767" s="75" t="s">
        <v>69</v>
      </c>
      <c r="C1767" s="80" t="s">
        <v>67</v>
      </c>
      <c r="D1767" s="73" t="s">
        <v>840</v>
      </c>
      <c r="E1767" s="74">
        <v>0.02</v>
      </c>
      <c r="F1767" s="78" t="s">
        <v>237</v>
      </c>
      <c r="G1767" s="77" t="s">
        <v>839</v>
      </c>
      <c r="H1767" t="str">
        <f>VLOOKUP(D1767,'DETALLE PRECIO INGREDIENTES'!B:B,1,0)</f>
        <v>HUESOS DE POLLO</v>
      </c>
    </row>
    <row r="1768" spans="2:8" ht="15.5" hidden="1" x14ac:dyDescent="0.35">
      <c r="B1768" s="75" t="s">
        <v>69</v>
      </c>
      <c r="C1768" s="80" t="s">
        <v>67</v>
      </c>
      <c r="D1768" s="73" t="s">
        <v>542</v>
      </c>
      <c r="E1768" s="74">
        <v>0.01</v>
      </c>
      <c r="F1768" s="78" t="s">
        <v>237</v>
      </c>
      <c r="G1768" s="77" t="s">
        <v>525</v>
      </c>
      <c r="H1768" t="str">
        <f>VLOOKUP(D1768,'DETALLE PRECIO INGREDIENTES'!B:B,1,0)</f>
        <v>JAMON SERRANO LAMINADO</v>
      </c>
    </row>
    <row r="1769" spans="2:8" ht="15.5" hidden="1" x14ac:dyDescent="0.35">
      <c r="B1769" s="75" t="s">
        <v>69</v>
      </c>
      <c r="C1769" s="80" t="s">
        <v>67</v>
      </c>
      <c r="D1769" s="73" t="s">
        <v>680</v>
      </c>
      <c r="E1769" s="74">
        <v>2.5000000000000001E-2</v>
      </c>
      <c r="F1769" s="78" t="s">
        <v>237</v>
      </c>
      <c r="G1769" s="77" t="s">
        <v>621</v>
      </c>
      <c r="H1769" t="str">
        <f>VLOOKUP(D1769,'DETALLE PRECIO INGREDIENTES'!B:B,1,0)</f>
        <v>LIMON DE JUGO</v>
      </c>
    </row>
    <row r="1770" spans="2:8" ht="15.5" hidden="1" x14ac:dyDescent="0.35">
      <c r="B1770" s="75" t="s">
        <v>69</v>
      </c>
      <c r="C1770" s="80" t="s">
        <v>67</v>
      </c>
      <c r="D1770" s="73" t="s">
        <v>750</v>
      </c>
      <c r="E1770" s="74">
        <v>1.4999999999999999E-2</v>
      </c>
      <c r="F1770" s="78" t="s">
        <v>237</v>
      </c>
      <c r="G1770" s="77" t="s">
        <v>736</v>
      </c>
      <c r="H1770" t="str">
        <f>VLOOKUP(D1770,'DETALLE PRECIO INGREDIENTES'!B:B,1,0)</f>
        <v>MANTEQUILLA CON SAL</v>
      </c>
    </row>
    <row r="1771" spans="2:8" ht="15.5" hidden="1" x14ac:dyDescent="0.35">
      <c r="B1771" s="75" t="s">
        <v>69</v>
      </c>
      <c r="C1771" s="80" t="s">
        <v>67</v>
      </c>
      <c r="D1771" s="73" t="s">
        <v>386</v>
      </c>
      <c r="E1771" s="74">
        <v>6.2500000000000003E-3</v>
      </c>
      <c r="F1771" s="78" t="s">
        <v>237</v>
      </c>
      <c r="G1771" s="77" t="s">
        <v>220</v>
      </c>
      <c r="H1771" t="str">
        <f>VLOOKUP(D1771,'DETALLE PRECIO INGREDIENTES'!B:B,1,0)</f>
        <v>MAYONESA HELLMANS DELI</v>
      </c>
    </row>
    <row r="1772" spans="2:8" ht="15.5" hidden="1" x14ac:dyDescent="0.35">
      <c r="B1772" s="75" t="s">
        <v>69</v>
      </c>
      <c r="C1772" s="80" t="s">
        <v>67</v>
      </c>
      <c r="D1772" s="73" t="s">
        <v>397</v>
      </c>
      <c r="E1772" s="74">
        <v>0.01</v>
      </c>
      <c r="F1772" s="78" t="s">
        <v>237</v>
      </c>
      <c r="G1772" s="77" t="s">
        <v>220</v>
      </c>
      <c r="H1772" t="str">
        <f>VLOOKUP(D1772,'DETALLE PRECIO INGREDIENTES'!B:B,1,0)</f>
        <v>MOSTAZA</v>
      </c>
    </row>
    <row r="1773" spans="2:8" ht="15.5" hidden="1" x14ac:dyDescent="0.35">
      <c r="B1773" s="75" t="s">
        <v>69</v>
      </c>
      <c r="C1773" s="80" t="s">
        <v>67</v>
      </c>
      <c r="D1773" s="73" t="s">
        <v>399</v>
      </c>
      <c r="E1773" s="74">
        <v>4.3750000000000004E-3</v>
      </c>
      <c r="F1773" s="78" t="s">
        <v>237</v>
      </c>
      <c r="G1773" s="77" t="s">
        <v>220</v>
      </c>
      <c r="H1773" t="str">
        <f>VLOOKUP(D1773,'DETALLE PRECIO INGREDIENTES'!B:B,1,0)</f>
        <v>MOSTAZA DIJON ANTIGUA-GRANO</v>
      </c>
    </row>
    <row r="1774" spans="2:8" ht="15.5" hidden="1" x14ac:dyDescent="0.35">
      <c r="B1774" s="75" t="s">
        <v>69</v>
      </c>
      <c r="C1774" s="80" t="s">
        <v>67</v>
      </c>
      <c r="D1774" s="73" t="s">
        <v>406</v>
      </c>
      <c r="E1774" s="74">
        <v>1.8749999999999999E-3</v>
      </c>
      <c r="F1774" s="78" t="s">
        <v>237</v>
      </c>
      <c r="G1774" s="77" t="s">
        <v>220</v>
      </c>
      <c r="H1774" t="str">
        <f>VLOOKUP(D1774,'DETALLE PRECIO INGREDIENTES'!B:B,1,0)</f>
        <v>OREGANO FRESCO</v>
      </c>
    </row>
    <row r="1775" spans="2:8" ht="15.5" hidden="1" x14ac:dyDescent="0.35">
      <c r="B1775" s="75" t="s">
        <v>69</v>
      </c>
      <c r="C1775" s="80" t="s">
        <v>67</v>
      </c>
      <c r="D1775" s="73" t="s">
        <v>691</v>
      </c>
      <c r="E1775" s="74">
        <v>0.02</v>
      </c>
      <c r="F1775" s="78" t="s">
        <v>237</v>
      </c>
      <c r="G1775" s="77" t="s">
        <v>621</v>
      </c>
      <c r="H1775" t="str">
        <f>VLOOKUP(D1775,'DETALLE PRECIO INGREDIENTES'!B:B,1,0)</f>
        <v>PALTA HASS</v>
      </c>
    </row>
    <row r="1776" spans="2:8" ht="15.5" hidden="1" x14ac:dyDescent="0.35">
      <c r="B1776" s="75" t="s">
        <v>69</v>
      </c>
      <c r="C1776" s="80" t="s">
        <v>67</v>
      </c>
      <c r="D1776" s="73" t="s">
        <v>797</v>
      </c>
      <c r="E1776" s="74">
        <v>0.16</v>
      </c>
      <c r="F1776" s="78" t="s">
        <v>259</v>
      </c>
      <c r="G1776" s="77" t="s">
        <v>795</v>
      </c>
      <c r="H1776" t="str">
        <f>VLOOKUP(D1776,'DETALLE PRECIO INGREDIENTES'!B:B,1,0)</f>
        <v>PAN BAGUETTE NORMAL</v>
      </c>
    </row>
    <row r="1777" spans="2:8" ht="15.5" hidden="1" x14ac:dyDescent="0.35">
      <c r="B1777" s="75" t="s">
        <v>69</v>
      </c>
      <c r="C1777" s="80" t="s">
        <v>67</v>
      </c>
      <c r="D1777" s="73" t="s">
        <v>800</v>
      </c>
      <c r="E1777" s="74">
        <v>1.25</v>
      </c>
      <c r="F1777" s="78" t="s">
        <v>259</v>
      </c>
      <c r="G1777" s="77" t="s">
        <v>795</v>
      </c>
      <c r="H1777" t="str">
        <f>VLOOKUP(D1777,'DETALLE PRECIO INGREDIENTES'!B:B,1,0)</f>
        <v>PAN FRICA MINI</v>
      </c>
    </row>
    <row r="1778" spans="2:8" ht="15.5" hidden="1" x14ac:dyDescent="0.35">
      <c r="B1778" s="75" t="s">
        <v>69</v>
      </c>
      <c r="C1778" s="80" t="s">
        <v>67</v>
      </c>
      <c r="D1778" s="73" t="s">
        <v>692</v>
      </c>
      <c r="E1778" s="74">
        <v>1.4999999999999999E-2</v>
      </c>
      <c r="F1778" s="78" t="s">
        <v>237</v>
      </c>
      <c r="G1778" s="77" t="s">
        <v>621</v>
      </c>
      <c r="H1778" t="str">
        <f>VLOOKUP(D1778,'DETALLE PRECIO INGREDIENTES'!B:B,1,0)</f>
        <v>PAPA CAMOTE</v>
      </c>
    </row>
    <row r="1779" spans="2:8" ht="15.5" hidden="1" x14ac:dyDescent="0.35">
      <c r="B1779" s="75" t="s">
        <v>69</v>
      </c>
      <c r="C1779" s="80" t="s">
        <v>67</v>
      </c>
      <c r="D1779" s="73" t="s">
        <v>604</v>
      </c>
      <c r="E1779" s="74">
        <v>3.1250000000000002E-3</v>
      </c>
      <c r="F1779" s="78" t="s">
        <v>237</v>
      </c>
      <c r="G1779" s="77" t="s">
        <v>601</v>
      </c>
      <c r="H1779" t="str">
        <f>VLOOKUP(D1779,'DETALLE PRECIO INGREDIENTES'!B:B,1,0)</f>
        <v>PEPINILLO DILL</v>
      </c>
    </row>
    <row r="1780" spans="2:8" ht="15.5" hidden="1" x14ac:dyDescent="0.35">
      <c r="B1780" s="75" t="s">
        <v>69</v>
      </c>
      <c r="C1780" s="80" t="s">
        <v>67</v>
      </c>
      <c r="D1780" s="73" t="s">
        <v>843</v>
      </c>
      <c r="E1780" s="74">
        <v>1.4999999999999999E-2</v>
      </c>
      <c r="F1780" s="78" t="s">
        <v>237</v>
      </c>
      <c r="G1780" s="77" t="s">
        <v>839</v>
      </c>
      <c r="H1780" t="str">
        <f>VLOOKUP(D1780,'DETALLE PRECIO INGREDIENTES'!B:B,1,0)</f>
        <v>POLLO PECHUGA S/HUESO</v>
      </c>
    </row>
    <row r="1781" spans="2:8" ht="15.5" hidden="1" x14ac:dyDescent="0.35">
      <c r="B1781" s="75" t="s">
        <v>69</v>
      </c>
      <c r="C1781" s="80" t="s">
        <v>67</v>
      </c>
      <c r="D1781" s="73" t="s">
        <v>589</v>
      </c>
      <c r="E1781" s="74">
        <v>0.02</v>
      </c>
      <c r="F1781" s="78" t="s">
        <v>237</v>
      </c>
      <c r="G1781" s="77" t="s">
        <v>587</v>
      </c>
      <c r="H1781" t="str">
        <f>VLOOKUP(D1781,'DETALLE PRECIO INGREDIENTES'!B:B,1,0)</f>
        <v>POROTOS VERDES CONGELADOS</v>
      </c>
    </row>
    <row r="1782" spans="2:8" ht="15.5" hidden="1" x14ac:dyDescent="0.35">
      <c r="B1782" s="75" t="s">
        <v>69</v>
      </c>
      <c r="C1782" s="80" t="s">
        <v>67</v>
      </c>
      <c r="D1782" s="73" t="s">
        <v>759</v>
      </c>
      <c r="E1782" s="74">
        <v>0.02</v>
      </c>
      <c r="F1782" s="78" t="s">
        <v>237</v>
      </c>
      <c r="G1782" s="77" t="s">
        <v>736</v>
      </c>
      <c r="H1782" t="str">
        <f>VLOOKUP(D1782,'DETALLE PRECIO INGREDIENTES'!B:B,1,0)</f>
        <v>QUESO CREMA</v>
      </c>
    </row>
    <row r="1783" spans="2:8" ht="15.5" hidden="1" x14ac:dyDescent="0.35">
      <c r="B1783" s="75" t="s">
        <v>69</v>
      </c>
      <c r="C1783" s="80" t="s">
        <v>67</v>
      </c>
      <c r="D1783" s="73" t="s">
        <v>711</v>
      </c>
      <c r="E1783" s="74">
        <v>1.25E-3</v>
      </c>
      <c r="F1783" s="78" t="s">
        <v>237</v>
      </c>
      <c r="G1783" s="77" t="s">
        <v>621</v>
      </c>
      <c r="H1783" t="str">
        <f>VLOOKUP(D1783,'DETALLE PRECIO INGREDIENTES'!B:B,1,0)</f>
        <v>ROMERO FRESCO EN RAMA</v>
      </c>
    </row>
    <row r="1784" spans="2:8" ht="15.5" hidden="1" x14ac:dyDescent="0.35">
      <c r="B1784" s="75" t="s">
        <v>69</v>
      </c>
      <c r="C1784" s="80" t="s">
        <v>67</v>
      </c>
      <c r="D1784" s="73" t="s">
        <v>712</v>
      </c>
      <c r="E1784" s="74">
        <v>0.01</v>
      </c>
      <c r="F1784" s="78" t="s">
        <v>237</v>
      </c>
      <c r="G1784" s="77" t="s">
        <v>621</v>
      </c>
      <c r="H1784" t="str">
        <f>VLOOKUP(D1784,'DETALLE PRECIO INGREDIENTES'!B:B,1,0)</f>
        <v>RUCULA</v>
      </c>
    </row>
    <row r="1785" spans="2:8" ht="15.5" hidden="1" x14ac:dyDescent="0.35">
      <c r="B1785" s="75" t="s">
        <v>69</v>
      </c>
      <c r="C1785" s="80" t="s">
        <v>67</v>
      </c>
      <c r="D1785" s="73" t="s">
        <v>838</v>
      </c>
      <c r="E1785" s="74">
        <v>0.01</v>
      </c>
      <c r="F1785" s="78" t="s">
        <v>237</v>
      </c>
      <c r="G1785" s="77" t="s">
        <v>806</v>
      </c>
      <c r="H1785" t="str">
        <f>VLOOKUP(D1785,'DETALLE PRECIO INGREDIENTES'!B:B,1,0)</f>
        <v>SALMON FRESCO FILETE C/PIEL</v>
      </c>
    </row>
    <row r="1786" spans="2:8" ht="15.5" hidden="1" x14ac:dyDescent="0.35">
      <c r="B1786" s="75" t="s">
        <v>69</v>
      </c>
      <c r="C1786" s="80" t="s">
        <v>67</v>
      </c>
      <c r="D1786" s="73" t="s">
        <v>463</v>
      </c>
      <c r="E1786" s="74">
        <v>6.2500000000000001E-4</v>
      </c>
      <c r="F1786" s="78" t="s">
        <v>237</v>
      </c>
      <c r="G1786" s="77" t="s">
        <v>220</v>
      </c>
      <c r="H1786" t="str">
        <f>VLOOKUP(D1786,'DETALLE PRECIO INGREDIENTES'!B:B,1,0)</f>
        <v>TAJIN</v>
      </c>
    </row>
    <row r="1787" spans="2:8" ht="15.5" hidden="1" x14ac:dyDescent="0.35">
      <c r="B1787" s="75" t="s">
        <v>69</v>
      </c>
      <c r="C1787" s="80" t="s">
        <v>67</v>
      </c>
      <c r="D1787" s="73" t="s">
        <v>716</v>
      </c>
      <c r="E1787" s="74">
        <v>6.2500000000000003E-3</v>
      </c>
      <c r="F1787" s="78" t="s">
        <v>237</v>
      </c>
      <c r="G1787" s="77" t="s">
        <v>621</v>
      </c>
      <c r="H1787" t="str">
        <f>VLOOKUP(D1787,'DETALLE PRECIO INGREDIENTES'!B:B,1,0)</f>
        <v>TOMATE LARGA VIDA</v>
      </c>
    </row>
    <row r="1788" spans="2:8" ht="15.5" hidden="1" x14ac:dyDescent="0.35">
      <c r="B1788" s="75" t="s">
        <v>69</v>
      </c>
      <c r="C1788" s="80" t="s">
        <v>67</v>
      </c>
      <c r="D1788" s="73" t="s">
        <v>467</v>
      </c>
      <c r="E1788" s="74">
        <v>3.2500000000000001E-2</v>
      </c>
      <c r="F1788" s="78" t="s">
        <v>259</v>
      </c>
      <c r="G1788" s="77" t="s">
        <v>220</v>
      </c>
      <c r="H1788" t="str">
        <f>VLOOKUP(D1788,'DETALLE PRECIO INGREDIENTES'!B:B,1,0)</f>
        <v>TORTILLAS MEXICANA TRIGO 10 UN</v>
      </c>
    </row>
    <row r="1789" spans="2:8" ht="15.5" hidden="1" x14ac:dyDescent="0.35">
      <c r="B1789" s="75" t="s">
        <v>69</v>
      </c>
      <c r="C1789" s="80" t="s">
        <v>67</v>
      </c>
      <c r="D1789" s="73" t="s">
        <v>860</v>
      </c>
      <c r="E1789" s="74">
        <v>7.4999999999999997E-2</v>
      </c>
      <c r="F1789" s="78" t="s">
        <v>986</v>
      </c>
      <c r="G1789" s="77" t="s">
        <v>852</v>
      </c>
      <c r="H1789" t="str">
        <f>VLOOKUP(D1789,'DETALLE PRECIO INGREDIENTES'!B:B,1,0)</f>
        <v>VACUNO CHOCLILLO</v>
      </c>
    </row>
    <row r="1790" spans="2:8" ht="15.5" hidden="1" x14ac:dyDescent="0.35">
      <c r="B1790" s="75" t="s">
        <v>69</v>
      </c>
      <c r="C1790" s="80" t="s">
        <v>67</v>
      </c>
      <c r="D1790" s="73" t="s">
        <v>872</v>
      </c>
      <c r="E1790" s="74">
        <v>1.8749999999999999E-2</v>
      </c>
      <c r="F1790" s="78" t="s">
        <v>237</v>
      </c>
      <c r="G1790" s="77" t="s">
        <v>852</v>
      </c>
      <c r="H1790" t="str">
        <f>VLOOKUP(D1790,'DETALLE PRECIO INGREDIENTES'!B:B,1,0)</f>
        <v>VACUNO POSTA NEGRA</v>
      </c>
    </row>
    <row r="1791" spans="2:8" ht="15.5" hidden="1" x14ac:dyDescent="0.35">
      <c r="B1791" s="75" t="s">
        <v>69</v>
      </c>
      <c r="C1791" s="80" t="s">
        <v>67</v>
      </c>
      <c r="D1791" s="73" t="s">
        <v>476</v>
      </c>
      <c r="E1791" s="74">
        <v>1.8749999999999999E-3</v>
      </c>
      <c r="F1791" s="78" t="s">
        <v>222</v>
      </c>
      <c r="G1791" s="77" t="s">
        <v>220</v>
      </c>
      <c r="H1791" t="str">
        <f>VLOOKUP(D1791,'DETALLE PRECIO INGREDIENTES'!B:B,1,0)</f>
        <v>VINAGRE DE MANZANA</v>
      </c>
    </row>
    <row r="1792" spans="2:8" ht="15.5" hidden="1" x14ac:dyDescent="0.35">
      <c r="B1792" s="75" t="s">
        <v>69</v>
      </c>
      <c r="C1792" s="80" t="s">
        <v>67</v>
      </c>
      <c r="D1792" s="73" t="s">
        <v>882</v>
      </c>
      <c r="E1792" s="74">
        <v>2.5000000000000001E-2</v>
      </c>
      <c r="F1792" s="78" t="s">
        <v>222</v>
      </c>
      <c r="G1792" s="77" t="s">
        <v>876</v>
      </c>
      <c r="H1792" t="str">
        <f>VLOOKUP(D1792,'DETALLE PRECIO INGREDIENTES'!B:B,1,0)</f>
        <v>VINO TINTO TETRA</v>
      </c>
    </row>
    <row r="1793" spans="2:8" ht="15.5" hidden="1" x14ac:dyDescent="0.35">
      <c r="B1793" s="75" t="s">
        <v>69</v>
      </c>
      <c r="C1793" s="80" t="s">
        <v>66</v>
      </c>
      <c r="D1793" s="73" t="s">
        <v>230</v>
      </c>
      <c r="E1793" s="74">
        <v>4.6875000000000007E-3</v>
      </c>
      <c r="F1793" s="78" t="s">
        <v>222</v>
      </c>
      <c r="G1793" s="77" t="s">
        <v>220</v>
      </c>
      <c r="H1793" t="str">
        <f>VLOOKUP(D1793,'DETALLE PRECIO INGREDIENTES'!B:B,1,0)</f>
        <v>ACEITE DE OLIVA</v>
      </c>
    </row>
    <row r="1794" spans="2:8" ht="15.5" hidden="1" x14ac:dyDescent="0.35">
      <c r="B1794" s="75" t="s">
        <v>69</v>
      </c>
      <c r="C1794" s="80" t="s">
        <v>66</v>
      </c>
      <c r="D1794" s="73" t="s">
        <v>235</v>
      </c>
      <c r="E1794" s="74">
        <v>1.2500000000000001E-2</v>
      </c>
      <c r="F1794" s="78" t="s">
        <v>222</v>
      </c>
      <c r="G1794" s="77" t="s">
        <v>220</v>
      </c>
      <c r="H1794" t="str">
        <f>VLOOKUP(D1794,'DETALLE PRECIO INGREDIENTES'!B:B,1,0)</f>
        <v>ACEITE VEGETAL</v>
      </c>
    </row>
    <row r="1795" spans="2:8" ht="15.5" hidden="1" x14ac:dyDescent="0.35">
      <c r="B1795" s="75" t="s">
        <v>69</v>
      </c>
      <c r="C1795" s="80" t="s">
        <v>66</v>
      </c>
      <c r="D1795" s="73" t="s">
        <v>236</v>
      </c>
      <c r="E1795" s="74">
        <v>3.1250000000000002E-3</v>
      </c>
      <c r="F1795" s="78" t="s">
        <v>237</v>
      </c>
      <c r="G1795" s="77" t="s">
        <v>220</v>
      </c>
      <c r="H1795" t="str">
        <f>VLOOKUP(D1795,'DETALLE PRECIO INGREDIENTES'!B:B,1,0)</f>
        <v>ACEITUNAS MORADAS</v>
      </c>
    </row>
    <row r="1796" spans="2:8" ht="15.5" hidden="1" x14ac:dyDescent="0.35">
      <c r="B1796" s="75" t="s">
        <v>69</v>
      </c>
      <c r="C1796" s="80" t="s">
        <v>66</v>
      </c>
      <c r="D1796" s="73" t="s">
        <v>245</v>
      </c>
      <c r="E1796" s="74">
        <v>1.2500000000000001E-2</v>
      </c>
      <c r="F1796" s="78" t="s">
        <v>237</v>
      </c>
      <c r="G1796" s="77" t="s">
        <v>220</v>
      </c>
      <c r="H1796" t="str">
        <f>VLOOKUP(D1796,'DETALLE PRECIO INGREDIENTES'!B:B,1,0)</f>
        <v>AJI AMARILLO EN PASTA</v>
      </c>
    </row>
    <row r="1797" spans="2:8" ht="15.5" hidden="1" x14ac:dyDescent="0.35">
      <c r="B1797" s="75" t="s">
        <v>69</v>
      </c>
      <c r="C1797" s="80" t="s">
        <v>66</v>
      </c>
      <c r="D1797" s="73" t="s">
        <v>628</v>
      </c>
      <c r="E1797" s="74">
        <v>6.2500000000000001E-4</v>
      </c>
      <c r="F1797" s="78" t="s">
        <v>259</v>
      </c>
      <c r="G1797" s="77" t="s">
        <v>621</v>
      </c>
      <c r="H1797" t="str">
        <f>VLOOKUP(D1797,'DETALLE PRECIO INGREDIENTES'!B:B,1,0)</f>
        <v>AJO CABEZA</v>
      </c>
    </row>
    <row r="1798" spans="2:8" ht="15.5" hidden="1" x14ac:dyDescent="0.35">
      <c r="B1798" s="75" t="s">
        <v>69</v>
      </c>
      <c r="C1798" s="80" t="s">
        <v>66</v>
      </c>
      <c r="D1798" s="73" t="s">
        <v>256</v>
      </c>
      <c r="E1798" s="74">
        <v>1.5625000000000001E-3</v>
      </c>
      <c r="F1798" s="78" t="s">
        <v>237</v>
      </c>
      <c r="G1798" s="77" t="s">
        <v>220</v>
      </c>
      <c r="H1798" t="str">
        <f>VLOOKUP(D1798,'DETALLE PRECIO INGREDIENTES'!B:B,1,0)</f>
        <v>ALCAPARRAS</v>
      </c>
    </row>
    <row r="1799" spans="2:8" ht="15.5" x14ac:dyDescent="0.35">
      <c r="B1799" s="75" t="s">
        <v>69</v>
      </c>
      <c r="C1799" s="80" t="s">
        <v>66</v>
      </c>
      <c r="D1799" s="73" t="s">
        <v>903</v>
      </c>
      <c r="E1799" s="74">
        <v>6.2500000000000003E-3</v>
      </c>
      <c r="F1799" s="78" t="s">
        <v>259</v>
      </c>
      <c r="G1799" s="77" t="s">
        <v>621</v>
      </c>
      <c r="H1799" t="e">
        <f>VLOOKUP(D1799,'DETALLE PRECIO INGREDIENTES'!B:B,1,0)</f>
        <v>#N/A</v>
      </c>
    </row>
    <row r="1800" spans="2:8" ht="15.5" hidden="1" x14ac:dyDescent="0.35">
      <c r="B1800" s="75" t="s">
        <v>69</v>
      </c>
      <c r="C1800" s="80" t="s">
        <v>66</v>
      </c>
      <c r="D1800" s="73" t="s">
        <v>811</v>
      </c>
      <c r="E1800" s="74">
        <v>1.2500000000000001E-2</v>
      </c>
      <c r="F1800" s="78" t="s">
        <v>237</v>
      </c>
      <c r="G1800" s="77" t="s">
        <v>806</v>
      </c>
      <c r="H1800" t="str">
        <f>VLOOKUP(D1800,'DETALLE PRECIO INGREDIENTES'!B:B,1,0)</f>
        <v>ATUN FRESCO</v>
      </c>
    </row>
    <row r="1801" spans="2:8" ht="15.5" hidden="1" x14ac:dyDescent="0.35">
      <c r="B1801" s="75" t="s">
        <v>69</v>
      </c>
      <c r="C1801" s="80" t="s">
        <v>66</v>
      </c>
      <c r="D1801" s="73" t="s">
        <v>277</v>
      </c>
      <c r="E1801" s="74">
        <v>2.5999999999999999E-2</v>
      </c>
      <c r="F1801" s="78" t="s">
        <v>237</v>
      </c>
      <c r="G1801" s="77" t="s">
        <v>220</v>
      </c>
      <c r="H1801" t="str">
        <f>VLOOKUP(D1801,'DETALLE PRECIO INGREDIENTES'!B:B,1,0)</f>
        <v>AZUCAR BLANCA GRANULADA</v>
      </c>
    </row>
    <row r="1802" spans="2:8" ht="15.5" hidden="1" x14ac:dyDescent="0.35">
      <c r="B1802" s="75" t="s">
        <v>69</v>
      </c>
      <c r="C1802" s="80" t="s">
        <v>66</v>
      </c>
      <c r="D1802" s="73" t="s">
        <v>639</v>
      </c>
      <c r="E1802" s="74">
        <v>1.8749999999999999E-3</v>
      </c>
      <c r="F1802" s="78" t="s">
        <v>237</v>
      </c>
      <c r="G1802" s="77" t="s">
        <v>621</v>
      </c>
      <c r="H1802" t="str">
        <f>VLOOKUP(D1802,'DETALLE PRECIO INGREDIENTES'!B:B,1,0)</f>
        <v>BERROS</v>
      </c>
    </row>
    <row r="1803" spans="2:8" ht="15.5" hidden="1" x14ac:dyDescent="0.35">
      <c r="B1803" s="75" t="s">
        <v>69</v>
      </c>
      <c r="C1803" s="80" t="s">
        <v>66</v>
      </c>
      <c r="D1803" s="73" t="s">
        <v>643</v>
      </c>
      <c r="E1803" s="74">
        <v>3.1250000000000002E-3</v>
      </c>
      <c r="F1803" s="78" t="s">
        <v>259</v>
      </c>
      <c r="G1803" s="77" t="s">
        <v>621</v>
      </c>
      <c r="H1803" t="str">
        <f>VLOOKUP(D1803,'DETALLE PRECIO INGREDIENTES'!B:B,1,0)</f>
        <v>BROTES DE DECORACION</v>
      </c>
    </row>
    <row r="1804" spans="2:8" ht="15.5" hidden="1" x14ac:dyDescent="0.35">
      <c r="B1804" s="75" t="s">
        <v>69</v>
      </c>
      <c r="C1804" s="80" t="s">
        <v>66</v>
      </c>
      <c r="D1804" s="73" t="s">
        <v>816</v>
      </c>
      <c r="E1804" s="74">
        <v>1.2500000000000001E-2</v>
      </c>
      <c r="F1804" s="78" t="s">
        <v>237</v>
      </c>
      <c r="G1804" s="77" t="s">
        <v>806</v>
      </c>
      <c r="H1804" t="str">
        <f>VLOOKUP(D1804,'DETALLE PRECIO INGREDIENTES'!B:B,1,0)</f>
        <v>CAMARON ECUATORIANO 36-40</v>
      </c>
    </row>
    <row r="1805" spans="2:8" ht="15.5" hidden="1" x14ac:dyDescent="0.35">
      <c r="B1805" s="75" t="s">
        <v>69</v>
      </c>
      <c r="C1805" s="80" t="s">
        <v>66</v>
      </c>
      <c r="D1805" s="73" t="s">
        <v>644</v>
      </c>
      <c r="E1805" s="74">
        <v>2.5000000000000001E-2</v>
      </c>
      <c r="F1805" s="78" t="s">
        <v>237</v>
      </c>
      <c r="G1805" s="77" t="s">
        <v>621</v>
      </c>
      <c r="H1805" t="str">
        <f>VLOOKUP(D1805,'DETALLE PRECIO INGREDIENTES'!B:B,1,0)</f>
        <v>CEBOLLA BLANCA</v>
      </c>
    </row>
    <row r="1806" spans="2:8" ht="15.5" hidden="1" x14ac:dyDescent="0.35">
      <c r="B1806" s="75" t="s">
        <v>69</v>
      </c>
      <c r="C1806" s="80" t="s">
        <v>66</v>
      </c>
      <c r="D1806" s="73" t="s">
        <v>646</v>
      </c>
      <c r="E1806" s="74">
        <v>0.09</v>
      </c>
      <c r="F1806" s="78" t="s">
        <v>259</v>
      </c>
      <c r="G1806" s="77" t="s">
        <v>621</v>
      </c>
      <c r="H1806" t="str">
        <f>VLOOKUP(D1806,'DETALLE PRECIO INGREDIENTES'!B:B,1,0)</f>
        <v>CEBOLLIN</v>
      </c>
    </row>
    <row r="1807" spans="2:8" ht="15.5" hidden="1" x14ac:dyDescent="0.35">
      <c r="B1807" s="75" t="s">
        <v>69</v>
      </c>
      <c r="C1807" s="80" t="s">
        <v>66</v>
      </c>
      <c r="D1807" s="73" t="s">
        <v>311</v>
      </c>
      <c r="E1807" s="74">
        <v>3.7499999999999999E-3</v>
      </c>
      <c r="F1807" s="78" t="s">
        <v>237</v>
      </c>
      <c r="G1807" s="77" t="s">
        <v>220</v>
      </c>
      <c r="H1807" t="str">
        <f>VLOOKUP(D1807,'DETALLE PRECIO INGREDIENTES'!B:B,1,0)</f>
        <v>COUS COUS</v>
      </c>
    </row>
    <row r="1808" spans="2:8" ht="15.5" hidden="1" x14ac:dyDescent="0.35">
      <c r="B1808" s="75" t="s">
        <v>69</v>
      </c>
      <c r="C1808" s="80" t="s">
        <v>66</v>
      </c>
      <c r="D1808" s="73" t="s">
        <v>739</v>
      </c>
      <c r="E1808" s="74">
        <v>4.3750000000000004E-3</v>
      </c>
      <c r="F1808" s="78" t="s">
        <v>222</v>
      </c>
      <c r="G1808" s="77" t="s">
        <v>736</v>
      </c>
      <c r="H1808" t="str">
        <f>VLOOKUP(D1808,'DETALLE PRECIO INGREDIENTES'!B:B,1,0)</f>
        <v>CREMA DE LECHE</v>
      </c>
    </row>
    <row r="1809" spans="2:8" ht="15.5" hidden="1" x14ac:dyDescent="0.35">
      <c r="B1809" s="75" t="s">
        <v>69</v>
      </c>
      <c r="C1809" s="80" t="s">
        <v>66</v>
      </c>
      <c r="D1809" s="73" t="s">
        <v>667</v>
      </c>
      <c r="E1809" s="74">
        <v>4.3749999999999997E-2</v>
      </c>
      <c r="F1809" s="78" t="s">
        <v>259</v>
      </c>
      <c r="G1809" s="77" t="s">
        <v>621</v>
      </c>
      <c r="H1809" t="str">
        <f>VLOOKUP(D1809,'DETALLE PRECIO INGREDIENTES'!B:B,1,0)</f>
        <v>FONDOS DE ALCACHOFA</v>
      </c>
    </row>
    <row r="1810" spans="2:8" ht="15.5" hidden="1" x14ac:dyDescent="0.35">
      <c r="B1810" s="75" t="s">
        <v>69</v>
      </c>
      <c r="C1810" s="80" t="s">
        <v>66</v>
      </c>
      <c r="D1810" s="73" t="s">
        <v>675</v>
      </c>
      <c r="E1810" s="74">
        <v>1E-3</v>
      </c>
      <c r="F1810" s="78" t="s">
        <v>237</v>
      </c>
      <c r="G1810" s="77" t="s">
        <v>621</v>
      </c>
      <c r="H1810" t="str">
        <f>VLOOKUP(D1810,'DETALLE PRECIO INGREDIENTES'!B:B,1,0)</f>
        <v>JENGIBRE</v>
      </c>
    </row>
    <row r="1811" spans="2:8" ht="15.5" hidden="1" x14ac:dyDescent="0.35">
      <c r="B1811" s="75" t="s">
        <v>69</v>
      </c>
      <c r="C1811" s="80" t="s">
        <v>66</v>
      </c>
      <c r="D1811" s="73" t="s">
        <v>680</v>
      </c>
      <c r="E1811" s="74">
        <v>0.08</v>
      </c>
      <c r="F1811" s="78" t="s">
        <v>237</v>
      </c>
      <c r="G1811" s="77" t="s">
        <v>621</v>
      </c>
      <c r="H1811" t="str">
        <f>VLOOKUP(D1811,'DETALLE PRECIO INGREDIENTES'!B:B,1,0)</f>
        <v>LIMON DE JUGO</v>
      </c>
    </row>
    <row r="1812" spans="2:8" ht="15.5" hidden="1" x14ac:dyDescent="0.35">
      <c r="B1812" s="75" t="s">
        <v>69</v>
      </c>
      <c r="C1812" s="80" t="s">
        <v>66</v>
      </c>
      <c r="D1812" s="73" t="s">
        <v>681</v>
      </c>
      <c r="E1812" s="74">
        <v>0.06</v>
      </c>
      <c r="F1812" s="78" t="s">
        <v>237</v>
      </c>
      <c r="G1812" s="77" t="s">
        <v>621</v>
      </c>
      <c r="H1812" t="str">
        <f>VLOOKUP(D1812,'DETALLE PRECIO INGREDIENTES'!B:B,1,0)</f>
        <v>LIMON SUTIL</v>
      </c>
    </row>
    <row r="1813" spans="2:8" ht="15.5" hidden="1" x14ac:dyDescent="0.35">
      <c r="B1813" s="75" t="s">
        <v>69</v>
      </c>
      <c r="C1813" s="80" t="s">
        <v>66</v>
      </c>
      <c r="D1813" s="73" t="s">
        <v>682</v>
      </c>
      <c r="E1813" s="74">
        <v>3.7499999999999999E-3</v>
      </c>
      <c r="F1813" s="78" t="s">
        <v>237</v>
      </c>
      <c r="G1813" s="77" t="s">
        <v>621</v>
      </c>
      <c r="H1813" t="str">
        <f>VLOOKUP(D1813,'DETALLE PRECIO INGREDIENTES'!B:B,1,0)</f>
        <v>MANGO</v>
      </c>
    </row>
    <row r="1814" spans="2:8" ht="15.5" hidden="1" x14ac:dyDescent="0.35">
      <c r="B1814" s="75" t="s">
        <v>69</v>
      </c>
      <c r="C1814" s="80" t="s">
        <v>66</v>
      </c>
      <c r="D1814" s="73" t="s">
        <v>386</v>
      </c>
      <c r="E1814" s="74">
        <v>1.4999999999999999E-2</v>
      </c>
      <c r="F1814" s="78" t="s">
        <v>237</v>
      </c>
      <c r="G1814" s="77" t="s">
        <v>220</v>
      </c>
      <c r="H1814" t="str">
        <f>VLOOKUP(D1814,'DETALLE PRECIO INGREDIENTES'!B:B,1,0)</f>
        <v>MAYONESA HELLMANS DELI</v>
      </c>
    </row>
    <row r="1815" spans="2:8" ht="15.5" hidden="1" x14ac:dyDescent="0.35">
      <c r="B1815" s="75" t="s">
        <v>69</v>
      </c>
      <c r="C1815" s="80" t="s">
        <v>66</v>
      </c>
      <c r="D1815" s="73" t="s">
        <v>685</v>
      </c>
      <c r="E1815" s="74">
        <v>5.0000000000000001E-3</v>
      </c>
      <c r="F1815" s="78" t="s">
        <v>237</v>
      </c>
      <c r="G1815" s="77" t="s">
        <v>621</v>
      </c>
      <c r="H1815" t="str">
        <f>VLOOKUP(D1815,'DETALLE PRECIO INGREDIENTES'!B:B,1,0)</f>
        <v>MENTA</v>
      </c>
    </row>
    <row r="1816" spans="2:8" ht="15.5" hidden="1" x14ac:dyDescent="0.35">
      <c r="B1816" s="75" t="s">
        <v>69</v>
      </c>
      <c r="C1816" s="80" t="s">
        <v>66</v>
      </c>
      <c r="D1816" s="73" t="s">
        <v>398</v>
      </c>
      <c r="E1816" s="74">
        <v>9.3749999999999997E-4</v>
      </c>
      <c r="F1816" s="78" t="s">
        <v>237</v>
      </c>
      <c r="G1816" s="77" t="s">
        <v>220</v>
      </c>
      <c r="H1816" t="str">
        <f>VLOOKUP(D1816,'DETALLE PRECIO INGREDIENTES'!B:B,1,0)</f>
        <v>MOSTAZA DIJON</v>
      </c>
    </row>
    <row r="1817" spans="2:8" ht="15.5" hidden="1" x14ac:dyDescent="0.35">
      <c r="B1817" s="75" t="s">
        <v>69</v>
      </c>
      <c r="C1817" s="80" t="s">
        <v>66</v>
      </c>
      <c r="D1817" s="73" t="s">
        <v>690</v>
      </c>
      <c r="E1817" s="74">
        <v>1.2500000000000001E-2</v>
      </c>
      <c r="F1817" s="78" t="s">
        <v>237</v>
      </c>
      <c r="G1817" s="77" t="s">
        <v>621</v>
      </c>
      <c r="H1817" t="str">
        <f>VLOOKUP(D1817,'DETALLE PRECIO INGREDIENTES'!B:B,1,0)</f>
        <v>NARANJA DE JUGO</v>
      </c>
    </row>
    <row r="1818" spans="2:8" ht="15.5" hidden="1" x14ac:dyDescent="0.35">
      <c r="B1818" s="75" t="s">
        <v>69</v>
      </c>
      <c r="C1818" s="80" t="s">
        <v>66</v>
      </c>
      <c r="D1818" s="73" t="s">
        <v>691</v>
      </c>
      <c r="E1818" s="74">
        <v>2.4E-2</v>
      </c>
      <c r="F1818" s="78" t="s">
        <v>237</v>
      </c>
      <c r="G1818" s="77" t="s">
        <v>621</v>
      </c>
      <c r="H1818" t="str">
        <f>VLOOKUP(D1818,'DETALLE PRECIO INGREDIENTES'!B:B,1,0)</f>
        <v>PALTA HASS</v>
      </c>
    </row>
    <row r="1819" spans="2:8" ht="15.5" hidden="1" x14ac:dyDescent="0.35">
      <c r="B1819" s="75" t="s">
        <v>69</v>
      </c>
      <c r="C1819" s="80" t="s">
        <v>66</v>
      </c>
      <c r="D1819" s="73" t="s">
        <v>411</v>
      </c>
      <c r="E1819" s="74">
        <v>0.05</v>
      </c>
      <c r="F1819" s="78" t="s">
        <v>237</v>
      </c>
      <c r="G1819" s="77" t="s">
        <v>621</v>
      </c>
      <c r="H1819" t="str">
        <f>VLOOKUP(D1819,'DETALLE PRECIO INGREDIENTES'!B:B,1,0)</f>
        <v>PAPAS</v>
      </c>
    </row>
    <row r="1820" spans="2:8" ht="15.5" hidden="1" x14ac:dyDescent="0.35">
      <c r="B1820" s="75" t="s">
        <v>69</v>
      </c>
      <c r="C1820" s="80" t="s">
        <v>66</v>
      </c>
      <c r="D1820" s="73" t="s">
        <v>696</v>
      </c>
      <c r="E1820" s="74">
        <v>0.01</v>
      </c>
      <c r="F1820" s="78" t="s">
        <v>259</v>
      </c>
      <c r="G1820" s="77" t="s">
        <v>621</v>
      </c>
      <c r="H1820" t="str">
        <f>VLOOKUP(D1820,'DETALLE PRECIO INGREDIENTES'!B:B,1,0)</f>
        <v>PEPINO ENSALADA</v>
      </c>
    </row>
    <row r="1821" spans="2:8" ht="15.5" hidden="1" x14ac:dyDescent="0.35">
      <c r="B1821" s="75" t="s">
        <v>69</v>
      </c>
      <c r="C1821" s="80" t="s">
        <v>66</v>
      </c>
      <c r="D1821" s="73" t="s">
        <v>698</v>
      </c>
      <c r="E1821" s="74">
        <v>0.01</v>
      </c>
      <c r="F1821" s="78" t="s">
        <v>237</v>
      </c>
      <c r="G1821" s="77" t="s">
        <v>621</v>
      </c>
      <c r="H1821" t="str">
        <f>VLOOKUP(D1821,'DETALLE PRECIO INGREDIENTES'!B:B,1,0)</f>
        <v>PEREJIL</v>
      </c>
    </row>
    <row r="1822" spans="2:8" ht="15.5" hidden="1" x14ac:dyDescent="0.35">
      <c r="B1822" s="75" t="s">
        <v>69</v>
      </c>
      <c r="C1822" s="80" t="s">
        <v>66</v>
      </c>
      <c r="D1822" s="73" t="s">
        <v>843</v>
      </c>
      <c r="E1822" s="74">
        <v>0.05</v>
      </c>
      <c r="F1822" s="78" t="s">
        <v>237</v>
      </c>
      <c r="G1822" s="77" t="s">
        <v>839</v>
      </c>
      <c r="H1822" t="str">
        <f>VLOOKUP(D1822,'DETALLE PRECIO INGREDIENTES'!B:B,1,0)</f>
        <v>POLLO PECHUGA S/HUESO</v>
      </c>
    </row>
    <row r="1823" spans="2:8" ht="15.5" hidden="1" x14ac:dyDescent="0.35">
      <c r="B1823" s="75" t="s">
        <v>69</v>
      </c>
      <c r="C1823" s="80" t="s">
        <v>66</v>
      </c>
      <c r="D1823" s="73" t="s">
        <v>835</v>
      </c>
      <c r="E1823" s="74">
        <v>1.5625E-2</v>
      </c>
      <c r="F1823" s="78" t="s">
        <v>259</v>
      </c>
      <c r="G1823" s="77" t="s">
        <v>806</v>
      </c>
      <c r="H1823" t="str">
        <f>VLOOKUP(D1823,'DETALLE PRECIO INGREDIENTES'!B:B,1,0)</f>
        <v>PULPO ENTERO</v>
      </c>
    </row>
    <row r="1824" spans="2:8" ht="15.5" hidden="1" x14ac:dyDescent="0.35">
      <c r="B1824" s="75" t="s">
        <v>69</v>
      </c>
      <c r="C1824" s="80" t="s">
        <v>66</v>
      </c>
      <c r="D1824" s="73" t="s">
        <v>970</v>
      </c>
      <c r="E1824" s="74">
        <v>3.7499999999999999E-3</v>
      </c>
      <c r="F1824" s="78" t="s">
        <v>237</v>
      </c>
      <c r="G1824" s="77" t="s">
        <v>736</v>
      </c>
      <c r="H1824" t="str">
        <f>VLOOKUP(D1824,'DETALLE PRECIO INGREDIENTES'!B:B,1,0)</f>
        <v>queso fresco</v>
      </c>
    </row>
    <row r="1825" spans="2:8" ht="15.5" hidden="1" x14ac:dyDescent="0.35">
      <c r="B1825" s="75" t="s">
        <v>69</v>
      </c>
      <c r="C1825" s="80" t="s">
        <v>66</v>
      </c>
      <c r="D1825" s="73" t="s">
        <v>769</v>
      </c>
      <c r="E1825" s="74">
        <v>6.2500000000000001E-4</v>
      </c>
      <c r="F1825" s="78" t="s">
        <v>237</v>
      </c>
      <c r="G1825" s="77" t="s">
        <v>736</v>
      </c>
      <c r="H1825" t="str">
        <f>VLOOKUP(D1825,'DETALLE PRECIO INGREDIENTES'!B:B,1,0)</f>
        <v>QUESO PARMESANO</v>
      </c>
    </row>
    <row r="1826" spans="2:8" ht="15.5" hidden="1" x14ac:dyDescent="0.35">
      <c r="B1826" s="75" t="s">
        <v>69</v>
      </c>
      <c r="C1826" s="80" t="s">
        <v>66</v>
      </c>
      <c r="D1826" s="73" t="s">
        <v>458</v>
      </c>
      <c r="E1826" s="74">
        <v>3.0000000000000001E-3</v>
      </c>
      <c r="F1826" s="78" t="s">
        <v>237</v>
      </c>
      <c r="G1826" s="77" t="s">
        <v>220</v>
      </c>
      <c r="H1826" t="str">
        <f>VLOOKUP(D1826,'DETALLE PRECIO INGREDIENTES'!B:B,1,0)</f>
        <v>SEMILLAS DE SESAMO BLANCO</v>
      </c>
    </row>
    <row r="1827" spans="2:8" ht="15.5" hidden="1" x14ac:dyDescent="0.35">
      <c r="B1827" s="75" t="s">
        <v>69</v>
      </c>
      <c r="C1827" s="80" t="s">
        <v>66</v>
      </c>
      <c r="D1827" s="73" t="s">
        <v>459</v>
      </c>
      <c r="E1827" s="74">
        <v>3.0000000000000001E-3</v>
      </c>
      <c r="F1827" s="78" t="s">
        <v>237</v>
      </c>
      <c r="G1827" s="77" t="s">
        <v>220</v>
      </c>
      <c r="H1827" t="str">
        <f>VLOOKUP(D1827,'DETALLE PRECIO INGREDIENTES'!B:B,1,0)</f>
        <v>SEMILLAS DE SESAMO NEGRO</v>
      </c>
    </row>
    <row r="1828" spans="2:8" ht="15.5" hidden="1" x14ac:dyDescent="0.35">
      <c r="B1828" s="75" t="s">
        <v>69</v>
      </c>
      <c r="C1828" s="80" t="s">
        <v>66</v>
      </c>
      <c r="D1828" s="73" t="s">
        <v>715</v>
      </c>
      <c r="E1828" s="74">
        <v>3.1250000000000002E-3</v>
      </c>
      <c r="F1828" s="78" t="s">
        <v>237</v>
      </c>
      <c r="G1828" s="77" t="s">
        <v>621</v>
      </c>
      <c r="H1828" t="str">
        <f>VLOOKUP(D1828,'DETALLE PRECIO INGREDIENTES'!B:B,1,0)</f>
        <v>TOMATE CHERRY</v>
      </c>
    </row>
    <row r="1829" spans="2:8" ht="15.5" hidden="1" x14ac:dyDescent="0.35">
      <c r="B1829" s="75" t="s">
        <v>69</v>
      </c>
      <c r="C1829" s="80" t="s">
        <v>66</v>
      </c>
      <c r="D1829" s="73" t="s">
        <v>716</v>
      </c>
      <c r="E1829" s="74">
        <v>0.01</v>
      </c>
      <c r="F1829" s="78" t="s">
        <v>237</v>
      </c>
      <c r="G1829" s="77" t="s">
        <v>621</v>
      </c>
      <c r="H1829" t="str">
        <f>VLOOKUP(D1829,'DETALLE PRECIO INGREDIENTES'!B:B,1,0)</f>
        <v>TOMATE LARGA VIDA</v>
      </c>
    </row>
    <row r="1830" spans="2:8" ht="15.5" hidden="1" x14ac:dyDescent="0.35">
      <c r="B1830" s="75" t="s">
        <v>69</v>
      </c>
      <c r="C1830" s="80" t="s">
        <v>66</v>
      </c>
      <c r="D1830" s="73" t="s">
        <v>718</v>
      </c>
      <c r="E1830" s="74">
        <v>3.1250000000000001E-4</v>
      </c>
      <c r="F1830" s="78" t="s">
        <v>237</v>
      </c>
      <c r="G1830" s="77" t="s">
        <v>621</v>
      </c>
      <c r="H1830" t="str">
        <f>VLOOKUP(D1830,'DETALLE PRECIO INGREDIENTES'!B:B,1,0)</f>
        <v>TOMILLO FRESCO</v>
      </c>
    </row>
    <row r="1831" spans="2:8" ht="15.5" hidden="1" x14ac:dyDescent="0.35">
      <c r="B1831" s="75" t="s">
        <v>69</v>
      </c>
      <c r="C1831" s="80" t="s">
        <v>66</v>
      </c>
      <c r="D1831" s="73" t="s">
        <v>469</v>
      </c>
      <c r="E1831" s="74">
        <v>3.1250000000000002E-3</v>
      </c>
      <c r="F1831" s="78" t="s">
        <v>237</v>
      </c>
      <c r="G1831" s="77" t="s">
        <v>220</v>
      </c>
      <c r="H1831" t="str">
        <f>VLOOKUP(D1831,'DETALLE PRECIO INGREDIENTES'!B:B,1,0)</f>
        <v>TRIGO BURGOL</v>
      </c>
    </row>
    <row r="1832" spans="2:8" ht="15.5" hidden="1" x14ac:dyDescent="0.35">
      <c r="B1832" s="75" t="s">
        <v>69</v>
      </c>
      <c r="C1832" s="80" t="s">
        <v>66</v>
      </c>
      <c r="D1832" s="73" t="s">
        <v>858</v>
      </c>
      <c r="E1832" s="74">
        <v>9.3749999999999997E-3</v>
      </c>
      <c r="F1832" s="78" t="s">
        <v>237</v>
      </c>
      <c r="G1832" s="77" t="s">
        <v>852</v>
      </c>
      <c r="H1832" t="str">
        <f>VLOOKUP(D1832,'DETALLE PRECIO INGREDIENTES'!B:B,1,0)</f>
        <v>VACUNO ASIENTO</v>
      </c>
    </row>
    <row r="1833" spans="2:8" ht="15.5" hidden="1" x14ac:dyDescent="0.35">
      <c r="B1833" s="75" t="s">
        <v>69</v>
      </c>
      <c r="C1833" s="80" t="s">
        <v>66</v>
      </c>
      <c r="D1833" s="73" t="s">
        <v>971</v>
      </c>
      <c r="E1833" s="74">
        <v>1E-3</v>
      </c>
      <c r="F1833" s="78" t="s">
        <v>222</v>
      </c>
      <c r="G1833" s="77" t="s">
        <v>220</v>
      </c>
      <c r="H1833" t="str">
        <f>VLOOKUP(D1833,'DETALLE PRECIO INGREDIENTES'!B:B,1,0)</f>
        <v>vinagre de jerez</v>
      </c>
    </row>
    <row r="1834" spans="2:8" ht="15.5" hidden="1" x14ac:dyDescent="0.35">
      <c r="B1834" s="75" t="s">
        <v>69</v>
      </c>
      <c r="C1834" s="80" t="s">
        <v>66</v>
      </c>
      <c r="D1834" s="73" t="s">
        <v>720</v>
      </c>
      <c r="E1834" s="74">
        <v>1.2500000000000001E-2</v>
      </c>
      <c r="F1834" s="78" t="s">
        <v>237</v>
      </c>
      <c r="G1834" s="77" t="s">
        <v>621</v>
      </c>
      <c r="H1834" t="str">
        <f>VLOOKUP(D1834,'DETALLE PRECIO INGREDIENTES'!B:B,1,0)</f>
        <v>ZANAHORIA</v>
      </c>
    </row>
    <row r="1835" spans="2:8" ht="15.5" hidden="1" x14ac:dyDescent="0.35">
      <c r="B1835" s="75" t="s">
        <v>69</v>
      </c>
      <c r="C1835" s="80" t="s">
        <v>66</v>
      </c>
      <c r="D1835" s="73" t="s">
        <v>598</v>
      </c>
      <c r="E1835" s="74">
        <v>0.05</v>
      </c>
      <c r="F1835" s="78" t="s">
        <v>237</v>
      </c>
      <c r="G1835" s="77" t="s">
        <v>587</v>
      </c>
      <c r="H1835" t="str">
        <f>VLOOKUP(D1835,'DETALLE PRECIO INGREDIENTES'!B:B,1,0)</f>
        <v>PULPA DE MARACUYA S/AZUCAR</v>
      </c>
    </row>
    <row r="1836" spans="2:8" ht="15.5" hidden="1" x14ac:dyDescent="0.35">
      <c r="B1836" s="75" t="s">
        <v>69</v>
      </c>
      <c r="C1836" s="80" t="s">
        <v>65</v>
      </c>
      <c r="D1836" s="73" t="s">
        <v>437</v>
      </c>
      <c r="E1836" s="74">
        <v>0.05</v>
      </c>
      <c r="F1836" s="78" t="s">
        <v>237</v>
      </c>
      <c r="G1836" s="77" t="s">
        <v>220</v>
      </c>
      <c r="H1836" t="str">
        <f>VLOOKUP(D1836,'DETALLE PRECIO INGREDIENTES'!B:B,1,0)</f>
        <v>QUINOA</v>
      </c>
    </row>
    <row r="1837" spans="2:8" ht="15.5" hidden="1" x14ac:dyDescent="0.35">
      <c r="B1837" s="75" t="s">
        <v>69</v>
      </c>
      <c r="C1837" s="80" t="s">
        <v>65</v>
      </c>
      <c r="D1837" s="73" t="s">
        <v>715</v>
      </c>
      <c r="E1837" s="74">
        <v>4.3749999999999997E-2</v>
      </c>
      <c r="F1837" s="78" t="s">
        <v>237</v>
      </c>
      <c r="G1837" s="77" t="s">
        <v>621</v>
      </c>
      <c r="H1837" t="str">
        <f>VLOOKUP(D1837,'DETALLE PRECIO INGREDIENTES'!B:B,1,0)</f>
        <v>TOMATE CHERRY</v>
      </c>
    </row>
    <row r="1838" spans="2:8" ht="15.5" hidden="1" x14ac:dyDescent="0.35">
      <c r="B1838" s="75" t="s">
        <v>69</v>
      </c>
      <c r="C1838" s="80" t="s">
        <v>65</v>
      </c>
      <c r="D1838" s="73" t="s">
        <v>646</v>
      </c>
      <c r="E1838" s="74">
        <v>0.1</v>
      </c>
      <c r="F1838" s="78" t="s">
        <v>259</v>
      </c>
      <c r="G1838" s="77" t="s">
        <v>621</v>
      </c>
      <c r="H1838" t="str">
        <f>VLOOKUP(D1838,'DETALLE PRECIO INGREDIENTES'!B:B,1,0)</f>
        <v>CEBOLLIN</v>
      </c>
    </row>
    <row r="1839" spans="2:8" ht="15.5" hidden="1" x14ac:dyDescent="0.35">
      <c r="B1839" s="75" t="s">
        <v>69</v>
      </c>
      <c r="C1839" s="80" t="s">
        <v>65</v>
      </c>
      <c r="D1839" s="73" t="s">
        <v>682</v>
      </c>
      <c r="E1839" s="74">
        <v>3.0000000000000001E-3</v>
      </c>
      <c r="F1839" s="78" t="s">
        <v>237</v>
      </c>
      <c r="G1839" s="77" t="s">
        <v>621</v>
      </c>
      <c r="H1839" t="str">
        <f>VLOOKUP(D1839,'DETALLE PRECIO INGREDIENTES'!B:B,1,0)</f>
        <v>MANGO</v>
      </c>
    </row>
    <row r="1840" spans="2:8" ht="15.5" hidden="1" x14ac:dyDescent="0.35">
      <c r="B1840" s="75" t="s">
        <v>69</v>
      </c>
      <c r="C1840" s="80" t="s">
        <v>65</v>
      </c>
      <c r="D1840" s="73" t="s">
        <v>626</v>
      </c>
      <c r="E1840" s="74">
        <v>1.8749999999999999E-3</v>
      </c>
      <c r="F1840" s="78" t="s">
        <v>259</v>
      </c>
      <c r="G1840" s="77" t="s">
        <v>621</v>
      </c>
      <c r="H1840" t="str">
        <f>VLOOKUP(D1840,'DETALLE PRECIO INGREDIENTES'!B:B,1,0)</f>
        <v>AJI ROCOTO</v>
      </c>
    </row>
    <row r="1841" spans="2:8" ht="15.5" hidden="1" x14ac:dyDescent="0.35">
      <c r="B1841" s="75" t="s">
        <v>69</v>
      </c>
      <c r="C1841" s="80" t="s">
        <v>65</v>
      </c>
      <c r="D1841" s="73" t="s">
        <v>972</v>
      </c>
      <c r="E1841" s="74">
        <v>0.08</v>
      </c>
      <c r="F1841" s="78" t="s">
        <v>259</v>
      </c>
      <c r="G1841" s="77" t="s">
        <v>621</v>
      </c>
      <c r="H1841" t="str">
        <f>VLOOKUP(D1841,'DETALLE PRECIO INGREDIENTES'!B:B,1,0)</f>
        <v>pimiento amarillo</v>
      </c>
    </row>
    <row r="1842" spans="2:8" ht="15.5" hidden="1" x14ac:dyDescent="0.35">
      <c r="B1842" s="75" t="s">
        <v>69</v>
      </c>
      <c r="C1842" s="80" t="s">
        <v>65</v>
      </c>
      <c r="D1842" s="73" t="s">
        <v>685</v>
      </c>
      <c r="E1842" s="74">
        <v>1E-3</v>
      </c>
      <c r="F1842" s="78" t="s">
        <v>237</v>
      </c>
      <c r="G1842" s="77" t="s">
        <v>621</v>
      </c>
      <c r="H1842" t="str">
        <f>VLOOKUP(D1842,'DETALLE PRECIO INGREDIENTES'!B:B,1,0)</f>
        <v>MENTA</v>
      </c>
    </row>
    <row r="1843" spans="2:8" ht="15.5" hidden="1" x14ac:dyDescent="0.35">
      <c r="B1843" s="75" t="s">
        <v>69</v>
      </c>
      <c r="C1843" s="80" t="s">
        <v>65</v>
      </c>
      <c r="D1843" s="73" t="s">
        <v>761</v>
      </c>
      <c r="E1843" s="74">
        <v>0.02</v>
      </c>
      <c r="F1843" s="78" t="s">
        <v>237</v>
      </c>
      <c r="G1843" s="77" t="s">
        <v>736</v>
      </c>
      <c r="H1843" t="str">
        <f>VLOOKUP(D1843,'DETALLE PRECIO INGREDIENTES'!B:B,1,0)</f>
        <v>QUESO FETA</v>
      </c>
    </row>
    <row r="1844" spans="2:8" ht="15.5" hidden="1" x14ac:dyDescent="0.35">
      <c r="B1844" s="75" t="s">
        <v>69</v>
      </c>
      <c r="C1844" s="80" t="s">
        <v>65</v>
      </c>
      <c r="D1844" s="73" t="s">
        <v>411</v>
      </c>
      <c r="E1844" s="74">
        <v>2.5000000000000001E-2</v>
      </c>
      <c r="F1844" s="78" t="s">
        <v>237</v>
      </c>
      <c r="G1844" s="77" t="s">
        <v>621</v>
      </c>
      <c r="H1844" t="str">
        <f>VLOOKUP(D1844,'DETALLE PRECIO INGREDIENTES'!B:B,1,0)</f>
        <v>PAPAS</v>
      </c>
    </row>
    <row r="1845" spans="2:8" ht="15.5" hidden="1" x14ac:dyDescent="0.35">
      <c r="B1845" s="75" t="s">
        <v>69</v>
      </c>
      <c r="C1845" s="80" t="s">
        <v>65</v>
      </c>
      <c r="D1845" s="73" t="s">
        <v>375</v>
      </c>
      <c r="E1845" s="74">
        <v>1.8749999999999999E-3</v>
      </c>
      <c r="F1845" s="78" t="s">
        <v>237</v>
      </c>
      <c r="G1845" s="77" t="s">
        <v>220</v>
      </c>
      <c r="H1845" t="str">
        <f>VLOOKUP(D1845,'DETALLE PRECIO INGREDIENTES'!B:B,1,0)</f>
        <v>MAICENA</v>
      </c>
    </row>
    <row r="1846" spans="2:8" ht="15.5" hidden="1" x14ac:dyDescent="0.35">
      <c r="B1846" s="75" t="s">
        <v>69</v>
      </c>
      <c r="C1846" s="80" t="s">
        <v>65</v>
      </c>
      <c r="D1846" s="73" t="s">
        <v>599</v>
      </c>
      <c r="E1846" s="74">
        <v>4.0000000000000001E-3</v>
      </c>
      <c r="F1846" s="78" t="s">
        <v>237</v>
      </c>
      <c r="G1846" s="77" t="s">
        <v>587</v>
      </c>
      <c r="H1846" t="str">
        <f>VLOOKUP(D1846,'DETALLE PRECIO INGREDIENTES'!B:B,1,0)</f>
        <v>PULPA DE MARACUYA SIN SEMILLA</v>
      </c>
    </row>
    <row r="1847" spans="2:8" ht="15.5" hidden="1" x14ac:dyDescent="0.35">
      <c r="B1847" s="75" t="s">
        <v>69</v>
      </c>
      <c r="C1847" s="80" t="s">
        <v>65</v>
      </c>
      <c r="D1847" s="73" t="s">
        <v>230</v>
      </c>
      <c r="E1847" s="74">
        <v>0.01</v>
      </c>
      <c r="F1847" s="78" t="s">
        <v>222</v>
      </c>
      <c r="G1847" s="77" t="s">
        <v>220</v>
      </c>
      <c r="H1847" t="str">
        <f>VLOOKUP(D1847,'DETALLE PRECIO INGREDIENTES'!B:B,1,0)</f>
        <v>ACEITE DE OLIVA</v>
      </c>
    </row>
    <row r="1848" spans="2:8" ht="15.5" hidden="1" x14ac:dyDescent="0.35">
      <c r="B1848" s="75" t="s">
        <v>69</v>
      </c>
      <c r="C1848" s="80" t="s">
        <v>65</v>
      </c>
      <c r="D1848" s="73" t="s">
        <v>680</v>
      </c>
      <c r="E1848" s="74">
        <v>0.01</v>
      </c>
      <c r="F1848" s="78" t="s">
        <v>237</v>
      </c>
      <c r="G1848" s="77" t="s">
        <v>621</v>
      </c>
      <c r="H1848" t="str">
        <f>VLOOKUP(D1848,'DETALLE PRECIO INGREDIENTES'!B:B,1,0)</f>
        <v>LIMON DE JUGO</v>
      </c>
    </row>
    <row r="1849" spans="2:8" ht="15.5" hidden="1" x14ac:dyDescent="0.35">
      <c r="B1849" s="75" t="s">
        <v>69</v>
      </c>
      <c r="C1849" s="80" t="s">
        <v>65</v>
      </c>
      <c r="D1849" s="73" t="s">
        <v>797</v>
      </c>
      <c r="E1849" s="74">
        <v>3.125E-2</v>
      </c>
      <c r="F1849" s="78" t="s">
        <v>259</v>
      </c>
      <c r="G1849" s="77" t="s">
        <v>795</v>
      </c>
      <c r="H1849" t="str">
        <f>VLOOKUP(D1849,'DETALLE PRECIO INGREDIENTES'!B:B,1,0)</f>
        <v>PAN BAGUETTE NORMAL</v>
      </c>
    </row>
    <row r="1850" spans="2:8" ht="15.5" hidden="1" x14ac:dyDescent="0.35">
      <c r="B1850" s="75" t="s">
        <v>69</v>
      </c>
      <c r="C1850" s="80" t="s">
        <v>65</v>
      </c>
      <c r="D1850" s="73" t="s">
        <v>603</v>
      </c>
      <c r="E1850" s="74">
        <v>6.2500000000000003E-3</v>
      </c>
      <c r="F1850" s="78" t="s">
        <v>237</v>
      </c>
      <c r="G1850" s="77" t="s">
        <v>601</v>
      </c>
      <c r="H1850" t="str">
        <f>VLOOKUP(D1850,'DETALLE PRECIO INGREDIENTES'!B:B,1,0)</f>
        <v>PALMITOS ENTEROS</v>
      </c>
    </row>
    <row r="1851" spans="2:8" ht="15.5" hidden="1" x14ac:dyDescent="0.35">
      <c r="B1851" s="75" t="s">
        <v>69</v>
      </c>
      <c r="C1851" s="80" t="s">
        <v>65</v>
      </c>
      <c r="D1851" s="73" t="s">
        <v>691</v>
      </c>
      <c r="E1851" s="74">
        <v>6.2500000000000003E-3</v>
      </c>
      <c r="F1851" s="78" t="s">
        <v>237</v>
      </c>
      <c r="G1851" s="77" t="s">
        <v>621</v>
      </c>
      <c r="H1851" t="str">
        <f>VLOOKUP(D1851,'DETALLE PRECIO INGREDIENTES'!B:B,1,0)</f>
        <v>PALTA HASS</v>
      </c>
    </row>
    <row r="1852" spans="2:8" ht="15.5" hidden="1" x14ac:dyDescent="0.35">
      <c r="B1852" s="75" t="s">
        <v>69</v>
      </c>
      <c r="C1852" s="80" t="s">
        <v>65</v>
      </c>
      <c r="D1852" s="73" t="s">
        <v>256</v>
      </c>
      <c r="E1852" s="74">
        <v>1.8749999999999999E-3</v>
      </c>
      <c r="F1852" s="78" t="s">
        <v>237</v>
      </c>
      <c r="G1852" s="77" t="s">
        <v>220</v>
      </c>
      <c r="H1852" t="str">
        <f>VLOOKUP(D1852,'DETALLE PRECIO INGREDIENTES'!B:B,1,0)</f>
        <v>ALCAPARRAS</v>
      </c>
    </row>
    <row r="1853" spans="2:8" ht="15.5" hidden="1" x14ac:dyDescent="0.35">
      <c r="B1853" s="75" t="s">
        <v>69</v>
      </c>
      <c r="C1853" s="80" t="s">
        <v>65</v>
      </c>
      <c r="D1853" s="73" t="s">
        <v>702</v>
      </c>
      <c r="E1853" s="74">
        <v>0.06</v>
      </c>
      <c r="F1853" s="78" t="s">
        <v>259</v>
      </c>
      <c r="G1853" s="77" t="s">
        <v>621</v>
      </c>
      <c r="H1853" t="str">
        <f>VLOOKUP(D1853,'DETALLE PRECIO INGREDIENTES'!B:B,1,0)</f>
        <v>PIMIENTO ROJO</v>
      </c>
    </row>
    <row r="1854" spans="2:8" ht="15.5" hidden="1" x14ac:dyDescent="0.35">
      <c r="B1854" s="75" t="s">
        <v>69</v>
      </c>
      <c r="C1854" s="80" t="s">
        <v>65</v>
      </c>
      <c r="D1854" s="73" t="s">
        <v>633</v>
      </c>
      <c r="E1854" s="74">
        <v>0.01</v>
      </c>
      <c r="F1854" s="78" t="s">
        <v>259</v>
      </c>
      <c r="G1854" s="77" t="s">
        <v>621</v>
      </c>
      <c r="H1854" t="str">
        <f>VLOOKUP(D1854,'DETALLE PRECIO INGREDIENTES'!B:B,1,0)</f>
        <v>APIO MATA</v>
      </c>
    </row>
    <row r="1855" spans="2:8" ht="15.5" hidden="1" x14ac:dyDescent="0.35">
      <c r="B1855" s="75" t="s">
        <v>69</v>
      </c>
      <c r="C1855" s="80" t="s">
        <v>65</v>
      </c>
      <c r="D1855" s="73" t="s">
        <v>657</v>
      </c>
      <c r="E1855" s="74">
        <v>5.0000000000000001E-3</v>
      </c>
      <c r="F1855" s="78" t="s">
        <v>237</v>
      </c>
      <c r="G1855" s="77" t="s">
        <v>621</v>
      </c>
      <c r="H1855" t="str">
        <f>VLOOKUP(D1855,'DETALLE PRECIO INGREDIENTES'!B:B,1,0)</f>
        <v>CILANTRO</v>
      </c>
    </row>
    <row r="1856" spans="2:8" ht="15.5" hidden="1" x14ac:dyDescent="0.35">
      <c r="B1856" s="75" t="s">
        <v>69</v>
      </c>
      <c r="C1856" s="80" t="s">
        <v>65</v>
      </c>
      <c r="D1856" s="73" t="s">
        <v>399</v>
      </c>
      <c r="E1856" s="74">
        <v>3.1250000000000002E-3</v>
      </c>
      <c r="F1856" s="78" t="s">
        <v>237</v>
      </c>
      <c r="G1856" s="77" t="s">
        <v>220</v>
      </c>
      <c r="H1856" t="str">
        <f>VLOOKUP(D1856,'DETALLE PRECIO INGREDIENTES'!B:B,1,0)</f>
        <v>MOSTAZA DIJON ANTIGUA-GRANO</v>
      </c>
    </row>
    <row r="1857" spans="2:8" ht="15.5" hidden="1" x14ac:dyDescent="0.35">
      <c r="B1857" s="75" t="s">
        <v>69</v>
      </c>
      <c r="C1857" s="80" t="s">
        <v>65</v>
      </c>
      <c r="D1857" s="73" t="s">
        <v>971</v>
      </c>
      <c r="E1857" s="74">
        <v>1.8749999999999999E-3</v>
      </c>
      <c r="F1857" s="78" t="s">
        <v>222</v>
      </c>
      <c r="G1857" s="77" t="s">
        <v>220</v>
      </c>
      <c r="H1857" t="str">
        <f>VLOOKUP(D1857,'DETALLE PRECIO INGREDIENTES'!B:B,1,0)</f>
        <v>vinagre de jerez</v>
      </c>
    </row>
    <row r="1858" spans="2:8" ht="15.5" hidden="1" x14ac:dyDescent="0.35">
      <c r="B1858" s="75" t="s">
        <v>69</v>
      </c>
      <c r="C1858" s="80" t="s">
        <v>65</v>
      </c>
      <c r="D1858" s="73" t="s">
        <v>692</v>
      </c>
      <c r="E1858" s="74">
        <v>4.3750000000000004E-3</v>
      </c>
      <c r="F1858" s="78" t="s">
        <v>237</v>
      </c>
      <c r="G1858" s="77" t="s">
        <v>621</v>
      </c>
      <c r="H1858" t="str">
        <f>VLOOKUP(D1858,'DETALLE PRECIO INGREDIENTES'!B:B,1,0)</f>
        <v>PAPA CAMOTE</v>
      </c>
    </row>
    <row r="1859" spans="2:8" ht="15.5" hidden="1" x14ac:dyDescent="0.35">
      <c r="B1859" s="75" t="s">
        <v>69</v>
      </c>
      <c r="C1859" s="80" t="s">
        <v>65</v>
      </c>
      <c r="D1859" s="73" t="s">
        <v>640</v>
      </c>
      <c r="E1859" s="74">
        <v>9.3749999999999997E-3</v>
      </c>
      <c r="F1859" s="78" t="s">
        <v>259</v>
      </c>
      <c r="G1859" s="77" t="s">
        <v>621</v>
      </c>
      <c r="H1859" t="str">
        <f>VLOOKUP(D1859,'DETALLE PRECIO INGREDIENTES'!B:B,1,0)</f>
        <v>BETARRAGA</v>
      </c>
    </row>
    <row r="1860" spans="2:8" ht="15.5" hidden="1" x14ac:dyDescent="0.35">
      <c r="B1860" s="75" t="s">
        <v>69</v>
      </c>
      <c r="C1860" s="80" t="s">
        <v>65</v>
      </c>
      <c r="D1860" s="73" t="s">
        <v>690</v>
      </c>
      <c r="E1860" s="74">
        <v>4.3749999999999997E-2</v>
      </c>
      <c r="F1860" s="78" t="s">
        <v>237</v>
      </c>
      <c r="G1860" s="77" t="s">
        <v>621</v>
      </c>
      <c r="H1860" t="str">
        <f>VLOOKUP(D1860,'DETALLE PRECIO INGREDIENTES'!B:B,1,0)</f>
        <v>NARANJA DE JUGO</v>
      </c>
    </row>
    <row r="1861" spans="2:8" ht="15.5" hidden="1" x14ac:dyDescent="0.35">
      <c r="B1861" s="75" t="s">
        <v>69</v>
      </c>
      <c r="C1861" s="80" t="s">
        <v>65</v>
      </c>
      <c r="D1861" s="73" t="s">
        <v>961</v>
      </c>
      <c r="E1861" s="74">
        <v>6.2500000000000001E-4</v>
      </c>
      <c r="F1861" s="78" t="s">
        <v>237</v>
      </c>
      <c r="G1861" s="77" t="s">
        <v>220</v>
      </c>
      <c r="H1861" t="str">
        <f>VLOOKUP(D1861,'DETALLE PRECIO INGREDIENTES'!B:B,1,0)</f>
        <v>miel</v>
      </c>
    </row>
    <row r="1862" spans="2:8" ht="15.5" hidden="1" x14ac:dyDescent="0.35">
      <c r="B1862" s="75" t="s">
        <v>69</v>
      </c>
      <c r="C1862" s="80" t="s">
        <v>65</v>
      </c>
      <c r="D1862" s="73" t="s">
        <v>675</v>
      </c>
      <c r="E1862" s="74">
        <v>3.1250000000000002E-3</v>
      </c>
      <c r="F1862" s="78" t="s">
        <v>237</v>
      </c>
      <c r="G1862" s="77" t="s">
        <v>621</v>
      </c>
      <c r="H1862" t="str">
        <f>VLOOKUP(D1862,'DETALLE PRECIO INGREDIENTES'!B:B,1,0)</f>
        <v>JENGIBRE</v>
      </c>
    </row>
    <row r="1863" spans="2:8" ht="15.5" hidden="1" x14ac:dyDescent="0.35">
      <c r="B1863" s="75" t="s">
        <v>69</v>
      </c>
      <c r="C1863" s="80" t="s">
        <v>65</v>
      </c>
      <c r="D1863" s="73" t="s">
        <v>476</v>
      </c>
      <c r="E1863" s="74">
        <v>4.3750000000000004E-3</v>
      </c>
      <c r="F1863" s="78" t="s">
        <v>222</v>
      </c>
      <c r="G1863" s="77" t="s">
        <v>220</v>
      </c>
      <c r="H1863" t="str">
        <f>VLOOKUP(D1863,'DETALLE PRECIO INGREDIENTES'!B:B,1,0)</f>
        <v>VINAGRE DE MANZANA</v>
      </c>
    </row>
    <row r="1864" spans="2:8" ht="15.5" hidden="1" x14ac:dyDescent="0.35">
      <c r="B1864" s="75" t="s">
        <v>69</v>
      </c>
      <c r="C1864" s="80" t="s">
        <v>65</v>
      </c>
      <c r="D1864" s="73" t="s">
        <v>426</v>
      </c>
      <c r="E1864" s="74">
        <v>3.1250000000000001E-4</v>
      </c>
      <c r="F1864" s="78" t="s">
        <v>237</v>
      </c>
      <c r="G1864" s="77" t="s">
        <v>220</v>
      </c>
      <c r="H1864" t="str">
        <f>VLOOKUP(D1864,'DETALLE PRECIO INGREDIENTES'!B:B,1,0)</f>
        <v>PIMIENTA CAYENA</v>
      </c>
    </row>
    <row r="1865" spans="2:8" ht="15.5" hidden="1" x14ac:dyDescent="0.35">
      <c r="B1865" s="75" t="s">
        <v>69</v>
      </c>
      <c r="C1865" s="80" t="s">
        <v>65</v>
      </c>
      <c r="D1865" s="73" t="s">
        <v>449</v>
      </c>
      <c r="E1865" s="74">
        <v>2.5000000000000001E-2</v>
      </c>
      <c r="F1865" s="78" t="s">
        <v>222</v>
      </c>
      <c r="G1865" s="77" t="s">
        <v>220</v>
      </c>
      <c r="H1865" t="str">
        <f>VLOOKUP(D1865,'DETALLE PRECIO INGREDIENTES'!B:B,1,0)</f>
        <v>SALSA DE SOYA</v>
      </c>
    </row>
    <row r="1866" spans="2:8" ht="15.5" hidden="1" x14ac:dyDescent="0.35">
      <c r="B1866" s="75" t="s">
        <v>69</v>
      </c>
      <c r="C1866" s="80" t="s">
        <v>65</v>
      </c>
      <c r="D1866" s="73" t="s">
        <v>628</v>
      </c>
      <c r="E1866" s="74">
        <v>1E-3</v>
      </c>
      <c r="F1866" s="78" t="s">
        <v>259</v>
      </c>
      <c r="G1866" s="77" t="s">
        <v>621</v>
      </c>
      <c r="H1866" t="str">
        <f>VLOOKUP(D1866,'DETALLE PRECIO INGREDIENTES'!B:B,1,0)</f>
        <v>AJO CABEZA</v>
      </c>
    </row>
    <row r="1867" spans="2:8" ht="15.5" hidden="1" x14ac:dyDescent="0.35">
      <c r="B1867" s="75" t="s">
        <v>69</v>
      </c>
      <c r="C1867" s="80" t="s">
        <v>65</v>
      </c>
      <c r="D1867" s="73" t="s">
        <v>228</v>
      </c>
      <c r="E1867" s="74">
        <v>7.0000000000000001E-3</v>
      </c>
      <c r="F1867" s="78" t="s">
        <v>222</v>
      </c>
      <c r="G1867" s="77" t="s">
        <v>220</v>
      </c>
      <c r="H1867" t="str">
        <f>VLOOKUP(D1867,'DETALLE PRECIO INGREDIENTES'!B:B,1,0)</f>
        <v>ACEITE DE MARAVILLA</v>
      </c>
    </row>
    <row r="1868" spans="2:8" ht="15.5" hidden="1" x14ac:dyDescent="0.35">
      <c r="B1868" s="75" t="s">
        <v>69</v>
      </c>
      <c r="C1868" s="80" t="s">
        <v>65</v>
      </c>
      <c r="D1868" s="73" t="s">
        <v>729</v>
      </c>
      <c r="E1868" s="74">
        <v>0.1875</v>
      </c>
      <c r="F1868" s="78" t="s">
        <v>259</v>
      </c>
      <c r="G1868" s="77" t="s">
        <v>728</v>
      </c>
      <c r="H1868" t="str">
        <f>VLOOKUP(D1868,'DETALLE PRECIO INGREDIENTES'!B:B,1,0)</f>
        <v>HUEVO EXTRA BLANCO</v>
      </c>
    </row>
    <row r="1869" spans="2:8" ht="15.5" hidden="1" x14ac:dyDescent="0.35">
      <c r="B1869" s="75" t="s">
        <v>69</v>
      </c>
      <c r="C1869" s="80" t="s">
        <v>65</v>
      </c>
      <c r="D1869" s="73" t="s">
        <v>703</v>
      </c>
      <c r="E1869" s="74">
        <v>0.02</v>
      </c>
      <c r="F1869" s="78" t="s">
        <v>259</v>
      </c>
      <c r="G1869" s="77" t="s">
        <v>621</v>
      </c>
      <c r="H1869" t="str">
        <f>VLOOKUP(D1869,'DETALLE PRECIO INGREDIENTES'!B:B,1,0)</f>
        <v>PIMIENTO VERDE</v>
      </c>
    </row>
    <row r="1870" spans="2:8" ht="15.5" hidden="1" x14ac:dyDescent="0.35">
      <c r="B1870" s="75" t="s">
        <v>69</v>
      </c>
      <c r="C1870" s="80" t="s">
        <v>65</v>
      </c>
      <c r="D1870" s="73" t="s">
        <v>238</v>
      </c>
      <c r="E1870" s="74">
        <v>5.0000000000000001E-3</v>
      </c>
      <c r="F1870" s="78" t="s">
        <v>237</v>
      </c>
      <c r="G1870" s="77" t="s">
        <v>220</v>
      </c>
      <c r="H1870" t="str">
        <f>VLOOKUP(D1870,'DETALLE PRECIO INGREDIENTES'!B:B,1,0)</f>
        <v>ACEITUNAS NEGRAS C/HUESO</v>
      </c>
    </row>
    <row r="1871" spans="2:8" ht="15.5" hidden="1" x14ac:dyDescent="0.35">
      <c r="B1871" s="75" t="s">
        <v>69</v>
      </c>
      <c r="C1871" s="80" t="s">
        <v>65</v>
      </c>
      <c r="D1871" s="73" t="s">
        <v>644</v>
      </c>
      <c r="E1871" s="74">
        <v>0.01</v>
      </c>
      <c r="F1871" s="78" t="s">
        <v>237</v>
      </c>
      <c r="G1871" s="77" t="s">
        <v>621</v>
      </c>
      <c r="H1871" t="str">
        <f>VLOOKUP(D1871,'DETALLE PRECIO INGREDIENTES'!B:B,1,0)</f>
        <v>CEBOLLA BLANCA</v>
      </c>
    </row>
    <row r="1872" spans="2:8" ht="15.5" hidden="1" x14ac:dyDescent="0.35">
      <c r="B1872" s="75" t="s">
        <v>69</v>
      </c>
      <c r="C1872" s="80" t="s">
        <v>65</v>
      </c>
      <c r="D1872" s="73" t="s">
        <v>412</v>
      </c>
      <c r="E1872" s="74">
        <v>0.7</v>
      </c>
      <c r="F1872" s="78" t="s">
        <v>259</v>
      </c>
      <c r="G1872" s="77" t="s">
        <v>220</v>
      </c>
      <c r="H1872" t="str">
        <f>VLOOKUP(D1872,'DETALLE PRECIO INGREDIENTES'!B:B,1,0)</f>
        <v>PAPEL DE ARROZ</v>
      </c>
    </row>
    <row r="1873" spans="2:8" ht="15.5" hidden="1" x14ac:dyDescent="0.35">
      <c r="B1873" s="75" t="s">
        <v>69</v>
      </c>
      <c r="C1873" s="80" t="s">
        <v>65</v>
      </c>
      <c r="D1873" s="73" t="s">
        <v>720</v>
      </c>
      <c r="E1873" s="74">
        <v>1.2500000000000001E-2</v>
      </c>
      <c r="F1873" s="78" t="s">
        <v>237</v>
      </c>
      <c r="G1873" s="77" t="s">
        <v>621</v>
      </c>
      <c r="H1873" t="str">
        <f>VLOOKUP(D1873,'DETALLE PRECIO INGREDIENTES'!B:B,1,0)</f>
        <v>ZANAHORIA</v>
      </c>
    </row>
    <row r="1874" spans="2:8" ht="15.5" hidden="1" x14ac:dyDescent="0.35">
      <c r="B1874" s="75" t="s">
        <v>69</v>
      </c>
      <c r="C1874" s="80" t="s">
        <v>65</v>
      </c>
      <c r="D1874" s="73" t="s">
        <v>704</v>
      </c>
      <c r="E1874" s="74">
        <v>5.0000000000000001E-3</v>
      </c>
      <c r="F1874" s="78" t="s">
        <v>259</v>
      </c>
      <c r="G1874" s="77" t="s">
        <v>621</v>
      </c>
      <c r="H1874" t="str">
        <f>VLOOKUP(D1874,'DETALLE PRECIO INGREDIENTES'!B:B,1,0)</f>
        <v>PIÑA CARAMELO</v>
      </c>
    </row>
    <row r="1875" spans="2:8" ht="15.5" hidden="1" x14ac:dyDescent="0.35">
      <c r="B1875" s="75" t="s">
        <v>69</v>
      </c>
      <c r="C1875" s="80" t="s">
        <v>65</v>
      </c>
      <c r="D1875" s="73" t="s">
        <v>710</v>
      </c>
      <c r="E1875" s="74">
        <v>7.4999999999999997E-3</v>
      </c>
      <c r="F1875" s="78" t="s">
        <v>259</v>
      </c>
      <c r="G1875" s="77" t="s">
        <v>621</v>
      </c>
      <c r="H1875" t="str">
        <f>VLOOKUP(D1875,'DETALLE PRECIO INGREDIENTES'!B:B,1,0)</f>
        <v>REPOLLO MORADO</v>
      </c>
    </row>
    <row r="1876" spans="2:8" ht="15.5" hidden="1" x14ac:dyDescent="0.35">
      <c r="B1876" s="75" t="s">
        <v>69</v>
      </c>
      <c r="C1876" s="80" t="s">
        <v>65</v>
      </c>
      <c r="D1876" s="73" t="s">
        <v>277</v>
      </c>
      <c r="E1876" s="74">
        <v>2.75E-2</v>
      </c>
      <c r="F1876" s="78" t="s">
        <v>237</v>
      </c>
      <c r="G1876" s="77" t="s">
        <v>220</v>
      </c>
      <c r="H1876" t="str">
        <f>VLOOKUP(D1876,'DETALLE PRECIO INGREDIENTES'!B:B,1,0)</f>
        <v>AZUCAR BLANCA GRANULADA</v>
      </c>
    </row>
    <row r="1877" spans="2:8" ht="15.5" hidden="1" x14ac:dyDescent="0.35">
      <c r="B1877" s="75" t="s">
        <v>69</v>
      </c>
      <c r="C1877" s="80" t="s">
        <v>65</v>
      </c>
      <c r="D1877" s="73" t="s">
        <v>750</v>
      </c>
      <c r="E1877" s="74">
        <v>1.25E-3</v>
      </c>
      <c r="F1877" s="78" t="s">
        <v>237</v>
      </c>
      <c r="G1877" s="77" t="s">
        <v>736</v>
      </c>
      <c r="H1877" t="str">
        <f>VLOOKUP(D1877,'DETALLE PRECIO INGREDIENTES'!B:B,1,0)</f>
        <v>MANTEQUILLA CON SAL</v>
      </c>
    </row>
    <row r="1878" spans="2:8" ht="15.5" hidden="1" x14ac:dyDescent="0.35">
      <c r="B1878" s="75" t="s">
        <v>69</v>
      </c>
      <c r="C1878" s="80" t="s">
        <v>65</v>
      </c>
      <c r="D1878" s="73" t="s">
        <v>293</v>
      </c>
      <c r="E1878" s="74">
        <v>2.5000000000000001E-4</v>
      </c>
      <c r="F1878" s="78" t="s">
        <v>237</v>
      </c>
      <c r="G1878" s="77" t="s">
        <v>220</v>
      </c>
      <c r="H1878" t="str">
        <f>VLOOKUP(D1878,'DETALLE PRECIO INGREDIENTES'!B:B,1,0)</f>
        <v>CANELA ENTERA</v>
      </c>
    </row>
    <row r="1879" spans="2:8" ht="15.5" hidden="1" x14ac:dyDescent="0.35">
      <c r="B1879" s="75" t="s">
        <v>69</v>
      </c>
      <c r="C1879" s="80" t="s">
        <v>65</v>
      </c>
      <c r="D1879" s="73" t="s">
        <v>235</v>
      </c>
      <c r="E1879" s="74">
        <v>0.02</v>
      </c>
      <c r="F1879" s="78" t="s">
        <v>222</v>
      </c>
      <c r="G1879" s="77" t="s">
        <v>220</v>
      </c>
      <c r="H1879" t="str">
        <f>VLOOKUP(D1879,'DETALLE PRECIO INGREDIENTES'!B:B,1,0)</f>
        <v>ACEITE VEGETAL</v>
      </c>
    </row>
    <row r="1880" spans="2:8" ht="15.5" hidden="1" x14ac:dyDescent="0.35">
      <c r="B1880" s="75" t="s">
        <v>69</v>
      </c>
      <c r="C1880" s="80" t="s">
        <v>64</v>
      </c>
      <c r="D1880" s="73" t="s">
        <v>797</v>
      </c>
      <c r="E1880" s="74">
        <v>0.125</v>
      </c>
      <c r="F1880" s="78" t="s">
        <v>259</v>
      </c>
      <c r="G1880" s="77" t="s">
        <v>795</v>
      </c>
      <c r="H1880" t="str">
        <f>VLOOKUP(D1880,'DETALLE PRECIO INGREDIENTES'!B:B,1,0)</f>
        <v>PAN BAGUETTE NORMAL</v>
      </c>
    </row>
    <row r="1881" spans="2:8" ht="15.5" hidden="1" x14ac:dyDescent="0.35">
      <c r="B1881" s="75" t="s">
        <v>69</v>
      </c>
      <c r="C1881" s="80" t="s">
        <v>64</v>
      </c>
      <c r="D1881" s="73" t="s">
        <v>230</v>
      </c>
      <c r="E1881" s="74">
        <v>1.4999999999999999E-2</v>
      </c>
      <c r="F1881" s="78" t="s">
        <v>222</v>
      </c>
      <c r="G1881" s="77" t="s">
        <v>220</v>
      </c>
      <c r="H1881" t="str">
        <f>VLOOKUP(D1881,'DETALLE PRECIO INGREDIENTES'!B:B,1,0)</f>
        <v>ACEITE DE OLIVA</v>
      </c>
    </row>
    <row r="1882" spans="2:8" ht="15.5" hidden="1" x14ac:dyDescent="0.35">
      <c r="B1882" s="75" t="s">
        <v>69</v>
      </c>
      <c r="C1882" s="80" t="s">
        <v>64</v>
      </c>
      <c r="D1882" s="73" t="s">
        <v>750</v>
      </c>
      <c r="E1882" s="74">
        <v>1.4999999999999999E-2</v>
      </c>
      <c r="F1882" s="78" t="s">
        <v>237</v>
      </c>
      <c r="G1882" s="77" t="s">
        <v>736</v>
      </c>
      <c r="H1882" t="str">
        <f>VLOOKUP(D1882,'DETALLE PRECIO INGREDIENTES'!B:B,1,0)</f>
        <v>MANTEQUILLA CON SAL</v>
      </c>
    </row>
    <row r="1883" spans="2:8" ht="15.5" hidden="1" x14ac:dyDescent="0.35">
      <c r="B1883" s="75" t="s">
        <v>69</v>
      </c>
      <c r="C1883" s="80" t="s">
        <v>64</v>
      </c>
      <c r="D1883" s="73" t="s">
        <v>406</v>
      </c>
      <c r="E1883" s="74">
        <v>1.25E-3</v>
      </c>
      <c r="F1883" s="78" t="s">
        <v>237</v>
      </c>
      <c r="G1883" s="77" t="s">
        <v>220</v>
      </c>
      <c r="H1883" t="str">
        <f>VLOOKUP(D1883,'DETALLE PRECIO INGREDIENTES'!B:B,1,0)</f>
        <v>OREGANO FRESCO</v>
      </c>
    </row>
    <row r="1884" spans="2:8" ht="15.5" hidden="1" x14ac:dyDescent="0.35">
      <c r="B1884" s="75" t="s">
        <v>69</v>
      </c>
      <c r="C1884" s="80" t="s">
        <v>64</v>
      </c>
      <c r="D1884" s="73" t="s">
        <v>711</v>
      </c>
      <c r="E1884" s="74">
        <v>1.25E-3</v>
      </c>
      <c r="F1884" s="78" t="s">
        <v>237</v>
      </c>
      <c r="G1884" s="77" t="s">
        <v>621</v>
      </c>
      <c r="H1884" t="str">
        <f>VLOOKUP(D1884,'DETALLE PRECIO INGREDIENTES'!B:B,1,0)</f>
        <v>ROMERO FRESCO EN RAMA</v>
      </c>
    </row>
    <row r="1885" spans="2:8" ht="15.5" hidden="1" x14ac:dyDescent="0.35">
      <c r="B1885" s="75" t="s">
        <v>69</v>
      </c>
      <c r="C1885" s="80" t="s">
        <v>64</v>
      </c>
      <c r="D1885" s="73" t="s">
        <v>860</v>
      </c>
      <c r="E1885" s="74">
        <v>7.4999999999999997E-2</v>
      </c>
      <c r="F1885" s="78" t="s">
        <v>986</v>
      </c>
      <c r="G1885" s="77" t="s">
        <v>852</v>
      </c>
      <c r="H1885" t="str">
        <f>VLOOKUP(D1885,'DETALLE PRECIO INGREDIENTES'!B:B,1,0)</f>
        <v>VACUNO CHOCLILLO</v>
      </c>
    </row>
    <row r="1886" spans="2:8" ht="15.5" hidden="1" x14ac:dyDescent="0.35">
      <c r="B1886" s="75" t="s">
        <v>69</v>
      </c>
      <c r="C1886" s="80" t="s">
        <v>64</v>
      </c>
      <c r="D1886" s="73" t="s">
        <v>397</v>
      </c>
      <c r="E1886" s="74">
        <v>0.01</v>
      </c>
      <c r="F1886" s="78" t="s">
        <v>237</v>
      </c>
      <c r="G1886" s="77" t="s">
        <v>220</v>
      </c>
      <c r="H1886" t="str">
        <f>VLOOKUP(D1886,'DETALLE PRECIO INGREDIENTES'!B:B,1,0)</f>
        <v>MOSTAZA</v>
      </c>
    </row>
    <row r="1887" spans="2:8" ht="15.5" hidden="1" x14ac:dyDescent="0.35">
      <c r="B1887" s="75" t="s">
        <v>69</v>
      </c>
      <c r="C1887" s="80" t="s">
        <v>64</v>
      </c>
      <c r="D1887" s="73" t="s">
        <v>230</v>
      </c>
      <c r="E1887" s="74">
        <v>2.5000000000000001E-3</v>
      </c>
      <c r="F1887" s="78" t="s">
        <v>222</v>
      </c>
      <c r="G1887" s="77" t="s">
        <v>220</v>
      </c>
      <c r="H1887" t="str">
        <f>VLOOKUP(D1887,'DETALLE PRECIO INGREDIENTES'!B:B,1,0)</f>
        <v>ACEITE DE OLIVA</v>
      </c>
    </row>
    <row r="1888" spans="2:8" ht="15.5" hidden="1" x14ac:dyDescent="0.35">
      <c r="B1888" s="75" t="s">
        <v>69</v>
      </c>
      <c r="C1888" s="80" t="s">
        <v>64</v>
      </c>
      <c r="D1888" s="73" t="s">
        <v>644</v>
      </c>
      <c r="E1888" s="74">
        <v>0.05</v>
      </c>
      <c r="F1888" s="78" t="s">
        <v>237</v>
      </c>
      <c r="G1888" s="77" t="s">
        <v>621</v>
      </c>
      <c r="H1888" t="str">
        <f>VLOOKUP(D1888,'DETALLE PRECIO INGREDIENTES'!B:B,1,0)</f>
        <v>CEBOLLA BLANCA</v>
      </c>
    </row>
    <row r="1889" spans="2:8" ht="15.5" hidden="1" x14ac:dyDescent="0.35">
      <c r="B1889" s="75" t="s">
        <v>69</v>
      </c>
      <c r="C1889" s="80" t="s">
        <v>64</v>
      </c>
      <c r="D1889" s="73" t="s">
        <v>277</v>
      </c>
      <c r="E1889" s="74">
        <v>4.2499999999999996E-2</v>
      </c>
      <c r="F1889" s="78" t="s">
        <v>237</v>
      </c>
      <c r="G1889" s="77" t="s">
        <v>220</v>
      </c>
      <c r="H1889" t="str">
        <f>VLOOKUP(D1889,'DETALLE PRECIO INGREDIENTES'!B:B,1,0)</f>
        <v>AZUCAR BLANCA GRANULADA</v>
      </c>
    </row>
    <row r="1890" spans="2:8" ht="15.5" hidden="1" x14ac:dyDescent="0.35">
      <c r="B1890" s="75" t="s">
        <v>69</v>
      </c>
      <c r="C1890" s="80" t="s">
        <v>64</v>
      </c>
      <c r="D1890" s="73" t="s">
        <v>882</v>
      </c>
      <c r="E1890" s="74">
        <v>2.5000000000000001E-2</v>
      </c>
      <c r="F1890" s="78" t="s">
        <v>222</v>
      </c>
      <c r="G1890" s="77" t="s">
        <v>876</v>
      </c>
      <c r="H1890" t="str">
        <f>VLOOKUP(D1890,'DETALLE PRECIO INGREDIENTES'!B:B,1,0)</f>
        <v>VINO TINTO TETRA</v>
      </c>
    </row>
    <row r="1891" spans="2:8" ht="15.5" hidden="1" x14ac:dyDescent="0.35">
      <c r="B1891" s="75" t="s">
        <v>69</v>
      </c>
      <c r="C1891" s="80" t="s">
        <v>64</v>
      </c>
      <c r="D1891" s="73" t="s">
        <v>233</v>
      </c>
      <c r="E1891" s="74">
        <v>7.4999999999999997E-2</v>
      </c>
      <c r="F1891" s="78" t="s">
        <v>222</v>
      </c>
      <c r="G1891" s="77" t="s">
        <v>220</v>
      </c>
      <c r="H1891" t="str">
        <f>VLOOKUP(D1891,'DETALLE PRECIO INGREDIENTES'!B:B,1,0)</f>
        <v>ACEITE PARA FREIR</v>
      </c>
    </row>
    <row r="1892" spans="2:8" ht="15.5" hidden="1" x14ac:dyDescent="0.35">
      <c r="B1892" s="75" t="s">
        <v>69</v>
      </c>
      <c r="C1892" s="80" t="s">
        <v>64</v>
      </c>
      <c r="D1892" s="73" t="s">
        <v>692</v>
      </c>
      <c r="E1892" s="74">
        <v>1.4999999999999999E-2</v>
      </c>
      <c r="F1892" s="78" t="s">
        <v>237</v>
      </c>
      <c r="G1892" s="77" t="s">
        <v>621</v>
      </c>
      <c r="H1892" t="str">
        <f>VLOOKUP(D1892,'DETALLE PRECIO INGREDIENTES'!B:B,1,0)</f>
        <v>PAPA CAMOTE</v>
      </c>
    </row>
    <row r="1893" spans="2:8" ht="15.5" hidden="1" x14ac:dyDescent="0.35">
      <c r="B1893" s="75" t="s">
        <v>69</v>
      </c>
      <c r="C1893" s="80" t="s">
        <v>64</v>
      </c>
      <c r="D1893" s="73" t="s">
        <v>411</v>
      </c>
      <c r="E1893" s="74">
        <v>0.05</v>
      </c>
      <c r="F1893" s="78" t="s">
        <v>237</v>
      </c>
      <c r="G1893" s="77" t="s">
        <v>621</v>
      </c>
      <c r="H1893" t="str">
        <f>VLOOKUP(D1893,'DETALLE PRECIO INGREDIENTES'!B:B,1,0)</f>
        <v>PAPAS</v>
      </c>
    </row>
    <row r="1894" spans="2:8" ht="15.5" hidden="1" x14ac:dyDescent="0.35">
      <c r="B1894" s="75" t="s">
        <v>69</v>
      </c>
      <c r="C1894" s="80" t="s">
        <v>64</v>
      </c>
      <c r="D1894" s="73" t="s">
        <v>245</v>
      </c>
      <c r="E1894" s="74">
        <v>1.2500000000000001E-2</v>
      </c>
      <c r="F1894" s="78" t="s">
        <v>237</v>
      </c>
      <c r="G1894" s="77" t="s">
        <v>220</v>
      </c>
      <c r="H1894" t="str">
        <f>VLOOKUP(D1894,'DETALLE PRECIO INGREDIENTES'!B:B,1,0)</f>
        <v>AJI AMARILLO EN PASTA</v>
      </c>
    </row>
    <row r="1895" spans="2:8" ht="15.5" hidden="1" x14ac:dyDescent="0.35">
      <c r="B1895" s="75" t="s">
        <v>69</v>
      </c>
      <c r="C1895" s="80" t="s">
        <v>64</v>
      </c>
      <c r="D1895" s="73" t="s">
        <v>680</v>
      </c>
      <c r="E1895" s="74">
        <v>0.04</v>
      </c>
      <c r="F1895" s="78" t="s">
        <v>237</v>
      </c>
      <c r="G1895" s="77" t="s">
        <v>621</v>
      </c>
      <c r="H1895" t="str">
        <f>VLOOKUP(D1895,'DETALLE PRECIO INGREDIENTES'!B:B,1,0)</f>
        <v>LIMON DE JUGO</v>
      </c>
    </row>
    <row r="1896" spans="2:8" ht="15.5" hidden="1" x14ac:dyDescent="0.35">
      <c r="B1896" s="75" t="s">
        <v>69</v>
      </c>
      <c r="C1896" s="80" t="s">
        <v>64</v>
      </c>
      <c r="D1896" s="73" t="s">
        <v>235</v>
      </c>
      <c r="E1896" s="74">
        <v>1.2500000000000001E-2</v>
      </c>
      <c r="F1896" s="78" t="s">
        <v>222</v>
      </c>
      <c r="G1896" s="77" t="s">
        <v>220</v>
      </c>
      <c r="H1896" t="str">
        <f>VLOOKUP(D1896,'DETALLE PRECIO INGREDIENTES'!B:B,1,0)</f>
        <v>ACEITE VEGETAL</v>
      </c>
    </row>
    <row r="1897" spans="2:8" ht="15.5" hidden="1" x14ac:dyDescent="0.35">
      <c r="B1897" s="75" t="s">
        <v>69</v>
      </c>
      <c r="C1897" s="80" t="s">
        <v>64</v>
      </c>
      <c r="D1897" s="73" t="s">
        <v>646</v>
      </c>
      <c r="E1897" s="74">
        <v>6.25E-2</v>
      </c>
      <c r="F1897" s="78" t="s">
        <v>259</v>
      </c>
      <c r="G1897" s="77" t="s">
        <v>621</v>
      </c>
      <c r="H1897" t="str">
        <f>VLOOKUP(D1897,'DETALLE PRECIO INGREDIENTES'!B:B,1,0)</f>
        <v>CEBOLLIN</v>
      </c>
    </row>
    <row r="1898" spans="2:8" ht="15.5" hidden="1" x14ac:dyDescent="0.35">
      <c r="B1898" s="75" t="s">
        <v>69</v>
      </c>
      <c r="C1898" s="80" t="s">
        <v>64</v>
      </c>
      <c r="D1898" s="73" t="s">
        <v>691</v>
      </c>
      <c r="E1898" s="74">
        <v>0.02</v>
      </c>
      <c r="F1898" s="78" t="s">
        <v>237</v>
      </c>
      <c r="G1898" s="77" t="s">
        <v>621</v>
      </c>
      <c r="H1898" t="str">
        <f>VLOOKUP(D1898,'DETALLE PRECIO INGREDIENTES'!B:B,1,0)</f>
        <v>PALTA HASS</v>
      </c>
    </row>
    <row r="1899" spans="2:8" ht="15.5" hidden="1" x14ac:dyDescent="0.35">
      <c r="B1899" s="75" t="s">
        <v>69</v>
      </c>
      <c r="C1899" s="80" t="s">
        <v>64</v>
      </c>
      <c r="D1899" s="73" t="s">
        <v>843</v>
      </c>
      <c r="E1899" s="74">
        <v>0.04</v>
      </c>
      <c r="F1899" s="78" t="s">
        <v>237</v>
      </c>
      <c r="G1899" s="77" t="s">
        <v>839</v>
      </c>
      <c r="H1899" t="str">
        <f>VLOOKUP(D1899,'DETALLE PRECIO INGREDIENTES'!B:B,1,0)</f>
        <v>POLLO PECHUGA S/HUESO</v>
      </c>
    </row>
    <row r="1900" spans="2:8" ht="15.5" hidden="1" x14ac:dyDescent="0.35">
      <c r="B1900" s="75" t="s">
        <v>69</v>
      </c>
      <c r="C1900" s="80" t="s">
        <v>64</v>
      </c>
      <c r="D1900" s="73" t="s">
        <v>386</v>
      </c>
      <c r="E1900" s="74">
        <v>1.2500000000000001E-2</v>
      </c>
      <c r="F1900" s="78" t="s">
        <v>237</v>
      </c>
      <c r="G1900" s="77" t="s">
        <v>220</v>
      </c>
      <c r="H1900" t="str">
        <f>VLOOKUP(D1900,'DETALLE PRECIO INGREDIENTES'!B:B,1,0)</f>
        <v>MAYONESA HELLMANS DELI</v>
      </c>
    </row>
    <row r="1901" spans="2:8" ht="15.5" hidden="1" x14ac:dyDescent="0.35">
      <c r="B1901" s="75" t="s">
        <v>69</v>
      </c>
      <c r="C1901" s="80" t="s">
        <v>64</v>
      </c>
      <c r="D1901" s="73" t="s">
        <v>412</v>
      </c>
      <c r="E1901" s="74">
        <v>2.5</v>
      </c>
      <c r="F1901" s="78" t="s">
        <v>259</v>
      </c>
      <c r="G1901" s="77" t="s">
        <v>220</v>
      </c>
      <c r="H1901" t="str">
        <f>VLOOKUP(D1901,'DETALLE PRECIO INGREDIENTES'!B:B,1,0)</f>
        <v>PAPEL DE ARROZ</v>
      </c>
    </row>
    <row r="1902" spans="2:8" ht="15.5" hidden="1" x14ac:dyDescent="0.35">
      <c r="B1902" s="75" t="s">
        <v>69</v>
      </c>
      <c r="C1902" s="80" t="s">
        <v>64</v>
      </c>
      <c r="D1902" s="73" t="s">
        <v>720</v>
      </c>
      <c r="E1902" s="74">
        <v>1.2500000000000001E-2</v>
      </c>
      <c r="F1902" s="78" t="s">
        <v>237</v>
      </c>
      <c r="G1902" s="77" t="s">
        <v>621</v>
      </c>
      <c r="H1902" t="str">
        <f>VLOOKUP(D1902,'DETALLE PRECIO INGREDIENTES'!B:B,1,0)</f>
        <v>ZANAHORIA</v>
      </c>
    </row>
    <row r="1903" spans="2:8" ht="15.5" hidden="1" x14ac:dyDescent="0.35">
      <c r="B1903" s="75" t="s">
        <v>69</v>
      </c>
      <c r="C1903" s="80" t="s">
        <v>64</v>
      </c>
      <c r="D1903" s="73" t="s">
        <v>704</v>
      </c>
      <c r="E1903" s="74">
        <v>5.0000000000000001E-3</v>
      </c>
      <c r="F1903" s="78" t="s">
        <v>259</v>
      </c>
      <c r="G1903" s="77" t="s">
        <v>621</v>
      </c>
      <c r="H1903" t="str">
        <f>VLOOKUP(D1903,'DETALLE PRECIO INGREDIENTES'!B:B,1,0)</f>
        <v>PIÑA CARAMELO</v>
      </c>
    </row>
    <row r="1904" spans="2:8" ht="15.5" hidden="1" x14ac:dyDescent="0.35">
      <c r="B1904" s="75" t="s">
        <v>69</v>
      </c>
      <c r="C1904" s="80" t="s">
        <v>64</v>
      </c>
      <c r="D1904" s="73" t="s">
        <v>710</v>
      </c>
      <c r="E1904" s="74">
        <v>7.4999999999999997E-3</v>
      </c>
      <c r="F1904" s="78" t="s">
        <v>259</v>
      </c>
      <c r="G1904" s="77" t="s">
        <v>621</v>
      </c>
      <c r="H1904" t="str">
        <f>VLOOKUP(D1904,'DETALLE PRECIO INGREDIENTES'!B:B,1,0)</f>
        <v>REPOLLO MORADO</v>
      </c>
    </row>
    <row r="1905" spans="2:8" ht="15.5" hidden="1" x14ac:dyDescent="0.35">
      <c r="B1905" s="75" t="s">
        <v>69</v>
      </c>
      <c r="C1905" s="80" t="s">
        <v>64</v>
      </c>
      <c r="D1905" s="73" t="s">
        <v>750</v>
      </c>
      <c r="E1905" s="74">
        <v>1.25E-3</v>
      </c>
      <c r="F1905" s="78" t="s">
        <v>237</v>
      </c>
      <c r="G1905" s="77" t="s">
        <v>736</v>
      </c>
      <c r="H1905" t="str">
        <f>VLOOKUP(D1905,'DETALLE PRECIO INGREDIENTES'!B:B,1,0)</f>
        <v>MANTEQUILLA CON SAL</v>
      </c>
    </row>
    <row r="1906" spans="2:8" ht="15.5" hidden="1" x14ac:dyDescent="0.35">
      <c r="B1906" s="75" t="s">
        <v>69</v>
      </c>
      <c r="C1906" s="80" t="s">
        <v>64</v>
      </c>
      <c r="D1906" s="73" t="s">
        <v>293</v>
      </c>
      <c r="E1906" s="74">
        <v>2.5000000000000001E-4</v>
      </c>
      <c r="F1906" s="78" t="s">
        <v>237</v>
      </c>
      <c r="G1906" s="77" t="s">
        <v>220</v>
      </c>
      <c r="H1906" t="str">
        <f>VLOOKUP(D1906,'DETALLE PRECIO INGREDIENTES'!B:B,1,0)</f>
        <v>CANELA ENTERA</v>
      </c>
    </row>
    <row r="1907" spans="2:8" ht="15.5" hidden="1" x14ac:dyDescent="0.35">
      <c r="B1907" s="75" t="s">
        <v>69</v>
      </c>
      <c r="C1907" s="80" t="s">
        <v>64</v>
      </c>
      <c r="D1907" s="73" t="s">
        <v>702</v>
      </c>
      <c r="E1907" s="74">
        <v>5.0000000000000001E-3</v>
      </c>
      <c r="F1907" s="78" t="s">
        <v>259</v>
      </c>
      <c r="G1907" s="77" t="s">
        <v>621</v>
      </c>
      <c r="H1907" t="str">
        <f>VLOOKUP(D1907,'DETALLE PRECIO INGREDIENTES'!B:B,1,0)</f>
        <v>PIMIENTO ROJO</v>
      </c>
    </row>
    <row r="1908" spans="2:8" ht="15.5" hidden="1" x14ac:dyDescent="0.35">
      <c r="B1908" s="75" t="s">
        <v>69</v>
      </c>
      <c r="C1908" s="80" t="s">
        <v>64</v>
      </c>
      <c r="D1908" s="73" t="s">
        <v>690</v>
      </c>
      <c r="E1908" s="74">
        <v>2.5000000000000001E-2</v>
      </c>
      <c r="F1908" s="78" t="s">
        <v>237</v>
      </c>
      <c r="G1908" s="77" t="s">
        <v>621</v>
      </c>
      <c r="H1908" t="str">
        <f>VLOOKUP(D1908,'DETALLE PRECIO INGREDIENTES'!B:B,1,0)</f>
        <v>NARANJA DE JUGO</v>
      </c>
    </row>
    <row r="1909" spans="2:8" ht="15.5" hidden="1" x14ac:dyDescent="0.35">
      <c r="B1909" s="75" t="s">
        <v>69</v>
      </c>
      <c r="C1909" s="80" t="s">
        <v>64</v>
      </c>
      <c r="D1909" s="73" t="s">
        <v>675</v>
      </c>
      <c r="E1909" s="74">
        <v>2.5000000000000001E-3</v>
      </c>
      <c r="F1909" s="78" t="s">
        <v>237</v>
      </c>
      <c r="G1909" s="77" t="s">
        <v>621</v>
      </c>
      <c r="H1909" t="str">
        <f>VLOOKUP(D1909,'DETALLE PRECIO INGREDIENTES'!B:B,1,0)</f>
        <v>JENGIBRE</v>
      </c>
    </row>
    <row r="1910" spans="2:8" ht="15.5" hidden="1" x14ac:dyDescent="0.35">
      <c r="B1910" s="75" t="s">
        <v>69</v>
      </c>
      <c r="C1910" s="80" t="s">
        <v>64</v>
      </c>
      <c r="D1910" s="73" t="s">
        <v>449</v>
      </c>
      <c r="E1910" s="74">
        <v>2.5000000000000001E-2</v>
      </c>
      <c r="F1910" s="78" t="s">
        <v>222</v>
      </c>
      <c r="G1910" s="77" t="s">
        <v>220</v>
      </c>
      <c r="H1910" t="str">
        <f>VLOOKUP(D1910,'DETALLE PRECIO INGREDIENTES'!B:B,1,0)</f>
        <v>SALSA DE SOYA</v>
      </c>
    </row>
    <row r="1911" spans="2:8" ht="15.5" hidden="1" x14ac:dyDescent="0.35">
      <c r="B1911" s="75" t="s">
        <v>69</v>
      </c>
      <c r="C1911" s="80" t="s">
        <v>64</v>
      </c>
      <c r="D1911" s="73" t="s">
        <v>716</v>
      </c>
      <c r="E1911" s="74">
        <v>0.02</v>
      </c>
      <c r="F1911" s="78" t="s">
        <v>237</v>
      </c>
      <c r="G1911" s="77" t="s">
        <v>621</v>
      </c>
      <c r="H1911" t="str">
        <f>VLOOKUP(D1911,'DETALLE PRECIO INGREDIENTES'!B:B,1,0)</f>
        <v>TOMATE LARGA VIDA</v>
      </c>
    </row>
    <row r="1912" spans="2:8" ht="15.5" hidden="1" x14ac:dyDescent="0.35">
      <c r="B1912" s="75" t="s">
        <v>69</v>
      </c>
      <c r="C1912" s="80" t="s">
        <v>64</v>
      </c>
      <c r="D1912" s="73" t="s">
        <v>398</v>
      </c>
      <c r="E1912" s="74">
        <v>1E-3</v>
      </c>
      <c r="F1912" s="78" t="s">
        <v>237</v>
      </c>
      <c r="G1912" s="77" t="s">
        <v>220</v>
      </c>
      <c r="H1912" t="str">
        <f>VLOOKUP(D1912,'DETALLE PRECIO INGREDIENTES'!B:B,1,0)</f>
        <v>MOSTAZA DIJON</v>
      </c>
    </row>
    <row r="1913" spans="2:8" ht="15.5" hidden="1" x14ac:dyDescent="0.35">
      <c r="B1913" s="75" t="s">
        <v>69</v>
      </c>
      <c r="C1913" s="80" t="s">
        <v>64</v>
      </c>
      <c r="D1913" s="73" t="s">
        <v>598</v>
      </c>
      <c r="E1913" s="74">
        <v>0.05</v>
      </c>
      <c r="F1913" s="78" t="s">
        <v>237</v>
      </c>
      <c r="G1913" s="77" t="s">
        <v>587</v>
      </c>
      <c r="H1913" t="str">
        <f>VLOOKUP(D1913,'DETALLE PRECIO INGREDIENTES'!B:B,1,0)</f>
        <v>PULPA DE MARACUYA S/AZUCAR</v>
      </c>
    </row>
    <row r="1914" spans="2:8" ht="15.5" hidden="1" x14ac:dyDescent="0.35">
      <c r="B1914" s="75" t="s">
        <v>69</v>
      </c>
      <c r="C1914" s="80" t="s">
        <v>63</v>
      </c>
      <c r="D1914" s="73" t="s">
        <v>866</v>
      </c>
      <c r="E1914" s="74">
        <v>0.03</v>
      </c>
      <c r="F1914" s="78" t="s">
        <v>237</v>
      </c>
      <c r="G1914" s="77" t="s">
        <v>852</v>
      </c>
      <c r="H1914" t="str">
        <f>VLOOKUP(D1914,'DETALLE PRECIO INGREDIENTES'!B:B,1,0)</f>
        <v>VACUNO LOMO LISO</v>
      </c>
    </row>
    <row r="1915" spans="2:8" ht="15.5" hidden="1" x14ac:dyDescent="0.35">
      <c r="B1915" s="75" t="s">
        <v>69</v>
      </c>
      <c r="C1915" s="80" t="s">
        <v>63</v>
      </c>
      <c r="D1915" s="73" t="s">
        <v>297</v>
      </c>
      <c r="E1915" s="74">
        <v>8.0000000000000002E-3</v>
      </c>
      <c r="F1915" s="78" t="s">
        <v>237</v>
      </c>
      <c r="G1915" s="77" t="s">
        <v>220</v>
      </c>
      <c r="H1915" t="str">
        <f>VLOOKUP(D1915,'DETALLE PRECIO INGREDIENTES'!B:B,1,0)</f>
        <v>CEBOLLITA PERLA EN VINAGRE</v>
      </c>
    </row>
    <row r="1916" spans="2:8" ht="15.5" hidden="1" x14ac:dyDescent="0.35">
      <c r="B1916" s="75" t="s">
        <v>69</v>
      </c>
      <c r="C1916" s="80" t="s">
        <v>63</v>
      </c>
      <c r="D1916" s="73" t="s">
        <v>702</v>
      </c>
      <c r="E1916" s="74">
        <v>0.05</v>
      </c>
      <c r="F1916" s="78" t="s">
        <v>259</v>
      </c>
      <c r="G1916" s="77" t="s">
        <v>621</v>
      </c>
      <c r="H1916" t="str">
        <f>VLOOKUP(D1916,'DETALLE PRECIO INGREDIENTES'!B:B,1,0)</f>
        <v>PIMIENTO ROJO</v>
      </c>
    </row>
    <row r="1917" spans="2:8" ht="15.5" hidden="1" x14ac:dyDescent="0.35">
      <c r="B1917" s="75" t="s">
        <v>69</v>
      </c>
      <c r="C1917" s="80" t="s">
        <v>63</v>
      </c>
      <c r="D1917" s="73" t="s">
        <v>493</v>
      </c>
      <c r="E1917" s="74">
        <v>0.1</v>
      </c>
      <c r="F1917" s="78" t="s">
        <v>259</v>
      </c>
      <c r="G1917" s="77" t="s">
        <v>485</v>
      </c>
      <c r="H1917" t="str">
        <f>VLOOKUP(D1917,'DETALLE PRECIO INGREDIENTES'!B:B,1,0)</f>
        <v>BROCHETA DE BAMBU 12 CM 100 UN</v>
      </c>
    </row>
    <row r="1918" spans="2:8" ht="15.5" hidden="1" x14ac:dyDescent="0.35">
      <c r="B1918" s="75" t="s">
        <v>69</v>
      </c>
      <c r="C1918" s="80" t="s">
        <v>63</v>
      </c>
      <c r="D1918" s="73" t="s">
        <v>750</v>
      </c>
      <c r="E1918" s="74">
        <v>1.53125E-2</v>
      </c>
      <c r="F1918" s="78" t="s">
        <v>237</v>
      </c>
      <c r="G1918" s="77" t="s">
        <v>736</v>
      </c>
      <c r="H1918" t="str">
        <f>VLOOKUP(D1918,'DETALLE PRECIO INGREDIENTES'!B:B,1,0)</f>
        <v>MANTEQUILLA CON SAL</v>
      </c>
    </row>
    <row r="1919" spans="2:8" ht="15.5" hidden="1" x14ac:dyDescent="0.35">
      <c r="B1919" s="75" t="s">
        <v>69</v>
      </c>
      <c r="C1919" s="80" t="s">
        <v>63</v>
      </c>
      <c r="D1919" s="73" t="s">
        <v>427</v>
      </c>
      <c r="E1919" s="74">
        <v>9.3749999999999997E-4</v>
      </c>
      <c r="F1919" s="78" t="s">
        <v>237</v>
      </c>
      <c r="G1919" s="77" t="s">
        <v>220</v>
      </c>
      <c r="H1919" t="str">
        <f>VLOOKUP(D1919,'DETALLE PRECIO INGREDIENTES'!B:B,1,0)</f>
        <v>PIMIENTA NEGRA ENTERA</v>
      </c>
    </row>
    <row r="1920" spans="2:8" ht="15.5" hidden="1" x14ac:dyDescent="0.35">
      <c r="B1920" s="75" t="s">
        <v>69</v>
      </c>
      <c r="C1920" s="80" t="s">
        <v>63</v>
      </c>
      <c r="D1920" s="73" t="s">
        <v>779</v>
      </c>
      <c r="E1920" s="74">
        <v>3.1250000000000002E-3</v>
      </c>
      <c r="F1920" s="78" t="s">
        <v>259</v>
      </c>
      <c r="G1920" s="77" t="s">
        <v>776</v>
      </c>
      <c r="H1920" t="str">
        <f>VLOOKUP(D1920,'DETALLE PRECIO INGREDIENTES'!B:B,1,0)</f>
        <v>COÑAC TRES PALOS</v>
      </c>
    </row>
    <row r="1921" spans="2:8" ht="15.5" hidden="1" x14ac:dyDescent="0.35">
      <c r="B1921" s="75" t="s">
        <v>69</v>
      </c>
      <c r="C1921" s="80" t="s">
        <v>63</v>
      </c>
      <c r="D1921" s="73" t="s">
        <v>739</v>
      </c>
      <c r="E1921" s="74">
        <v>0.03</v>
      </c>
      <c r="F1921" s="78" t="s">
        <v>222</v>
      </c>
      <c r="G1921" s="77" t="s">
        <v>736</v>
      </c>
      <c r="H1921" t="str">
        <f>VLOOKUP(D1921,'DETALLE PRECIO INGREDIENTES'!B:B,1,0)</f>
        <v>CREMA DE LECHE</v>
      </c>
    </row>
    <row r="1922" spans="2:8" ht="15.5" hidden="1" x14ac:dyDescent="0.35">
      <c r="B1922" s="75" t="s">
        <v>69</v>
      </c>
      <c r="C1922" s="80" t="s">
        <v>63</v>
      </c>
      <c r="D1922" s="73" t="s">
        <v>228</v>
      </c>
      <c r="E1922" s="74">
        <v>1.125E-2</v>
      </c>
      <c r="F1922" s="78" t="s">
        <v>222</v>
      </c>
      <c r="G1922" s="77" t="s">
        <v>220</v>
      </c>
      <c r="H1922" t="str">
        <f>VLOOKUP(D1922,'DETALLE PRECIO INGREDIENTES'!B:B,1,0)</f>
        <v>ACEITE DE MARAVILLA</v>
      </c>
    </row>
    <row r="1923" spans="2:8" ht="15.5" hidden="1" x14ac:dyDescent="0.35">
      <c r="B1923" s="75" t="s">
        <v>69</v>
      </c>
      <c r="C1923" s="80" t="s">
        <v>63</v>
      </c>
      <c r="D1923" s="73" t="s">
        <v>651</v>
      </c>
      <c r="E1923" s="74">
        <v>0.05</v>
      </c>
      <c r="F1923" s="78" t="s">
        <v>237</v>
      </c>
      <c r="G1923" s="77" t="s">
        <v>621</v>
      </c>
      <c r="H1923" t="str">
        <f>VLOOKUP(D1923,'DETALLE PRECIO INGREDIENTES'!B:B,1,0)</f>
        <v>CHAMPIÑON PARIS</v>
      </c>
    </row>
    <row r="1924" spans="2:8" ht="15.5" hidden="1" x14ac:dyDescent="0.35">
      <c r="B1924" s="75" t="s">
        <v>69</v>
      </c>
      <c r="C1924" s="80" t="s">
        <v>63</v>
      </c>
      <c r="D1924" s="73" t="s">
        <v>354</v>
      </c>
      <c r="E1924" s="74">
        <v>0.01</v>
      </c>
      <c r="F1924" s="78" t="s">
        <v>237</v>
      </c>
      <c r="G1924" s="77" t="s">
        <v>220</v>
      </c>
      <c r="H1924" t="str">
        <f>VLOOKUP(D1924,'DETALLE PRECIO INGREDIENTES'!B:B,1,0)</f>
        <v>HARINA BIZCOCHERA</v>
      </c>
    </row>
    <row r="1925" spans="2:8" ht="15.5" hidden="1" x14ac:dyDescent="0.35">
      <c r="B1925" s="75" t="s">
        <v>69</v>
      </c>
      <c r="C1925" s="80" t="s">
        <v>63</v>
      </c>
      <c r="D1925" s="73" t="s">
        <v>748</v>
      </c>
      <c r="E1925" s="74">
        <v>1.8749999999999999E-2</v>
      </c>
      <c r="F1925" s="78" t="s">
        <v>222</v>
      </c>
      <c r="G1925" s="77" t="s">
        <v>736</v>
      </c>
      <c r="H1925" t="str">
        <f>VLOOKUP(D1925,'DETALLE PRECIO INGREDIENTES'!B:B,1,0)</f>
        <v>LECHE ENTERA</v>
      </c>
    </row>
    <row r="1926" spans="2:8" ht="15.5" hidden="1" x14ac:dyDescent="0.35">
      <c r="B1926" s="75" t="s">
        <v>69</v>
      </c>
      <c r="C1926" s="80" t="s">
        <v>63</v>
      </c>
      <c r="D1926" s="73" t="s">
        <v>649</v>
      </c>
      <c r="E1926" s="74">
        <v>6.25E-2</v>
      </c>
      <c r="F1926" s="78" t="s">
        <v>259</v>
      </c>
      <c r="G1926" s="77" t="s">
        <v>621</v>
      </c>
      <c r="H1926" t="str">
        <f>VLOOKUP(D1926,'DETALLE PRECIO INGREDIENTES'!B:B,1,0)</f>
        <v>CHALOTA</v>
      </c>
    </row>
    <row r="1927" spans="2:8" ht="15.5" hidden="1" x14ac:dyDescent="0.35">
      <c r="B1927" s="75" t="s">
        <v>69</v>
      </c>
      <c r="C1927" s="80" t="s">
        <v>63</v>
      </c>
      <c r="D1927" s="73" t="s">
        <v>766</v>
      </c>
      <c r="E1927" s="74">
        <v>6.2500000000000003E-3</v>
      </c>
      <c r="F1927" s="78" t="s">
        <v>237</v>
      </c>
      <c r="G1927" s="77" t="s">
        <v>736</v>
      </c>
      <c r="H1927" t="str">
        <f>VLOOKUP(D1927,'DETALLE PRECIO INGREDIENTES'!B:B,1,0)</f>
        <v>QUESO MANTECOSO PIEZA</v>
      </c>
    </row>
    <row r="1928" spans="2:8" ht="15.5" hidden="1" x14ac:dyDescent="0.35">
      <c r="B1928" s="75" t="s">
        <v>69</v>
      </c>
      <c r="C1928" s="80" t="s">
        <v>63</v>
      </c>
      <c r="D1928" s="73" t="s">
        <v>404</v>
      </c>
      <c r="E1928" s="74">
        <v>3.1250000000000001E-4</v>
      </c>
      <c r="F1928" s="78" t="s">
        <v>237</v>
      </c>
      <c r="G1928" s="77" t="s">
        <v>220</v>
      </c>
      <c r="H1928" t="str">
        <f>VLOOKUP(D1928,'DETALLE PRECIO INGREDIENTES'!B:B,1,0)</f>
        <v>NUEZ MOSCADA ENTERA</v>
      </c>
    </row>
    <row r="1929" spans="2:8" ht="15.5" hidden="1" x14ac:dyDescent="0.35">
      <c r="B1929" s="75" t="s">
        <v>69</v>
      </c>
      <c r="C1929" s="80" t="s">
        <v>63</v>
      </c>
      <c r="D1929" s="73" t="s">
        <v>844</v>
      </c>
      <c r="E1929" s="74">
        <v>3.125E-2</v>
      </c>
      <c r="F1929" s="78" t="s">
        <v>237</v>
      </c>
      <c r="G1929" s="77" t="s">
        <v>839</v>
      </c>
      <c r="H1929" t="str">
        <f>VLOOKUP(D1929,'DETALLE PRECIO INGREDIENTES'!B:B,1,0)</f>
        <v>POLLO TRUTRO ALA</v>
      </c>
    </row>
    <row r="1930" spans="2:8" ht="15.5" hidden="1" x14ac:dyDescent="0.35">
      <c r="B1930" s="75" t="s">
        <v>69</v>
      </c>
      <c r="C1930" s="80" t="s">
        <v>63</v>
      </c>
      <c r="D1930" s="73" t="s">
        <v>426</v>
      </c>
      <c r="E1930" s="74">
        <v>3.1250000000000001E-4</v>
      </c>
      <c r="F1930" s="78" t="s">
        <v>237</v>
      </c>
      <c r="G1930" s="77" t="s">
        <v>220</v>
      </c>
      <c r="H1930" t="str">
        <f>VLOOKUP(D1930,'DETALLE PRECIO INGREDIENTES'!B:B,1,0)</f>
        <v>PIMIENTA CAYENA</v>
      </c>
    </row>
    <row r="1931" spans="2:8" ht="15.5" hidden="1" x14ac:dyDescent="0.35">
      <c r="B1931" s="75" t="s">
        <v>69</v>
      </c>
      <c r="C1931" s="80" t="s">
        <v>63</v>
      </c>
      <c r="D1931" s="73" t="s">
        <v>254</v>
      </c>
      <c r="E1931" s="74">
        <v>3.1250000000000001E-4</v>
      </c>
      <c r="F1931" s="78" t="s">
        <v>237</v>
      </c>
      <c r="G1931" s="77" t="s">
        <v>220</v>
      </c>
      <c r="H1931" t="str">
        <f>VLOOKUP(D1931,'DETALLE PRECIO INGREDIENTES'!B:B,1,0)</f>
        <v>AJO EN POLVO</v>
      </c>
    </row>
    <row r="1932" spans="2:8" ht="15.5" hidden="1" x14ac:dyDescent="0.35">
      <c r="B1932" s="75" t="s">
        <v>69</v>
      </c>
      <c r="C1932" s="80" t="s">
        <v>63</v>
      </c>
      <c r="D1932" s="73" t="s">
        <v>252</v>
      </c>
      <c r="E1932" s="74">
        <v>6.2500000000000001E-4</v>
      </c>
      <c r="F1932" s="78" t="s">
        <v>222</v>
      </c>
      <c r="G1932" s="77" t="s">
        <v>220</v>
      </c>
      <c r="H1932" t="str">
        <f>VLOOKUP(D1932,'DETALLE PRECIO INGREDIENTES'!B:B,1,0)</f>
        <v>AJI TABASCO ROJO</v>
      </c>
    </row>
    <row r="1933" spans="2:8" ht="15.5" hidden="1" x14ac:dyDescent="0.35">
      <c r="B1933" s="75" t="s">
        <v>69</v>
      </c>
      <c r="C1933" s="80" t="s">
        <v>63</v>
      </c>
      <c r="D1933" s="73" t="s">
        <v>451</v>
      </c>
      <c r="E1933" s="74">
        <v>3.1250000000000001E-4</v>
      </c>
      <c r="F1933" s="78" t="s">
        <v>222</v>
      </c>
      <c r="G1933" s="77" t="s">
        <v>220</v>
      </c>
      <c r="H1933" t="str">
        <f>VLOOKUP(D1933,'DETALLE PRECIO INGREDIENTES'!B:B,1,0)</f>
        <v>SALSA INGLESA</v>
      </c>
    </row>
    <row r="1934" spans="2:8" ht="15.5" hidden="1" x14ac:dyDescent="0.35">
      <c r="B1934" s="75" t="s">
        <v>69</v>
      </c>
      <c r="C1934" s="80" t="s">
        <v>63</v>
      </c>
      <c r="D1934" s="73" t="s">
        <v>476</v>
      </c>
      <c r="E1934" s="74">
        <v>4.3750000000000004E-3</v>
      </c>
      <c r="F1934" s="78" t="s">
        <v>222</v>
      </c>
      <c r="G1934" s="77" t="s">
        <v>220</v>
      </c>
      <c r="H1934" t="str">
        <f>VLOOKUP(D1934,'DETALLE PRECIO INGREDIENTES'!B:B,1,0)</f>
        <v>VINAGRE DE MANZANA</v>
      </c>
    </row>
    <row r="1935" spans="2:8" ht="15.5" hidden="1" x14ac:dyDescent="0.35">
      <c r="B1935" s="75" t="s">
        <v>69</v>
      </c>
      <c r="C1935" s="80" t="s">
        <v>63</v>
      </c>
      <c r="D1935" s="73" t="s">
        <v>251</v>
      </c>
      <c r="E1935" s="74">
        <v>8.7500000000000008E-3</v>
      </c>
      <c r="F1935" s="78" t="s">
        <v>237</v>
      </c>
      <c r="G1935" s="77" t="s">
        <v>220</v>
      </c>
      <c r="H1935" t="str">
        <f>VLOOKUP(D1935,'DETALLE PRECIO INGREDIENTES'!B:B,1,0)</f>
        <v>AJI SRIRACHA</v>
      </c>
    </row>
    <row r="1936" spans="2:8" ht="15.5" hidden="1" x14ac:dyDescent="0.35">
      <c r="B1936" s="75" t="s">
        <v>69</v>
      </c>
      <c r="C1936" s="80" t="s">
        <v>63</v>
      </c>
      <c r="D1936" s="73" t="s">
        <v>277</v>
      </c>
      <c r="E1936" s="74">
        <v>1.4999999999999999E-2</v>
      </c>
      <c r="F1936" s="78" t="s">
        <v>237</v>
      </c>
      <c r="G1936" s="77" t="s">
        <v>220</v>
      </c>
      <c r="H1936" t="str">
        <f>VLOOKUP(D1936,'DETALLE PRECIO INGREDIENTES'!B:B,1,0)</f>
        <v>AZUCAR BLANCA GRANULADA</v>
      </c>
    </row>
    <row r="1937" spans="2:8" ht="15.5" hidden="1" x14ac:dyDescent="0.35">
      <c r="B1937" s="75" t="s">
        <v>69</v>
      </c>
      <c r="C1937" s="80" t="s">
        <v>63</v>
      </c>
      <c r="D1937" s="73" t="s">
        <v>354</v>
      </c>
      <c r="E1937" s="74">
        <v>1.2500000000000001E-2</v>
      </c>
      <c r="F1937" s="78" t="s">
        <v>237</v>
      </c>
      <c r="G1937" s="77" t="s">
        <v>220</v>
      </c>
      <c r="H1937" t="str">
        <f>VLOOKUP(D1937,'DETALLE PRECIO INGREDIENTES'!B:B,1,0)</f>
        <v>HARINA BIZCOCHERA</v>
      </c>
    </row>
    <row r="1938" spans="2:8" ht="15.5" hidden="1" x14ac:dyDescent="0.35">
      <c r="B1938" s="75" t="s">
        <v>69</v>
      </c>
      <c r="C1938" s="80" t="s">
        <v>63</v>
      </c>
      <c r="D1938" s="73" t="s">
        <v>375</v>
      </c>
      <c r="E1938" s="74">
        <v>6.2500000000000003E-3</v>
      </c>
      <c r="F1938" s="78" t="s">
        <v>237</v>
      </c>
      <c r="G1938" s="77" t="s">
        <v>220</v>
      </c>
      <c r="H1938" t="str">
        <f>VLOOKUP(D1938,'DETALLE PRECIO INGREDIENTES'!B:B,1,0)</f>
        <v>MAICENA</v>
      </c>
    </row>
    <row r="1939" spans="2:8" ht="15.5" hidden="1" x14ac:dyDescent="0.35">
      <c r="B1939" s="75" t="s">
        <v>69</v>
      </c>
      <c r="C1939" s="80" t="s">
        <v>63</v>
      </c>
      <c r="D1939" s="73" t="s">
        <v>413</v>
      </c>
      <c r="E1939" s="74">
        <v>6.2500000000000001E-4</v>
      </c>
      <c r="F1939" s="78" t="s">
        <v>237</v>
      </c>
      <c r="G1939" s="77" t="s">
        <v>220</v>
      </c>
      <c r="H1939" t="str">
        <f>VLOOKUP(D1939,'DETALLE PRECIO INGREDIENTES'!B:B,1,0)</f>
        <v>PAPRIKA</v>
      </c>
    </row>
    <row r="1940" spans="2:8" ht="15.5" hidden="1" x14ac:dyDescent="0.35">
      <c r="B1940" s="75" t="s">
        <v>69</v>
      </c>
      <c r="C1940" s="80" t="s">
        <v>63</v>
      </c>
      <c r="D1940" s="73" t="s">
        <v>233</v>
      </c>
      <c r="E1940" s="74">
        <v>3.125E-2</v>
      </c>
      <c r="F1940" s="78" t="s">
        <v>222</v>
      </c>
      <c r="G1940" s="77" t="s">
        <v>220</v>
      </c>
      <c r="H1940" t="str">
        <f>VLOOKUP(D1940,'DETALLE PRECIO INGREDIENTES'!B:B,1,0)</f>
        <v>ACEITE PARA FREIR</v>
      </c>
    </row>
    <row r="1941" spans="2:8" ht="15.5" hidden="1" x14ac:dyDescent="0.35">
      <c r="B1941" s="75" t="s">
        <v>69</v>
      </c>
      <c r="C1941" s="80" t="s">
        <v>63</v>
      </c>
      <c r="D1941" s="73" t="s">
        <v>671</v>
      </c>
      <c r="E1941" s="74">
        <v>6.25E-2</v>
      </c>
      <c r="F1941" s="78" t="s">
        <v>237</v>
      </c>
      <c r="G1941" s="77" t="s">
        <v>621</v>
      </c>
      <c r="H1941" t="str">
        <f>VLOOKUP(D1941,'DETALLE PRECIO INGREDIENTES'!B:B,1,0)</f>
        <v>FRUTILLA FRESCA</v>
      </c>
    </row>
    <row r="1942" spans="2:8" ht="15.5" hidden="1" x14ac:dyDescent="0.35">
      <c r="B1942" s="75" t="s">
        <v>69</v>
      </c>
      <c r="C1942" s="80" t="s">
        <v>63</v>
      </c>
      <c r="D1942" s="73" t="s">
        <v>507</v>
      </c>
      <c r="E1942" s="74">
        <v>0.625</v>
      </c>
      <c r="F1942" s="78" t="s">
        <v>259</v>
      </c>
      <c r="G1942" s="77" t="s">
        <v>485</v>
      </c>
      <c r="H1942" t="str">
        <f>VLOOKUP(D1942,'DETALLE PRECIO INGREDIENTES'!B:B,1,0)</f>
        <v>MONDADIENTE COCTEL 100 UNIDADES</v>
      </c>
    </row>
    <row r="1943" spans="2:8" ht="15.5" hidden="1" x14ac:dyDescent="0.35">
      <c r="B1943" s="75" t="s">
        <v>69</v>
      </c>
      <c r="C1943" s="80" t="s">
        <v>63</v>
      </c>
      <c r="D1943" s="73" t="s">
        <v>546</v>
      </c>
      <c r="E1943" s="74">
        <v>1.2500000000000001E-2</v>
      </c>
      <c r="F1943" s="78" t="s">
        <v>237</v>
      </c>
      <c r="G1943" s="77" t="s">
        <v>525</v>
      </c>
      <c r="H1943" t="str">
        <f>VLOOKUP(D1943,'DETALLE PRECIO INGREDIENTES'!B:B,1,0)</f>
        <v>TOCINO LAMINADO</v>
      </c>
    </row>
    <row r="1944" spans="2:8" ht="15.5" hidden="1" x14ac:dyDescent="0.35">
      <c r="B1944" s="75" t="s">
        <v>69</v>
      </c>
      <c r="C1944" s="80" t="s">
        <v>63</v>
      </c>
      <c r="D1944" s="73" t="s">
        <v>240</v>
      </c>
      <c r="E1944" s="74">
        <v>9.3749999999999997E-3</v>
      </c>
      <c r="F1944" s="78" t="s">
        <v>222</v>
      </c>
      <c r="G1944" s="77" t="s">
        <v>220</v>
      </c>
      <c r="H1944" t="str">
        <f>VLOOKUP(D1944,'DETALLE PRECIO INGREDIENTES'!B:B,1,0)</f>
        <v>ACETO BALSAMICO</v>
      </c>
    </row>
    <row r="1945" spans="2:8" ht="15.5" hidden="1" x14ac:dyDescent="0.35">
      <c r="B1945" s="75" t="s">
        <v>69</v>
      </c>
      <c r="C1945" s="80" t="s">
        <v>63</v>
      </c>
      <c r="D1945" s="73" t="s">
        <v>816</v>
      </c>
      <c r="E1945" s="74">
        <v>7.4999999999999997E-2</v>
      </c>
      <c r="F1945" s="78" t="s">
        <v>237</v>
      </c>
      <c r="G1945" s="77" t="s">
        <v>806</v>
      </c>
      <c r="H1945" t="str">
        <f>VLOOKUP(D1945,'DETALLE PRECIO INGREDIENTES'!B:B,1,0)</f>
        <v>CAMARON ECUATORIANO 36-40</v>
      </c>
    </row>
    <row r="1946" spans="2:8" ht="15.5" hidden="1" x14ac:dyDescent="0.35">
      <c r="B1946" s="75" t="s">
        <v>69</v>
      </c>
      <c r="C1946" s="80" t="s">
        <v>63</v>
      </c>
      <c r="D1946" s="73" t="s">
        <v>690</v>
      </c>
      <c r="E1946" s="74">
        <v>0.03</v>
      </c>
      <c r="F1946" s="78" t="s">
        <v>237</v>
      </c>
      <c r="G1946" s="77" t="s">
        <v>621</v>
      </c>
      <c r="H1946" t="str">
        <f>VLOOKUP(D1946,'DETALLE PRECIO INGREDIENTES'!B:B,1,0)</f>
        <v>NARANJA DE JUGO</v>
      </c>
    </row>
    <row r="1947" spans="2:8" ht="15.5" hidden="1" x14ac:dyDescent="0.35">
      <c r="B1947" s="75" t="s">
        <v>69</v>
      </c>
      <c r="C1947" s="80" t="s">
        <v>63</v>
      </c>
      <c r="D1947" s="73" t="s">
        <v>973</v>
      </c>
      <c r="E1947" s="74">
        <v>7.4999999999999997E-3</v>
      </c>
      <c r="F1947" s="78" t="s">
        <v>222</v>
      </c>
      <c r="G1947" s="77" t="s">
        <v>220</v>
      </c>
      <c r="H1947" t="str">
        <f>VLOOKUP(D1947,'DETALLE PRECIO INGREDIENTES'!B:B,1,0)</f>
        <v>vinagre de arroz</v>
      </c>
    </row>
    <row r="1948" spans="2:8" ht="15.5" hidden="1" x14ac:dyDescent="0.35">
      <c r="B1948" s="75" t="s">
        <v>69</v>
      </c>
      <c r="C1948" s="80" t="s">
        <v>63</v>
      </c>
      <c r="D1948" s="73" t="s">
        <v>675</v>
      </c>
      <c r="E1948" s="74">
        <v>2.5000000000000001E-3</v>
      </c>
      <c r="F1948" s="78" t="s">
        <v>237</v>
      </c>
      <c r="G1948" s="77" t="s">
        <v>621</v>
      </c>
      <c r="H1948" t="str">
        <f>VLOOKUP(D1948,'DETALLE PRECIO INGREDIENTES'!B:B,1,0)</f>
        <v>JENGIBRE</v>
      </c>
    </row>
    <row r="1949" spans="2:8" ht="15.5" hidden="1" x14ac:dyDescent="0.35">
      <c r="B1949" s="75" t="s">
        <v>69</v>
      </c>
      <c r="C1949" s="80" t="s">
        <v>62</v>
      </c>
      <c r="D1949" s="73" t="s">
        <v>588</v>
      </c>
      <c r="E1949" s="74">
        <v>0.1</v>
      </c>
      <c r="F1949" s="78" t="s">
        <v>237</v>
      </c>
      <c r="G1949" s="77" t="s">
        <v>587</v>
      </c>
      <c r="H1949" t="str">
        <f>VLOOKUP(D1949,'DETALLE PRECIO INGREDIENTES'!B:B,1,0)</f>
        <v>PASTA DE CHOCLO</v>
      </c>
    </row>
    <row r="1950" spans="2:8" ht="15.5" hidden="1" x14ac:dyDescent="0.35">
      <c r="B1950" s="75" t="s">
        <v>69</v>
      </c>
      <c r="C1950" s="80" t="s">
        <v>62</v>
      </c>
      <c r="D1950" s="73" t="s">
        <v>629</v>
      </c>
      <c r="E1950" s="74">
        <v>1.25E-3</v>
      </c>
      <c r="F1950" s="78" t="s">
        <v>237</v>
      </c>
      <c r="G1950" s="77" t="s">
        <v>621</v>
      </c>
      <c r="H1950" t="str">
        <f>VLOOKUP(D1950,'DETALLE PRECIO INGREDIENTES'!B:B,1,0)</f>
        <v>ALBAHACA FRESCA</v>
      </c>
    </row>
    <row r="1951" spans="2:8" ht="15.5" hidden="1" x14ac:dyDescent="0.35">
      <c r="B1951" s="75" t="s">
        <v>69</v>
      </c>
      <c r="C1951" s="80" t="s">
        <v>62</v>
      </c>
      <c r="D1951" s="73" t="s">
        <v>748</v>
      </c>
      <c r="E1951" s="74">
        <v>0.03</v>
      </c>
      <c r="F1951" s="78" t="s">
        <v>222</v>
      </c>
      <c r="G1951" s="77" t="s">
        <v>736</v>
      </c>
      <c r="H1951" t="str">
        <f>VLOOKUP(D1951,'DETALLE PRECIO INGREDIENTES'!B:B,1,0)</f>
        <v>LECHE ENTERA</v>
      </c>
    </row>
    <row r="1952" spans="2:8" ht="15.5" hidden="1" x14ac:dyDescent="0.35">
      <c r="B1952" s="75" t="s">
        <v>69</v>
      </c>
      <c r="C1952" s="80" t="s">
        <v>62</v>
      </c>
      <c r="D1952" s="73" t="s">
        <v>750</v>
      </c>
      <c r="E1952" s="74">
        <v>1.4999999999999999E-2</v>
      </c>
      <c r="F1952" s="78" t="s">
        <v>237</v>
      </c>
      <c r="G1952" s="77" t="s">
        <v>736</v>
      </c>
      <c r="H1952" t="str">
        <f>VLOOKUP(D1952,'DETALLE PRECIO INGREDIENTES'!B:B,1,0)</f>
        <v>MANTEQUILLA CON SAL</v>
      </c>
    </row>
    <row r="1953" spans="2:8" ht="15.5" hidden="1" x14ac:dyDescent="0.35">
      <c r="B1953" s="75" t="s">
        <v>69</v>
      </c>
      <c r="C1953" s="80" t="s">
        <v>62</v>
      </c>
      <c r="D1953" s="73" t="s">
        <v>644</v>
      </c>
      <c r="E1953" s="74">
        <v>0.05</v>
      </c>
      <c r="F1953" s="78" t="s">
        <v>237</v>
      </c>
      <c r="G1953" s="77" t="s">
        <v>621</v>
      </c>
      <c r="H1953" t="str">
        <f>VLOOKUP(D1953,'DETALLE PRECIO INGREDIENTES'!B:B,1,0)</f>
        <v>CEBOLLA BLANCA</v>
      </c>
    </row>
    <row r="1954" spans="2:8" ht="15.5" hidden="1" x14ac:dyDescent="0.35">
      <c r="B1954" s="75" t="s">
        <v>69</v>
      </c>
      <c r="C1954" s="80" t="s">
        <v>62</v>
      </c>
      <c r="D1954" s="73" t="s">
        <v>628</v>
      </c>
      <c r="E1954" s="74">
        <v>0.05</v>
      </c>
      <c r="F1954" s="78" t="s">
        <v>259</v>
      </c>
      <c r="G1954" s="77" t="s">
        <v>621</v>
      </c>
      <c r="H1954" t="str">
        <f>VLOOKUP(D1954,'DETALLE PRECIO INGREDIENTES'!B:B,1,0)</f>
        <v>AJO CABEZA</v>
      </c>
    </row>
    <row r="1955" spans="2:8" ht="15.5" hidden="1" x14ac:dyDescent="0.35">
      <c r="B1955" s="75" t="s">
        <v>69</v>
      </c>
      <c r="C1955" s="80" t="s">
        <v>62</v>
      </c>
      <c r="D1955" s="73" t="s">
        <v>872</v>
      </c>
      <c r="E1955" s="74">
        <v>0.01</v>
      </c>
      <c r="F1955" s="78" t="s">
        <v>237</v>
      </c>
      <c r="G1955" s="77" t="s">
        <v>852</v>
      </c>
      <c r="H1955" t="str">
        <f>VLOOKUP(D1955,'DETALLE PRECIO INGREDIENTES'!B:B,1,0)</f>
        <v>VACUNO POSTA NEGRA</v>
      </c>
    </row>
    <row r="1956" spans="2:8" ht="15.5" hidden="1" x14ac:dyDescent="0.35">
      <c r="B1956" s="75" t="s">
        <v>69</v>
      </c>
      <c r="C1956" s="80" t="s">
        <v>62</v>
      </c>
      <c r="D1956" s="73" t="s">
        <v>427</v>
      </c>
      <c r="E1956" s="74">
        <v>9.3749999999999997E-4</v>
      </c>
      <c r="F1956" s="78" t="s">
        <v>237</v>
      </c>
      <c r="G1956" s="77" t="s">
        <v>220</v>
      </c>
      <c r="H1956" t="str">
        <f>VLOOKUP(D1956,'DETALLE PRECIO INGREDIENTES'!B:B,1,0)</f>
        <v>PIMIENTA NEGRA ENTERA</v>
      </c>
    </row>
    <row r="1957" spans="2:8" ht="15.5" hidden="1" x14ac:dyDescent="0.35">
      <c r="B1957" s="75" t="s">
        <v>69</v>
      </c>
      <c r="C1957" s="80" t="s">
        <v>62</v>
      </c>
      <c r="D1957" s="73" t="s">
        <v>238</v>
      </c>
      <c r="E1957" s="74">
        <v>4.3750000000000004E-3</v>
      </c>
      <c r="F1957" s="78" t="s">
        <v>237</v>
      </c>
      <c r="G1957" s="77" t="s">
        <v>220</v>
      </c>
      <c r="H1957" t="str">
        <f>VLOOKUP(D1957,'DETALLE PRECIO INGREDIENTES'!B:B,1,0)</f>
        <v>ACEITUNAS NEGRAS C/HUESO</v>
      </c>
    </row>
    <row r="1958" spans="2:8" ht="15.5" hidden="1" x14ac:dyDescent="0.35">
      <c r="B1958" s="75" t="s">
        <v>69</v>
      </c>
      <c r="C1958" s="80" t="s">
        <v>62</v>
      </c>
      <c r="D1958" s="73" t="s">
        <v>729</v>
      </c>
      <c r="E1958" s="74">
        <v>0.4</v>
      </c>
      <c r="F1958" s="78" t="s">
        <v>259</v>
      </c>
      <c r="G1958" s="77" t="s">
        <v>728</v>
      </c>
      <c r="H1958" t="str">
        <f>VLOOKUP(D1958,'DETALLE PRECIO INGREDIENTES'!B:B,1,0)</f>
        <v>HUEVO EXTRA BLANCO</v>
      </c>
    </row>
    <row r="1959" spans="2:8" ht="15.5" hidden="1" x14ac:dyDescent="0.35">
      <c r="B1959" s="75" t="s">
        <v>69</v>
      </c>
      <c r="C1959" s="80" t="s">
        <v>62</v>
      </c>
      <c r="D1959" s="73" t="s">
        <v>715</v>
      </c>
      <c r="E1959" s="74">
        <v>1.2500000000000001E-2</v>
      </c>
      <c r="F1959" s="78" t="s">
        <v>237</v>
      </c>
      <c r="G1959" s="77" t="s">
        <v>621</v>
      </c>
      <c r="H1959" t="str">
        <f>VLOOKUP(D1959,'DETALLE PRECIO INGREDIENTES'!B:B,1,0)</f>
        <v>TOMATE CHERRY</v>
      </c>
    </row>
    <row r="1960" spans="2:8" ht="15.5" hidden="1" x14ac:dyDescent="0.35">
      <c r="B1960" s="75" t="s">
        <v>69</v>
      </c>
      <c r="C1960" s="80" t="s">
        <v>62</v>
      </c>
      <c r="D1960" s="73" t="s">
        <v>627</v>
      </c>
      <c r="E1960" s="74">
        <v>6.2500000000000001E-4</v>
      </c>
      <c r="F1960" s="78" t="s">
        <v>237</v>
      </c>
      <c r="G1960" s="77" t="s">
        <v>621</v>
      </c>
      <c r="H1960" t="str">
        <f>VLOOKUP(D1960,'DETALLE PRECIO INGREDIENTES'!B:B,1,0)</f>
        <v>AJI VERDE</v>
      </c>
    </row>
    <row r="1961" spans="2:8" ht="15.5" hidden="1" x14ac:dyDescent="0.35">
      <c r="B1961" s="75" t="s">
        <v>69</v>
      </c>
      <c r="C1961" s="80" t="s">
        <v>62</v>
      </c>
      <c r="D1961" s="73" t="s">
        <v>230</v>
      </c>
      <c r="E1961" s="74">
        <v>8.1250000000000003E-3</v>
      </c>
      <c r="F1961" s="78" t="s">
        <v>222</v>
      </c>
      <c r="G1961" s="77" t="s">
        <v>220</v>
      </c>
      <c r="H1961" t="str">
        <f>VLOOKUP(D1961,'DETALLE PRECIO INGREDIENTES'!B:B,1,0)</f>
        <v>ACEITE DE OLIVA</v>
      </c>
    </row>
    <row r="1962" spans="2:8" ht="15.5" hidden="1" x14ac:dyDescent="0.35">
      <c r="B1962" s="75" t="s">
        <v>69</v>
      </c>
      <c r="C1962" s="80" t="s">
        <v>62</v>
      </c>
      <c r="D1962" s="73" t="s">
        <v>657</v>
      </c>
      <c r="E1962" s="74">
        <v>5.0000000000000001E-3</v>
      </c>
      <c r="F1962" s="78" t="s">
        <v>237</v>
      </c>
      <c r="G1962" s="77" t="s">
        <v>621</v>
      </c>
      <c r="H1962" t="str">
        <f>VLOOKUP(D1962,'DETALLE PRECIO INGREDIENTES'!B:B,1,0)</f>
        <v>CILANTRO</v>
      </c>
    </row>
    <row r="1963" spans="2:8" ht="15.5" hidden="1" x14ac:dyDescent="0.35">
      <c r="B1963" s="75" t="s">
        <v>69</v>
      </c>
      <c r="C1963" s="80" t="s">
        <v>62</v>
      </c>
      <c r="D1963" s="73" t="s">
        <v>702</v>
      </c>
      <c r="E1963" s="74">
        <v>0.06</v>
      </c>
      <c r="F1963" s="78" t="s">
        <v>259</v>
      </c>
      <c r="G1963" s="77" t="s">
        <v>621</v>
      </c>
      <c r="H1963" t="str">
        <f>VLOOKUP(D1963,'DETALLE PRECIO INGREDIENTES'!B:B,1,0)</f>
        <v>PIMIENTO ROJO</v>
      </c>
    </row>
    <row r="1964" spans="2:8" ht="15.5" hidden="1" x14ac:dyDescent="0.35">
      <c r="B1964" s="75" t="s">
        <v>69</v>
      </c>
      <c r="C1964" s="80" t="s">
        <v>62</v>
      </c>
      <c r="D1964" s="73" t="s">
        <v>228</v>
      </c>
      <c r="E1964" s="74">
        <v>5.0000000000000001E-3</v>
      </c>
      <c r="F1964" s="78" t="s">
        <v>222</v>
      </c>
      <c r="G1964" s="77" t="s">
        <v>220</v>
      </c>
      <c r="H1964" t="str">
        <f>VLOOKUP(D1964,'DETALLE PRECIO INGREDIENTES'!B:B,1,0)</f>
        <v>ACEITE DE MARAVILLA</v>
      </c>
    </row>
    <row r="1965" spans="2:8" ht="15.5" hidden="1" x14ac:dyDescent="0.35">
      <c r="B1965" s="75" t="s">
        <v>69</v>
      </c>
      <c r="C1965" s="80" t="s">
        <v>62</v>
      </c>
      <c r="D1965" s="73" t="s">
        <v>672</v>
      </c>
      <c r="E1965" s="74">
        <v>2.1874999999999999E-2</v>
      </c>
      <c r="F1965" s="78" t="s">
        <v>237</v>
      </c>
      <c r="G1965" s="77" t="s">
        <v>621</v>
      </c>
      <c r="H1965" t="str">
        <f>VLOOKUP(D1965,'DETALLE PRECIO INGREDIENTES'!B:B,1,0)</f>
        <v>HABAS CONGELADAS</v>
      </c>
    </row>
    <row r="1966" spans="2:8" ht="15.5" hidden="1" x14ac:dyDescent="0.35">
      <c r="B1966" s="75" t="s">
        <v>69</v>
      </c>
      <c r="C1966" s="80" t="s">
        <v>62</v>
      </c>
      <c r="D1966" s="73" t="s">
        <v>803</v>
      </c>
      <c r="E1966" s="74">
        <v>0.3</v>
      </c>
      <c r="F1966" s="78" t="s">
        <v>259</v>
      </c>
      <c r="G1966" s="77" t="s">
        <v>795</v>
      </c>
      <c r="H1966" t="str">
        <f>VLOOKUP(D1966,'DETALLE PRECIO INGREDIENTES'!B:B,1,0)</f>
        <v>PAN MOLDE BLANCO LAMINA</v>
      </c>
    </row>
    <row r="1967" spans="2:8" ht="15.5" hidden="1" x14ac:dyDescent="0.35">
      <c r="B1967" s="75" t="s">
        <v>69</v>
      </c>
      <c r="C1967" s="80" t="s">
        <v>62</v>
      </c>
      <c r="D1967" s="73" t="s">
        <v>766</v>
      </c>
      <c r="E1967" s="74">
        <v>3.1250000000000002E-3</v>
      </c>
      <c r="F1967" s="78" t="s">
        <v>237</v>
      </c>
      <c r="G1967" s="77" t="s">
        <v>736</v>
      </c>
      <c r="H1967" t="str">
        <f>VLOOKUP(D1967,'DETALLE PRECIO INGREDIENTES'!B:B,1,0)</f>
        <v>QUESO MANTECOSO PIEZA</v>
      </c>
    </row>
    <row r="1968" spans="2:8" ht="15.5" hidden="1" x14ac:dyDescent="0.35">
      <c r="B1968" s="75" t="s">
        <v>69</v>
      </c>
      <c r="C1968" s="80" t="s">
        <v>62</v>
      </c>
      <c r="D1968" s="73" t="s">
        <v>739</v>
      </c>
      <c r="E1968" s="74">
        <v>3.125E-2</v>
      </c>
      <c r="F1968" s="78" t="s">
        <v>222</v>
      </c>
      <c r="G1968" s="77" t="s">
        <v>736</v>
      </c>
      <c r="H1968" t="str">
        <f>VLOOKUP(D1968,'DETALLE PRECIO INGREDIENTES'!B:B,1,0)</f>
        <v>CREMA DE LECHE</v>
      </c>
    </row>
    <row r="1969" spans="2:8" ht="15.5" hidden="1" x14ac:dyDescent="0.35">
      <c r="B1969" s="75" t="s">
        <v>69</v>
      </c>
      <c r="C1969" s="80" t="s">
        <v>62</v>
      </c>
      <c r="D1969" s="73" t="s">
        <v>387</v>
      </c>
      <c r="E1969" s="74">
        <v>3.1250000000000001E-4</v>
      </c>
      <c r="F1969" s="78" t="s">
        <v>237</v>
      </c>
      <c r="G1969" s="77" t="s">
        <v>220</v>
      </c>
      <c r="H1969" t="str">
        <f>VLOOKUP(D1969,'DETALLE PRECIO INGREDIENTES'!B:B,1,0)</f>
        <v>MERKEN</v>
      </c>
    </row>
    <row r="1970" spans="2:8" ht="15.5" hidden="1" x14ac:dyDescent="0.35">
      <c r="B1970" s="75" t="s">
        <v>69</v>
      </c>
      <c r="C1970" s="80" t="s">
        <v>62</v>
      </c>
      <c r="D1970" s="73" t="s">
        <v>769</v>
      </c>
      <c r="E1970" s="74">
        <v>7.0000000000000007E-2</v>
      </c>
      <c r="F1970" s="78" t="s">
        <v>237</v>
      </c>
      <c r="G1970" s="77" t="s">
        <v>736</v>
      </c>
      <c r="H1970" t="str">
        <f>VLOOKUP(D1970,'DETALLE PRECIO INGREDIENTES'!B:B,1,0)</f>
        <v>QUESO PARMESANO</v>
      </c>
    </row>
    <row r="1971" spans="2:8" ht="15.5" hidden="1" x14ac:dyDescent="0.35">
      <c r="B1971" s="75" t="s">
        <v>69</v>
      </c>
      <c r="C1971" s="80" t="s">
        <v>62</v>
      </c>
      <c r="D1971" s="73" t="s">
        <v>354</v>
      </c>
      <c r="E1971" s="74">
        <v>2.8000000000000001E-2</v>
      </c>
      <c r="F1971" s="78" t="s">
        <v>237</v>
      </c>
      <c r="G1971" s="77" t="s">
        <v>220</v>
      </c>
      <c r="H1971" t="str">
        <f>VLOOKUP(D1971,'DETALLE PRECIO INGREDIENTES'!B:B,1,0)</f>
        <v>HARINA BIZCOCHERA</v>
      </c>
    </row>
    <row r="1972" spans="2:8" ht="15.5" hidden="1" x14ac:dyDescent="0.35">
      <c r="B1972" s="75" t="s">
        <v>69</v>
      </c>
      <c r="C1972" s="80" t="s">
        <v>62</v>
      </c>
      <c r="D1972" s="73" t="s">
        <v>764</v>
      </c>
      <c r="E1972" s="74">
        <v>3.7499999999999999E-3</v>
      </c>
      <c r="F1972" s="78" t="s">
        <v>237</v>
      </c>
      <c r="G1972" s="77" t="s">
        <v>736</v>
      </c>
      <c r="H1972" t="str">
        <f>VLOOKUP(D1972,'DETALLE PRECIO INGREDIENTES'!B:B,1,0)</f>
        <v>QUESO GRUYERE</v>
      </c>
    </row>
    <row r="1973" spans="2:8" ht="15.5" hidden="1" x14ac:dyDescent="0.35">
      <c r="B1973" s="75" t="s">
        <v>69</v>
      </c>
      <c r="C1973" s="80" t="s">
        <v>62</v>
      </c>
      <c r="D1973" s="73" t="s">
        <v>651</v>
      </c>
      <c r="E1973" s="74">
        <v>2.5000000000000001E-3</v>
      </c>
      <c r="F1973" s="78" t="s">
        <v>237</v>
      </c>
      <c r="G1973" s="77" t="s">
        <v>621</v>
      </c>
      <c r="H1973" t="str">
        <f>VLOOKUP(D1973,'DETALLE PRECIO INGREDIENTES'!B:B,1,0)</f>
        <v>CHAMPIÑON PARIS</v>
      </c>
    </row>
    <row r="1974" spans="2:8" ht="15.5" hidden="1" x14ac:dyDescent="0.35">
      <c r="B1974" s="75" t="s">
        <v>69</v>
      </c>
      <c r="C1974" s="80" t="s">
        <v>62</v>
      </c>
      <c r="D1974" s="73" t="s">
        <v>652</v>
      </c>
      <c r="E1974" s="74">
        <v>2.5000000000000001E-3</v>
      </c>
      <c r="F1974" s="78" t="s">
        <v>237</v>
      </c>
      <c r="G1974" s="77" t="s">
        <v>621</v>
      </c>
      <c r="H1974" t="str">
        <f>VLOOKUP(D1974,'DETALLE PRECIO INGREDIENTES'!B:B,1,0)</f>
        <v>CHAMPIÑON PORTOBELLO</v>
      </c>
    </row>
    <row r="1975" spans="2:8" ht="15.5" hidden="1" x14ac:dyDescent="0.35">
      <c r="B1975" s="75" t="s">
        <v>69</v>
      </c>
      <c r="C1975" s="80" t="s">
        <v>62</v>
      </c>
      <c r="D1975" s="73" t="s">
        <v>650</v>
      </c>
      <c r="E1975" s="74">
        <v>2.5000000000000001E-3</v>
      </c>
      <c r="F1975" s="78" t="s">
        <v>237</v>
      </c>
      <c r="G1975" s="77" t="s">
        <v>621</v>
      </c>
      <c r="H1975" t="str">
        <f>VLOOKUP(D1975,'DETALLE PRECIO INGREDIENTES'!B:B,1,0)</f>
        <v>CHAMPIÑON OSTRA</v>
      </c>
    </row>
    <row r="1976" spans="2:8" ht="15.5" hidden="1" x14ac:dyDescent="0.35">
      <c r="B1976" s="75" t="s">
        <v>69</v>
      </c>
      <c r="C1976" s="80" t="s">
        <v>62</v>
      </c>
      <c r="D1976" s="73" t="s">
        <v>411</v>
      </c>
      <c r="E1976" s="74">
        <v>3.125E-2</v>
      </c>
      <c r="F1976" s="78" t="s">
        <v>237</v>
      </c>
      <c r="G1976" s="77" t="s">
        <v>621</v>
      </c>
      <c r="H1976" t="str">
        <f>VLOOKUP(D1976,'DETALLE PRECIO INGREDIENTES'!B:B,1,0)</f>
        <v>PAPAS</v>
      </c>
    </row>
    <row r="1977" spans="2:8" ht="15.5" hidden="1" x14ac:dyDescent="0.35">
      <c r="B1977" s="75" t="s">
        <v>69</v>
      </c>
      <c r="C1977" s="80" t="s">
        <v>62</v>
      </c>
      <c r="D1977" s="73" t="s">
        <v>404</v>
      </c>
      <c r="E1977" s="74">
        <v>3.1250000000000001E-4</v>
      </c>
      <c r="F1977" s="78" t="s">
        <v>237</v>
      </c>
      <c r="G1977" s="77" t="s">
        <v>220</v>
      </c>
      <c r="H1977" t="str">
        <f>VLOOKUP(D1977,'DETALLE PRECIO INGREDIENTES'!B:B,1,0)</f>
        <v>NUEZ MOSCADA ENTERA</v>
      </c>
    </row>
    <row r="1978" spans="2:8" ht="15.5" hidden="1" x14ac:dyDescent="0.35">
      <c r="B1978" s="75" t="s">
        <v>69</v>
      </c>
      <c r="C1978" s="80" t="s">
        <v>62</v>
      </c>
      <c r="D1978" s="73" t="s">
        <v>409</v>
      </c>
      <c r="E1978" s="74">
        <v>1.2500000000000001E-2</v>
      </c>
      <c r="F1978" s="78" t="s">
        <v>237</v>
      </c>
      <c r="G1978" s="77" t="s">
        <v>220</v>
      </c>
      <c r="H1978" t="str">
        <f>VLOOKUP(D1978,'DETALLE PRECIO INGREDIENTES'!B:B,1,0)</f>
        <v>PAN RALLADO</v>
      </c>
    </row>
    <row r="1979" spans="2:8" ht="15.5" hidden="1" x14ac:dyDescent="0.35">
      <c r="B1979" s="75" t="s">
        <v>69</v>
      </c>
      <c r="C1979" s="80" t="s">
        <v>62</v>
      </c>
      <c r="D1979" s="73" t="s">
        <v>759</v>
      </c>
      <c r="E1979" s="74">
        <v>1.2999999999999999E-2</v>
      </c>
      <c r="F1979" s="78" t="s">
        <v>237</v>
      </c>
      <c r="G1979" s="77" t="s">
        <v>736</v>
      </c>
      <c r="H1979" t="str">
        <f>VLOOKUP(D1979,'DETALLE PRECIO INGREDIENTES'!B:B,1,0)</f>
        <v>QUESO CREMA</v>
      </c>
    </row>
    <row r="1980" spans="2:8" ht="15.5" hidden="1" x14ac:dyDescent="0.35">
      <c r="B1980" s="75" t="s">
        <v>69</v>
      </c>
      <c r="C1980" s="80" t="s">
        <v>62</v>
      </c>
      <c r="D1980" s="73" t="s">
        <v>545</v>
      </c>
      <c r="E1980" s="74">
        <v>6.2500000000000003E-3</v>
      </c>
      <c r="F1980" s="78" t="s">
        <v>237</v>
      </c>
      <c r="G1980" s="77" t="s">
        <v>525</v>
      </c>
      <c r="H1980" t="str">
        <f>VLOOKUP(D1980,'DETALLE PRECIO INGREDIENTES'!B:B,1,0)</f>
        <v>TOCINO AHUMADO LAMINADO</v>
      </c>
    </row>
    <row r="1981" spans="2:8" ht="15.5" hidden="1" x14ac:dyDescent="0.35">
      <c r="B1981" s="75" t="s">
        <v>69</v>
      </c>
      <c r="C1981" s="80" t="s">
        <v>62</v>
      </c>
      <c r="D1981" s="73" t="s">
        <v>233</v>
      </c>
      <c r="E1981" s="74">
        <v>6.25E-2</v>
      </c>
      <c r="F1981" s="78" t="s">
        <v>222</v>
      </c>
      <c r="G1981" s="77" t="s">
        <v>220</v>
      </c>
      <c r="H1981" t="str">
        <f>VLOOKUP(D1981,'DETALLE PRECIO INGREDIENTES'!B:B,1,0)</f>
        <v>ACEITE PARA FREIR</v>
      </c>
    </row>
    <row r="1982" spans="2:8" ht="15.5" hidden="1" x14ac:dyDescent="0.35">
      <c r="B1982" s="75" t="s">
        <v>69</v>
      </c>
      <c r="C1982" s="80" t="s">
        <v>62</v>
      </c>
      <c r="D1982" s="73" t="s">
        <v>878</v>
      </c>
      <c r="E1982" s="74">
        <v>2.5000000000000001E-3</v>
      </c>
      <c r="F1982" s="78" t="s">
        <v>222</v>
      </c>
      <c r="G1982" s="77" t="s">
        <v>876</v>
      </c>
      <c r="H1982" t="str">
        <f>VLOOKUP(D1982,'DETALLE PRECIO INGREDIENTES'!B:B,1,0)</f>
        <v>VINO BLANCO TETRA PACK</v>
      </c>
    </row>
    <row r="1983" spans="2:8" ht="15.5" hidden="1" x14ac:dyDescent="0.35">
      <c r="B1983" s="75" t="s">
        <v>69</v>
      </c>
      <c r="C1983" s="80" t="s">
        <v>62</v>
      </c>
      <c r="D1983" s="73" t="s">
        <v>828</v>
      </c>
      <c r="E1983" s="74">
        <v>0.1</v>
      </c>
      <c r="F1983" s="78" t="s">
        <v>237</v>
      </c>
      <c r="G1983" s="77" t="s">
        <v>806</v>
      </c>
      <c r="H1983" t="str">
        <f>VLOOKUP(D1983,'DETALLE PRECIO INGREDIENTES'!B:B,1,0)</f>
        <v>MARISCOS CONGELADOS PREMIUM</v>
      </c>
    </row>
    <row r="1984" spans="2:8" ht="15.5" hidden="1" x14ac:dyDescent="0.35">
      <c r="B1984" s="75" t="s">
        <v>69</v>
      </c>
      <c r="C1984" s="80" t="s">
        <v>62</v>
      </c>
      <c r="D1984" s="73" t="s">
        <v>698</v>
      </c>
      <c r="E1984" s="74">
        <v>2.5000000000000001E-3</v>
      </c>
      <c r="F1984" s="78" t="s">
        <v>237</v>
      </c>
      <c r="G1984" s="77" t="s">
        <v>621</v>
      </c>
      <c r="H1984" t="str">
        <f>VLOOKUP(D1984,'DETALLE PRECIO INGREDIENTES'!B:B,1,0)</f>
        <v>PEREJIL</v>
      </c>
    </row>
    <row r="1985" spans="2:8" ht="15.5" hidden="1" x14ac:dyDescent="0.35">
      <c r="B1985" s="75" t="s">
        <v>69</v>
      </c>
      <c r="C1985" s="80" t="s">
        <v>61</v>
      </c>
      <c r="D1985" s="73" t="s">
        <v>354</v>
      </c>
      <c r="E1985" s="74">
        <v>9.375E-2</v>
      </c>
      <c r="F1985" s="78" t="s">
        <v>237</v>
      </c>
      <c r="G1985" s="77" t="s">
        <v>220</v>
      </c>
      <c r="H1985" t="str">
        <f>VLOOKUP(D1985,'DETALLE PRECIO INGREDIENTES'!B:B,1,0)</f>
        <v>HARINA BIZCOCHERA</v>
      </c>
    </row>
    <row r="1986" spans="2:8" ht="15.5" hidden="1" x14ac:dyDescent="0.35">
      <c r="B1986" s="75" t="s">
        <v>69</v>
      </c>
      <c r="C1986" s="80" t="s">
        <v>61</v>
      </c>
      <c r="D1986" s="73" t="s">
        <v>381</v>
      </c>
      <c r="E1986" s="74">
        <v>1.1875E-2</v>
      </c>
      <c r="F1986" s="78" t="s">
        <v>237</v>
      </c>
      <c r="G1986" s="77" t="s">
        <v>220</v>
      </c>
      <c r="H1986" t="str">
        <f>VLOOKUP(D1986,'DETALLE PRECIO INGREDIENTES'!B:B,1,0)</f>
        <v>MANTECA VEGETAL</v>
      </c>
    </row>
    <row r="1987" spans="2:8" ht="15.5" hidden="1" x14ac:dyDescent="0.35">
      <c r="B1987" s="75" t="s">
        <v>69</v>
      </c>
      <c r="C1987" s="80" t="s">
        <v>61</v>
      </c>
      <c r="D1987" s="73" t="s">
        <v>748</v>
      </c>
      <c r="E1987" s="74">
        <v>0.01</v>
      </c>
      <c r="F1987" s="78" t="s">
        <v>222</v>
      </c>
      <c r="G1987" s="77" t="s">
        <v>736</v>
      </c>
      <c r="H1987" t="str">
        <f>VLOOKUP(D1987,'DETALLE PRECIO INGREDIENTES'!B:B,1,0)</f>
        <v>LECHE ENTERA</v>
      </c>
    </row>
    <row r="1988" spans="2:8" ht="15.5" hidden="1" x14ac:dyDescent="0.35">
      <c r="B1988" s="75" t="s">
        <v>69</v>
      </c>
      <c r="C1988" s="80" t="s">
        <v>61</v>
      </c>
      <c r="D1988" s="73" t="s">
        <v>729</v>
      </c>
      <c r="E1988" s="74">
        <v>0.125</v>
      </c>
      <c r="F1988" s="78" t="s">
        <v>259</v>
      </c>
      <c r="G1988" s="77" t="s">
        <v>728</v>
      </c>
      <c r="H1988" t="str">
        <f>VLOOKUP(D1988,'DETALLE PRECIO INGREDIENTES'!B:B,1,0)</f>
        <v>HUEVO EXTRA BLANCO</v>
      </c>
    </row>
    <row r="1989" spans="2:8" ht="15.5" hidden="1" x14ac:dyDescent="0.35">
      <c r="B1989" s="75" t="s">
        <v>69</v>
      </c>
      <c r="C1989" s="80" t="s">
        <v>61</v>
      </c>
      <c r="D1989" s="73" t="s">
        <v>644</v>
      </c>
      <c r="E1989" s="74">
        <v>0.2</v>
      </c>
      <c r="F1989" s="78" t="s">
        <v>237</v>
      </c>
      <c r="G1989" s="77" t="s">
        <v>621</v>
      </c>
      <c r="H1989" t="str">
        <f>VLOOKUP(D1989,'DETALLE PRECIO INGREDIENTES'!B:B,1,0)</f>
        <v>CEBOLLA BLANCA</v>
      </c>
    </row>
    <row r="1990" spans="2:8" ht="15.5" hidden="1" x14ac:dyDescent="0.35">
      <c r="B1990" s="75" t="s">
        <v>69</v>
      </c>
      <c r="C1990" s="80" t="s">
        <v>61</v>
      </c>
      <c r="D1990" s="73" t="s">
        <v>628</v>
      </c>
      <c r="E1990" s="74">
        <v>0.4375</v>
      </c>
      <c r="F1990" s="78" t="s">
        <v>259</v>
      </c>
      <c r="G1990" s="77" t="s">
        <v>621</v>
      </c>
      <c r="H1990" t="str">
        <f>VLOOKUP(D1990,'DETALLE PRECIO INGREDIENTES'!B:B,1,0)</f>
        <v>AJO CABEZA</v>
      </c>
    </row>
    <row r="1991" spans="2:8" ht="15.5" hidden="1" x14ac:dyDescent="0.35">
      <c r="B1991" s="75" t="s">
        <v>69</v>
      </c>
      <c r="C1991" s="80" t="s">
        <v>61</v>
      </c>
      <c r="D1991" s="73" t="s">
        <v>413</v>
      </c>
      <c r="E1991" s="74">
        <v>1.9375E-3</v>
      </c>
      <c r="F1991" s="78" t="s">
        <v>237</v>
      </c>
      <c r="G1991" s="77" t="s">
        <v>220</v>
      </c>
      <c r="H1991" t="str">
        <f>VLOOKUP(D1991,'DETALLE PRECIO INGREDIENTES'!B:B,1,0)</f>
        <v>PAPRIKA</v>
      </c>
    </row>
    <row r="1992" spans="2:8" ht="15.5" hidden="1" x14ac:dyDescent="0.35">
      <c r="B1992" s="75" t="s">
        <v>69</v>
      </c>
      <c r="C1992" s="80" t="s">
        <v>61</v>
      </c>
      <c r="D1992" s="73" t="s">
        <v>309</v>
      </c>
      <c r="E1992" s="74">
        <v>6.2500000000000001E-4</v>
      </c>
      <c r="F1992" s="78" t="s">
        <v>237</v>
      </c>
      <c r="G1992" s="77" t="s">
        <v>220</v>
      </c>
      <c r="H1992" t="str">
        <f>VLOOKUP(D1992,'DETALLE PRECIO INGREDIENTES'!B:B,1,0)</f>
        <v>COMINO MOLIDO</v>
      </c>
    </row>
    <row r="1993" spans="2:8" ht="15.5" hidden="1" x14ac:dyDescent="0.35">
      <c r="B1993" s="75" t="s">
        <v>69</v>
      </c>
      <c r="C1993" s="80" t="s">
        <v>61</v>
      </c>
      <c r="D1993" s="73" t="s">
        <v>228</v>
      </c>
      <c r="E1993" s="74">
        <v>3.7500000000000003E-3</v>
      </c>
      <c r="F1993" s="78" t="s">
        <v>222</v>
      </c>
      <c r="G1993" s="77" t="s">
        <v>220</v>
      </c>
      <c r="H1993" t="str">
        <f>VLOOKUP(D1993,'DETALLE PRECIO INGREDIENTES'!B:B,1,0)</f>
        <v>ACEITE DE MARAVILLA</v>
      </c>
    </row>
    <row r="1994" spans="2:8" ht="15.5" hidden="1" x14ac:dyDescent="0.35">
      <c r="B1994" s="75" t="s">
        <v>69</v>
      </c>
      <c r="C1994" s="80" t="s">
        <v>61</v>
      </c>
      <c r="D1994" s="73" t="s">
        <v>872</v>
      </c>
      <c r="E1994" s="74">
        <v>2.5000000000000001E-2</v>
      </c>
      <c r="F1994" s="78" t="s">
        <v>237</v>
      </c>
      <c r="G1994" s="77" t="s">
        <v>852</v>
      </c>
      <c r="H1994" t="str">
        <f>VLOOKUP(D1994,'DETALLE PRECIO INGREDIENTES'!B:B,1,0)</f>
        <v>VACUNO POSTA NEGRA</v>
      </c>
    </row>
    <row r="1995" spans="2:8" ht="15.5" hidden="1" x14ac:dyDescent="0.35">
      <c r="B1995" s="75" t="s">
        <v>69</v>
      </c>
      <c r="C1995" s="80" t="s">
        <v>61</v>
      </c>
      <c r="D1995" s="73" t="s">
        <v>878</v>
      </c>
      <c r="E1995" s="74">
        <v>1.15625E-2</v>
      </c>
      <c r="F1995" s="78" t="s">
        <v>222</v>
      </c>
      <c r="G1995" s="77" t="s">
        <v>876</v>
      </c>
      <c r="H1995" t="str">
        <f>VLOOKUP(D1995,'DETALLE PRECIO INGREDIENTES'!B:B,1,0)</f>
        <v>VINO BLANCO TETRA PACK</v>
      </c>
    </row>
    <row r="1996" spans="2:8" ht="15.5" hidden="1" x14ac:dyDescent="0.35">
      <c r="B1996" s="75" t="s">
        <v>69</v>
      </c>
      <c r="C1996" s="80" t="s">
        <v>61</v>
      </c>
      <c r="D1996" s="73" t="s">
        <v>729</v>
      </c>
      <c r="E1996" s="74">
        <v>0.1875</v>
      </c>
      <c r="F1996" s="78" t="s">
        <v>259</v>
      </c>
      <c r="G1996" s="77" t="s">
        <v>728</v>
      </c>
      <c r="H1996" t="str">
        <f>VLOOKUP(D1996,'DETALLE PRECIO INGREDIENTES'!B:B,1,0)</f>
        <v>HUEVO EXTRA BLANCO</v>
      </c>
    </row>
    <row r="1997" spans="2:8" ht="15.5" hidden="1" x14ac:dyDescent="0.35">
      <c r="B1997" s="75" t="s">
        <v>69</v>
      </c>
      <c r="C1997" s="80" t="s">
        <v>61</v>
      </c>
      <c r="D1997" s="73" t="s">
        <v>277</v>
      </c>
      <c r="E1997" s="74">
        <v>1E-3</v>
      </c>
      <c r="F1997" s="78" t="s">
        <v>237</v>
      </c>
      <c r="G1997" s="77" t="s">
        <v>220</v>
      </c>
      <c r="H1997" t="str">
        <f>VLOOKUP(D1997,'DETALLE PRECIO INGREDIENTES'!B:B,1,0)</f>
        <v>AZUCAR BLANCA GRANULADA</v>
      </c>
    </row>
    <row r="1998" spans="2:8" ht="15.5" hidden="1" x14ac:dyDescent="0.35">
      <c r="B1998" s="75" t="s">
        <v>69</v>
      </c>
      <c r="C1998" s="80" t="s">
        <v>61</v>
      </c>
      <c r="D1998" s="73" t="s">
        <v>472</v>
      </c>
      <c r="E1998" s="74">
        <v>1E-3</v>
      </c>
      <c r="F1998" s="78" t="s">
        <v>222</v>
      </c>
      <c r="G1998" s="77" t="s">
        <v>220</v>
      </c>
      <c r="H1998" t="str">
        <f>VLOOKUP(D1998,'DETALLE PRECIO INGREDIENTES'!B:B,1,0)</f>
        <v>VINAGRE BLANCO</v>
      </c>
    </row>
    <row r="1999" spans="2:8" ht="15.5" hidden="1" x14ac:dyDescent="0.35">
      <c r="B1999" s="75" t="s">
        <v>69</v>
      </c>
      <c r="C1999" s="80" t="s">
        <v>61</v>
      </c>
      <c r="D1999" s="73" t="s">
        <v>249</v>
      </c>
      <c r="E1999" s="74">
        <v>6.2500000000000001E-4</v>
      </c>
      <c r="F1999" s="78" t="s">
        <v>237</v>
      </c>
      <c r="G1999" s="77" t="s">
        <v>220</v>
      </c>
      <c r="H1999" t="str">
        <f>VLOOKUP(D1999,'DETALLE PRECIO INGREDIENTES'!B:B,1,0)</f>
        <v>AJI EN PASTA</v>
      </c>
    </row>
    <row r="2000" spans="2:8" ht="15.5" hidden="1" x14ac:dyDescent="0.35">
      <c r="B2000" s="75" t="s">
        <v>69</v>
      </c>
      <c r="C2000" s="80" t="s">
        <v>61</v>
      </c>
      <c r="D2000" s="73" t="s">
        <v>698</v>
      </c>
      <c r="E2000" s="74">
        <v>6.2500000000000001E-4</v>
      </c>
      <c r="F2000" s="78" t="s">
        <v>237</v>
      </c>
      <c r="G2000" s="77" t="s">
        <v>621</v>
      </c>
      <c r="H2000" t="str">
        <f>VLOOKUP(D2000,'DETALLE PRECIO INGREDIENTES'!B:B,1,0)</f>
        <v>PEREJIL</v>
      </c>
    </row>
    <row r="2001" spans="2:8" ht="15.5" hidden="1" x14ac:dyDescent="0.35">
      <c r="B2001" s="75" t="s">
        <v>69</v>
      </c>
      <c r="C2001" s="80" t="s">
        <v>61</v>
      </c>
      <c r="D2001" s="73" t="s">
        <v>720</v>
      </c>
      <c r="E2001" s="74">
        <v>6.2500000000000003E-3</v>
      </c>
      <c r="F2001" s="78" t="s">
        <v>237</v>
      </c>
      <c r="G2001" s="77" t="s">
        <v>621</v>
      </c>
      <c r="H2001" t="str">
        <f>VLOOKUP(D2001,'DETALLE PRECIO INGREDIENTES'!B:B,1,0)</f>
        <v>ZANAHORIA</v>
      </c>
    </row>
    <row r="2002" spans="2:8" ht="15.5" hidden="1" x14ac:dyDescent="0.35">
      <c r="B2002" s="75" t="s">
        <v>69</v>
      </c>
      <c r="C2002" s="80" t="s">
        <v>61</v>
      </c>
      <c r="D2002" s="73" t="s">
        <v>411</v>
      </c>
      <c r="E2002" s="74">
        <v>1.2500000000000001E-2</v>
      </c>
      <c r="F2002" s="78" t="s">
        <v>237</v>
      </c>
      <c r="G2002" s="77" t="s">
        <v>621</v>
      </c>
      <c r="H2002" t="str">
        <f>VLOOKUP(D2002,'DETALLE PRECIO INGREDIENTES'!B:B,1,0)</f>
        <v>PAPAS</v>
      </c>
    </row>
    <row r="2003" spans="2:8" ht="15.5" hidden="1" x14ac:dyDescent="0.35">
      <c r="B2003" s="75" t="s">
        <v>69</v>
      </c>
      <c r="C2003" s="80" t="s">
        <v>61</v>
      </c>
      <c r="D2003" s="73" t="s">
        <v>455</v>
      </c>
      <c r="E2003" s="74">
        <v>1E-3</v>
      </c>
      <c r="F2003" s="78" t="s">
        <v>237</v>
      </c>
      <c r="G2003" s="77" t="s">
        <v>220</v>
      </c>
      <c r="H2003" t="str">
        <f>VLOOKUP(D2003,'DETALLE PRECIO INGREDIENTES'!B:B,1,0)</f>
        <v>SEMILLAS DE CILANTRO</v>
      </c>
    </row>
    <row r="2004" spans="2:8" ht="15.5" hidden="1" x14ac:dyDescent="0.35">
      <c r="B2004" s="75" t="s">
        <v>69</v>
      </c>
      <c r="C2004" s="80" t="s">
        <v>61</v>
      </c>
      <c r="D2004" s="73" t="s">
        <v>293</v>
      </c>
      <c r="E2004" s="74">
        <v>6.2500000000000001E-5</v>
      </c>
      <c r="F2004" s="78" t="s">
        <v>237</v>
      </c>
      <c r="G2004" s="77" t="s">
        <v>220</v>
      </c>
      <c r="H2004" t="str">
        <f>VLOOKUP(D2004,'DETALLE PRECIO INGREDIENTES'!B:B,1,0)</f>
        <v>CANELA ENTERA</v>
      </c>
    </row>
    <row r="2005" spans="2:8" ht="15.5" hidden="1" x14ac:dyDescent="0.35">
      <c r="B2005" s="75" t="s">
        <v>69</v>
      </c>
      <c r="C2005" s="80" t="s">
        <v>61</v>
      </c>
      <c r="D2005" s="73" t="s">
        <v>303</v>
      </c>
      <c r="E2005" s="74">
        <v>6.2500000000000001E-5</v>
      </c>
      <c r="F2005" s="78" t="s">
        <v>237</v>
      </c>
      <c r="G2005" s="77" t="s">
        <v>220</v>
      </c>
      <c r="H2005" t="str">
        <f>VLOOKUP(D2005,'DETALLE PRECIO INGREDIENTES'!B:B,1,0)</f>
        <v>CLAVO DE OLOR MOLIDO</v>
      </c>
    </row>
    <row r="2006" spans="2:8" ht="15.5" hidden="1" x14ac:dyDescent="0.35">
      <c r="B2006" s="75" t="s">
        <v>69</v>
      </c>
      <c r="C2006" s="80" t="s">
        <v>61</v>
      </c>
      <c r="D2006" s="73" t="s">
        <v>404</v>
      </c>
      <c r="E2006" s="74">
        <v>6.2500000000000001E-5</v>
      </c>
      <c r="F2006" s="78" t="s">
        <v>237</v>
      </c>
      <c r="G2006" s="77" t="s">
        <v>220</v>
      </c>
      <c r="H2006" t="str">
        <f>VLOOKUP(D2006,'DETALLE PRECIO INGREDIENTES'!B:B,1,0)</f>
        <v>NUEZ MOSCADA ENTERA</v>
      </c>
    </row>
    <row r="2007" spans="2:8" ht="15.5" hidden="1" x14ac:dyDescent="0.35">
      <c r="B2007" s="75" t="s">
        <v>69</v>
      </c>
      <c r="C2007" s="80" t="s">
        <v>61</v>
      </c>
      <c r="D2007" s="73" t="s">
        <v>331</v>
      </c>
      <c r="E2007" s="74">
        <v>6.2500000000000001E-5</v>
      </c>
      <c r="F2007" s="78" t="s">
        <v>237</v>
      </c>
      <c r="G2007" s="77" t="s">
        <v>220</v>
      </c>
      <c r="H2007" t="str">
        <f>VLOOKUP(D2007,'DETALLE PRECIO INGREDIENTES'!B:B,1,0)</f>
        <v>ESTRELLA DE ANIS</v>
      </c>
    </row>
    <row r="2008" spans="2:8" ht="15.5" hidden="1" x14ac:dyDescent="0.35">
      <c r="B2008" s="75" t="s">
        <v>69</v>
      </c>
      <c r="C2008" s="80" t="s">
        <v>61</v>
      </c>
      <c r="D2008" s="73" t="s">
        <v>370</v>
      </c>
      <c r="E2008" s="74">
        <v>6.25E-2</v>
      </c>
      <c r="F2008" s="78" t="s">
        <v>237</v>
      </c>
      <c r="G2008" s="77" t="s">
        <v>220</v>
      </c>
      <c r="H2008" t="str">
        <f>VLOOKUP(D2008,'DETALLE PRECIO INGREDIENTES'!B:B,1,0)</f>
        <v>LAUREL</v>
      </c>
    </row>
    <row r="2009" spans="2:8" ht="15.5" hidden="1" x14ac:dyDescent="0.35">
      <c r="B2009" s="75" t="s">
        <v>69</v>
      </c>
      <c r="C2009" s="80" t="s">
        <v>61</v>
      </c>
      <c r="D2009" s="73" t="s">
        <v>427</v>
      </c>
      <c r="E2009" s="74">
        <v>3.1250000000000001E-4</v>
      </c>
      <c r="F2009" s="78" t="s">
        <v>237</v>
      </c>
      <c r="G2009" s="77" t="s">
        <v>220</v>
      </c>
      <c r="H2009" t="str">
        <f>VLOOKUP(D2009,'DETALLE PRECIO INGREDIENTES'!B:B,1,0)</f>
        <v>PIMIENTA NEGRA ENTERA</v>
      </c>
    </row>
    <row r="2010" spans="2:8" ht="15.5" hidden="1" x14ac:dyDescent="0.35">
      <c r="B2010" s="75" t="s">
        <v>69</v>
      </c>
      <c r="C2010" s="80" t="s">
        <v>61</v>
      </c>
      <c r="D2010" s="73" t="s">
        <v>675</v>
      </c>
      <c r="E2010" s="74">
        <v>1E-3</v>
      </c>
      <c r="F2010" s="78" t="s">
        <v>237</v>
      </c>
      <c r="G2010" s="77" t="s">
        <v>621</v>
      </c>
      <c r="H2010" t="str">
        <f>VLOOKUP(D2010,'DETALLE PRECIO INGREDIENTES'!B:B,1,0)</f>
        <v>JENGIBRE</v>
      </c>
    </row>
    <row r="2011" spans="2:8" ht="15.5" hidden="1" x14ac:dyDescent="0.35">
      <c r="B2011" s="75" t="s">
        <v>69</v>
      </c>
      <c r="C2011" s="80" t="s">
        <v>61</v>
      </c>
      <c r="D2011" s="73" t="s">
        <v>750</v>
      </c>
      <c r="E2011" s="74">
        <v>3.1250000000000002E-3</v>
      </c>
      <c r="F2011" s="78" t="s">
        <v>237</v>
      </c>
      <c r="G2011" s="77" t="s">
        <v>736</v>
      </c>
      <c r="H2011" t="str">
        <f>VLOOKUP(D2011,'DETALLE PRECIO INGREDIENTES'!B:B,1,0)</f>
        <v>MANTEQUILLA CON SAL</v>
      </c>
    </row>
    <row r="2012" spans="2:8" ht="15.5" hidden="1" x14ac:dyDescent="0.35">
      <c r="B2012" s="75" t="s">
        <v>69</v>
      </c>
      <c r="C2012" s="80" t="s">
        <v>61</v>
      </c>
      <c r="D2012" s="73" t="s">
        <v>894</v>
      </c>
      <c r="E2012" s="74">
        <v>6.25E-2</v>
      </c>
      <c r="F2012" s="78" t="e">
        <v>#N/A</v>
      </c>
      <c r="G2012" s="77" t="e">
        <v>#N/A</v>
      </c>
      <c r="H2012" t="str">
        <f>VLOOKUP(D2012,'DETALLE PRECIO INGREDIENTES'!B:B,1,0)</f>
        <v>MASA FILO</v>
      </c>
    </row>
    <row r="2013" spans="2:8" ht="15.5" hidden="1" x14ac:dyDescent="0.35">
      <c r="B2013" s="75" t="s">
        <v>69</v>
      </c>
      <c r="C2013" s="80" t="s">
        <v>61</v>
      </c>
      <c r="D2013" s="73" t="s">
        <v>233</v>
      </c>
      <c r="E2013" s="74">
        <v>0.15625</v>
      </c>
      <c r="F2013" s="78" t="s">
        <v>222</v>
      </c>
      <c r="G2013" s="77" t="s">
        <v>220</v>
      </c>
      <c r="H2013" t="str">
        <f>VLOOKUP(D2013,'DETALLE PRECIO INGREDIENTES'!B:B,1,0)</f>
        <v>ACEITE PARA FREIR</v>
      </c>
    </row>
    <row r="2014" spans="2:8" ht="15.5" hidden="1" x14ac:dyDescent="0.35">
      <c r="B2014" s="75" t="s">
        <v>69</v>
      </c>
      <c r="C2014" s="80" t="s">
        <v>61</v>
      </c>
      <c r="D2014" s="73" t="s">
        <v>791</v>
      </c>
      <c r="E2014" s="74">
        <v>6.25E-2</v>
      </c>
      <c r="F2014" s="78" t="s">
        <v>237</v>
      </c>
      <c r="G2014" s="77" t="s">
        <v>790</v>
      </c>
      <c r="H2014" t="str">
        <f>VLOOKUP(D2014,'DETALLE PRECIO INGREDIENTES'!B:B,1,0)</f>
        <v>MASA DE HOJA</v>
      </c>
    </row>
    <row r="2015" spans="2:8" ht="15.5" hidden="1" x14ac:dyDescent="0.35">
      <c r="B2015" s="75" t="s">
        <v>69</v>
      </c>
      <c r="C2015" s="80" t="s">
        <v>61</v>
      </c>
      <c r="D2015" s="73" t="s">
        <v>766</v>
      </c>
      <c r="E2015" s="74">
        <v>1.2500000000000001E-2</v>
      </c>
      <c r="F2015" s="78" t="s">
        <v>237</v>
      </c>
      <c r="G2015" s="77" t="s">
        <v>736</v>
      </c>
      <c r="H2015" t="str">
        <f>VLOOKUP(D2015,'DETALLE PRECIO INGREDIENTES'!B:B,1,0)</f>
        <v>QUESO MANTECOSO PIEZA</v>
      </c>
    </row>
    <row r="2016" spans="2:8" ht="15.5" hidden="1" x14ac:dyDescent="0.35">
      <c r="B2016" s="75" t="s">
        <v>69</v>
      </c>
      <c r="C2016" s="80" t="s">
        <v>61</v>
      </c>
      <c r="D2016" s="73" t="s">
        <v>817</v>
      </c>
      <c r="E2016" s="74">
        <v>6.2500000000000003E-3</v>
      </c>
      <c r="F2016" s="78" t="s">
        <v>237</v>
      </c>
      <c r="G2016" s="77" t="s">
        <v>806</v>
      </c>
      <c r="H2016" t="str">
        <f>VLOOKUP(D2016,'DETALLE PRECIO INGREDIENTES'!B:B,1,0)</f>
        <v>CAMARON NACIONAL 100-200</v>
      </c>
    </row>
    <row r="2017" spans="2:8" ht="15.5" hidden="1" x14ac:dyDescent="0.35">
      <c r="B2017" s="75" t="s">
        <v>69</v>
      </c>
      <c r="C2017" s="80" t="s">
        <v>61</v>
      </c>
      <c r="D2017" s="73" t="s">
        <v>657</v>
      </c>
      <c r="E2017" s="74">
        <v>3.1250000000000001E-4</v>
      </c>
      <c r="F2017" s="78" t="s">
        <v>237</v>
      </c>
      <c r="G2017" s="77" t="s">
        <v>621</v>
      </c>
      <c r="H2017" t="str">
        <f>VLOOKUP(D2017,'DETALLE PRECIO INGREDIENTES'!B:B,1,0)</f>
        <v>CILANTRO</v>
      </c>
    </row>
    <row r="2018" spans="2:8" ht="15.5" hidden="1" x14ac:dyDescent="0.35">
      <c r="B2018" s="75" t="s">
        <v>69</v>
      </c>
      <c r="C2018" s="80" t="s">
        <v>61</v>
      </c>
      <c r="D2018" s="73" t="s">
        <v>432</v>
      </c>
      <c r="E2018" s="74">
        <v>2.5000000000000001E-4</v>
      </c>
      <c r="F2018" s="78" t="s">
        <v>237</v>
      </c>
      <c r="G2018" s="77" t="s">
        <v>220</v>
      </c>
      <c r="H2018" t="str">
        <f>VLOOKUP(D2018,'DETALLE PRECIO INGREDIENTES'!B:B,1,0)</f>
        <v>POLVOS DE HORNEAR</v>
      </c>
    </row>
    <row r="2019" spans="2:8" ht="15.5" hidden="1" x14ac:dyDescent="0.35">
      <c r="B2019" s="75" t="s">
        <v>69</v>
      </c>
      <c r="C2019" s="80" t="s">
        <v>61</v>
      </c>
      <c r="D2019" s="73" t="s">
        <v>828</v>
      </c>
      <c r="E2019" s="74">
        <v>0.1</v>
      </c>
      <c r="F2019" s="78" t="s">
        <v>237</v>
      </c>
      <c r="G2019" s="77" t="s">
        <v>806</v>
      </c>
      <c r="H2019" t="str">
        <f>VLOOKUP(D2019,'DETALLE PRECIO INGREDIENTES'!B:B,1,0)</f>
        <v>MARISCOS CONGELADOS PREMIUM</v>
      </c>
    </row>
    <row r="2020" spans="2:8" ht="15.5" hidden="1" x14ac:dyDescent="0.35">
      <c r="B2020" s="75" t="s">
        <v>69</v>
      </c>
      <c r="C2020" s="80" t="s">
        <v>60</v>
      </c>
      <c r="D2020" s="73" t="s">
        <v>533</v>
      </c>
      <c r="E2020" s="74">
        <v>3.7499999999999999E-2</v>
      </c>
      <c r="F2020" s="78" t="s">
        <v>237</v>
      </c>
      <c r="G2020" s="77" t="s">
        <v>525</v>
      </c>
      <c r="H2020" t="str">
        <f>VLOOKUP(D2020,'DETALLE PRECIO INGREDIENTES'!B:B,1,0)</f>
        <v>CERDO LOMO CENTRO</v>
      </c>
    </row>
    <row r="2021" spans="2:8" ht="15.5" hidden="1" x14ac:dyDescent="0.35">
      <c r="B2021" s="75" t="s">
        <v>69</v>
      </c>
      <c r="C2021" s="80" t="s">
        <v>60</v>
      </c>
      <c r="D2021" s="73" t="s">
        <v>961</v>
      </c>
      <c r="E2021" s="74">
        <v>3.7499999999999999E-3</v>
      </c>
      <c r="F2021" s="78" t="s">
        <v>237</v>
      </c>
      <c r="G2021" s="77" t="s">
        <v>220</v>
      </c>
      <c r="H2021" t="str">
        <f>VLOOKUP(D2021,'DETALLE PRECIO INGREDIENTES'!B:B,1,0)</f>
        <v>miel</v>
      </c>
    </row>
    <row r="2022" spans="2:8" ht="15.5" hidden="1" x14ac:dyDescent="0.35">
      <c r="B2022" s="75" t="s">
        <v>69</v>
      </c>
      <c r="C2022" s="80" t="s">
        <v>60</v>
      </c>
      <c r="D2022" s="73" t="s">
        <v>240</v>
      </c>
      <c r="E2022" s="74">
        <v>4.3750000000000004E-3</v>
      </c>
      <c r="F2022" s="78" t="s">
        <v>222</v>
      </c>
      <c r="G2022" s="77" t="s">
        <v>220</v>
      </c>
      <c r="H2022" t="str">
        <f>VLOOKUP(D2022,'DETALLE PRECIO INGREDIENTES'!B:B,1,0)</f>
        <v>ACETO BALSAMICO</v>
      </c>
    </row>
    <row r="2023" spans="2:8" ht="15.5" hidden="1" x14ac:dyDescent="0.35">
      <c r="B2023" s="75" t="s">
        <v>69</v>
      </c>
      <c r="C2023" s="80" t="s">
        <v>60</v>
      </c>
      <c r="D2023" s="73" t="s">
        <v>628</v>
      </c>
      <c r="E2023" s="74">
        <v>0.12531249999999999</v>
      </c>
      <c r="F2023" s="78" t="s">
        <v>259</v>
      </c>
      <c r="G2023" s="77" t="s">
        <v>621</v>
      </c>
      <c r="H2023" t="str">
        <f>VLOOKUP(D2023,'DETALLE PRECIO INGREDIENTES'!B:B,1,0)</f>
        <v>AJO CABEZA</v>
      </c>
    </row>
    <row r="2024" spans="2:8" ht="15.5" hidden="1" x14ac:dyDescent="0.35">
      <c r="B2024" s="75" t="s">
        <v>69</v>
      </c>
      <c r="C2024" s="80" t="s">
        <v>60</v>
      </c>
      <c r="D2024" s="73" t="s">
        <v>671</v>
      </c>
      <c r="E2024" s="74">
        <v>1.8749999999999999E-3</v>
      </c>
      <c r="F2024" s="78" t="s">
        <v>237</v>
      </c>
      <c r="G2024" s="77" t="s">
        <v>621</v>
      </c>
      <c r="H2024" t="str">
        <f>VLOOKUP(D2024,'DETALLE PRECIO INGREDIENTES'!B:B,1,0)</f>
        <v>FRUTILLA FRESCA</v>
      </c>
    </row>
    <row r="2025" spans="2:8" ht="15.5" hidden="1" x14ac:dyDescent="0.35">
      <c r="B2025" s="75" t="s">
        <v>69</v>
      </c>
      <c r="C2025" s="80" t="s">
        <v>60</v>
      </c>
      <c r="D2025" s="73" t="s">
        <v>476</v>
      </c>
      <c r="E2025" s="74">
        <v>1.8749999999999999E-3</v>
      </c>
      <c r="F2025" s="78" t="s">
        <v>222</v>
      </c>
      <c r="G2025" s="77" t="s">
        <v>220</v>
      </c>
      <c r="H2025" t="str">
        <f>VLOOKUP(D2025,'DETALLE PRECIO INGREDIENTES'!B:B,1,0)</f>
        <v>VINAGRE DE MANZANA</v>
      </c>
    </row>
    <row r="2026" spans="2:8" ht="15.5" hidden="1" x14ac:dyDescent="0.35">
      <c r="B2026" s="75" t="s">
        <v>69</v>
      </c>
      <c r="C2026" s="80" t="s">
        <v>60</v>
      </c>
      <c r="D2026" s="73" t="s">
        <v>277</v>
      </c>
      <c r="E2026" s="74">
        <v>3.7499999999999999E-3</v>
      </c>
      <c r="F2026" s="78" t="s">
        <v>237</v>
      </c>
      <c r="G2026" s="77" t="s">
        <v>220</v>
      </c>
      <c r="H2026" t="str">
        <f>VLOOKUP(D2026,'DETALLE PRECIO INGREDIENTES'!B:B,1,0)</f>
        <v>AZUCAR BLANCA GRANULADA</v>
      </c>
    </row>
    <row r="2027" spans="2:8" ht="15.5" hidden="1" x14ac:dyDescent="0.35">
      <c r="B2027" s="75" t="s">
        <v>69</v>
      </c>
      <c r="C2027" s="80" t="s">
        <v>60</v>
      </c>
      <c r="D2027" s="73" t="s">
        <v>411</v>
      </c>
      <c r="E2027" s="74">
        <v>7.4999999999999997E-2</v>
      </c>
      <c r="F2027" s="78" t="s">
        <v>237</v>
      </c>
      <c r="G2027" s="77" t="s">
        <v>621</v>
      </c>
      <c r="H2027" t="str">
        <f>VLOOKUP(D2027,'DETALLE PRECIO INGREDIENTES'!B:B,1,0)</f>
        <v>PAPAS</v>
      </c>
    </row>
    <row r="2028" spans="2:8" ht="15.5" hidden="1" x14ac:dyDescent="0.35">
      <c r="B2028" s="75" t="s">
        <v>69</v>
      </c>
      <c r="C2028" s="80" t="s">
        <v>60</v>
      </c>
      <c r="D2028" s="73" t="s">
        <v>739</v>
      </c>
      <c r="E2028" s="74">
        <v>1.6250000000000001E-2</v>
      </c>
      <c r="F2028" s="78" t="s">
        <v>222</v>
      </c>
      <c r="G2028" s="77" t="s">
        <v>736</v>
      </c>
      <c r="H2028" t="str">
        <f>VLOOKUP(D2028,'DETALLE PRECIO INGREDIENTES'!B:B,1,0)</f>
        <v>CREMA DE LECHE</v>
      </c>
    </row>
    <row r="2029" spans="2:8" ht="15.5" hidden="1" x14ac:dyDescent="0.35">
      <c r="B2029" s="75" t="s">
        <v>69</v>
      </c>
      <c r="C2029" s="80" t="s">
        <v>60</v>
      </c>
      <c r="D2029" s="73" t="s">
        <v>750</v>
      </c>
      <c r="E2029" s="74">
        <v>2.6250000000000002E-2</v>
      </c>
      <c r="F2029" s="78" t="s">
        <v>237</v>
      </c>
      <c r="G2029" s="77" t="s">
        <v>736</v>
      </c>
      <c r="H2029" t="str">
        <f>VLOOKUP(D2029,'DETALLE PRECIO INGREDIENTES'!B:B,1,0)</f>
        <v>MANTEQUILLA CON SAL</v>
      </c>
    </row>
    <row r="2030" spans="2:8" ht="15.5" hidden="1" x14ac:dyDescent="0.35">
      <c r="B2030" s="75" t="s">
        <v>69</v>
      </c>
      <c r="C2030" s="80" t="s">
        <v>60</v>
      </c>
      <c r="D2030" s="73" t="s">
        <v>644</v>
      </c>
      <c r="E2030" s="74">
        <v>6.6875000000000004E-2</v>
      </c>
      <c r="F2030" s="78" t="s">
        <v>237</v>
      </c>
      <c r="G2030" s="77" t="s">
        <v>621</v>
      </c>
      <c r="H2030" t="str">
        <f>VLOOKUP(D2030,'DETALLE PRECIO INGREDIENTES'!B:B,1,0)</f>
        <v>CEBOLLA BLANCA</v>
      </c>
    </row>
    <row r="2031" spans="2:8" ht="15.5" hidden="1" x14ac:dyDescent="0.35">
      <c r="B2031" s="75" t="s">
        <v>69</v>
      </c>
      <c r="C2031" s="80" t="s">
        <v>60</v>
      </c>
      <c r="D2031" s="73" t="s">
        <v>230</v>
      </c>
      <c r="E2031" s="74">
        <v>5.0000000000000001E-3</v>
      </c>
      <c r="F2031" s="78" t="s">
        <v>222</v>
      </c>
      <c r="G2031" s="77" t="s">
        <v>220</v>
      </c>
      <c r="H2031" t="str">
        <f>VLOOKUP(D2031,'DETALLE PRECIO INGREDIENTES'!B:B,1,0)</f>
        <v>ACEITE DE OLIVA</v>
      </c>
    </row>
    <row r="2032" spans="2:8" ht="15.5" hidden="1" x14ac:dyDescent="0.35">
      <c r="B2032" s="75" t="s">
        <v>69</v>
      </c>
      <c r="C2032" s="80" t="s">
        <v>60</v>
      </c>
      <c r="D2032" s="73" t="s">
        <v>427</v>
      </c>
      <c r="E2032" s="74">
        <v>1E-3</v>
      </c>
      <c r="F2032" s="78" t="s">
        <v>237</v>
      </c>
      <c r="G2032" s="77" t="s">
        <v>220</v>
      </c>
      <c r="H2032" t="str">
        <f>VLOOKUP(D2032,'DETALLE PRECIO INGREDIENTES'!B:B,1,0)</f>
        <v>PIMIENTA NEGRA ENTERA</v>
      </c>
    </row>
    <row r="2033" spans="2:8" ht="15.5" hidden="1" x14ac:dyDescent="0.35">
      <c r="B2033" s="75" t="s">
        <v>69</v>
      </c>
      <c r="C2033" s="80" t="s">
        <v>60</v>
      </c>
      <c r="D2033" s="73" t="s">
        <v>866</v>
      </c>
      <c r="E2033" s="74">
        <v>3.125E-2</v>
      </c>
      <c r="F2033" s="78" t="s">
        <v>237</v>
      </c>
      <c r="G2033" s="77" t="s">
        <v>852</v>
      </c>
      <c r="H2033" t="str">
        <f>VLOOKUP(D2033,'DETALLE PRECIO INGREDIENTES'!B:B,1,0)</f>
        <v>VACUNO LOMO LISO</v>
      </c>
    </row>
    <row r="2034" spans="2:8" ht="15.5" hidden="1" x14ac:dyDescent="0.35">
      <c r="B2034" s="75" t="s">
        <v>69</v>
      </c>
      <c r="C2034" s="80" t="s">
        <v>60</v>
      </c>
      <c r="D2034" s="73" t="s">
        <v>730</v>
      </c>
      <c r="E2034" s="74">
        <v>0.625</v>
      </c>
      <c r="F2034" s="78" t="s">
        <v>259</v>
      </c>
      <c r="G2034" s="77" t="s">
        <v>728</v>
      </c>
      <c r="H2034" t="str">
        <f>VLOOKUP(D2034,'DETALLE PRECIO INGREDIENTES'!B:B,1,0)</f>
        <v>HUEVOS DE CODORNIZ</v>
      </c>
    </row>
    <row r="2035" spans="2:8" ht="15.5" hidden="1" x14ac:dyDescent="0.35">
      <c r="B2035" s="75" t="s">
        <v>69</v>
      </c>
      <c r="C2035" s="80" t="s">
        <v>60</v>
      </c>
      <c r="D2035" s="73" t="s">
        <v>233</v>
      </c>
      <c r="E2035" s="74">
        <v>3.125E-2</v>
      </c>
      <c r="F2035" s="78" t="s">
        <v>222</v>
      </c>
      <c r="G2035" s="77" t="s">
        <v>220</v>
      </c>
      <c r="H2035" t="str">
        <f>VLOOKUP(D2035,'DETALLE PRECIO INGREDIENTES'!B:B,1,0)</f>
        <v>ACEITE PARA FREIR</v>
      </c>
    </row>
    <row r="2036" spans="2:8" ht="15.5" hidden="1" x14ac:dyDescent="0.35">
      <c r="B2036" s="75" t="s">
        <v>69</v>
      </c>
      <c r="C2036" s="80" t="s">
        <v>60</v>
      </c>
      <c r="D2036" s="73" t="s">
        <v>264</v>
      </c>
      <c r="E2036" s="74">
        <v>1.2500000000000001E-2</v>
      </c>
      <c r="F2036" s="78" t="s">
        <v>237</v>
      </c>
      <c r="G2036" s="77" t="s">
        <v>220</v>
      </c>
      <c r="H2036" t="str">
        <f>VLOOKUP(D2036,'DETALLE PRECIO INGREDIENTES'!B:B,1,0)</f>
        <v>ARROZ ARBORIO</v>
      </c>
    </row>
    <row r="2037" spans="2:8" ht="15.5" hidden="1" x14ac:dyDescent="0.35">
      <c r="B2037" s="75" t="s">
        <v>69</v>
      </c>
      <c r="C2037" s="80" t="s">
        <v>60</v>
      </c>
      <c r="D2037" s="73" t="s">
        <v>878</v>
      </c>
      <c r="E2037" s="74">
        <v>9.3749999999999997E-3</v>
      </c>
      <c r="F2037" s="78" t="s">
        <v>222</v>
      </c>
      <c r="G2037" s="77" t="s">
        <v>876</v>
      </c>
      <c r="H2037" t="str">
        <f>VLOOKUP(D2037,'DETALLE PRECIO INGREDIENTES'!B:B,1,0)</f>
        <v>VINO BLANCO TETRA PACK</v>
      </c>
    </row>
    <row r="2038" spans="2:8" ht="15.5" hidden="1" x14ac:dyDescent="0.35">
      <c r="B2038" s="75" t="s">
        <v>69</v>
      </c>
      <c r="C2038" s="80" t="s">
        <v>60</v>
      </c>
      <c r="D2038" s="73" t="s">
        <v>840</v>
      </c>
      <c r="E2038" s="74">
        <v>5.6875000000000002E-2</v>
      </c>
      <c r="F2038" s="78" t="s">
        <v>237</v>
      </c>
      <c r="G2038" s="77" t="s">
        <v>839</v>
      </c>
      <c r="H2038" t="str">
        <f>VLOOKUP(D2038,'DETALLE PRECIO INGREDIENTES'!B:B,1,0)</f>
        <v>HUESOS DE POLLO</v>
      </c>
    </row>
    <row r="2039" spans="2:8" ht="15.5" hidden="1" x14ac:dyDescent="0.35">
      <c r="B2039" s="75" t="s">
        <v>69</v>
      </c>
      <c r="C2039" s="80" t="s">
        <v>60</v>
      </c>
      <c r="D2039" s="73" t="s">
        <v>542</v>
      </c>
      <c r="E2039" s="74">
        <v>3.1250000000000002E-3</v>
      </c>
      <c r="F2039" s="78" t="s">
        <v>237</v>
      </c>
      <c r="G2039" s="77" t="s">
        <v>525</v>
      </c>
      <c r="H2039" t="str">
        <f>VLOOKUP(D2039,'DETALLE PRECIO INGREDIENTES'!B:B,1,0)</f>
        <v>JAMON SERRANO LAMINADO</v>
      </c>
    </row>
    <row r="2040" spans="2:8" ht="15.5" hidden="1" x14ac:dyDescent="0.35">
      <c r="B2040" s="75" t="s">
        <v>69</v>
      </c>
      <c r="C2040" s="80" t="s">
        <v>60</v>
      </c>
      <c r="D2040" s="73" t="s">
        <v>769</v>
      </c>
      <c r="E2040" s="74">
        <v>1.6250000000000001E-2</v>
      </c>
      <c r="F2040" s="78" t="s">
        <v>237</v>
      </c>
      <c r="G2040" s="77" t="s">
        <v>736</v>
      </c>
      <c r="H2040" t="str">
        <f>VLOOKUP(D2040,'DETALLE PRECIO INGREDIENTES'!B:B,1,0)</f>
        <v>QUESO PARMESANO</v>
      </c>
    </row>
    <row r="2041" spans="2:8" ht="15.5" hidden="1" x14ac:dyDescent="0.35">
      <c r="B2041" s="75" t="s">
        <v>69</v>
      </c>
      <c r="C2041" s="80" t="s">
        <v>60</v>
      </c>
      <c r="D2041" s="73" t="s">
        <v>443</v>
      </c>
      <c r="E2041" s="74">
        <v>6.2500000000000003E-3</v>
      </c>
      <c r="F2041" s="78" t="s">
        <v>237</v>
      </c>
      <c r="G2041" s="77" t="s">
        <v>220</v>
      </c>
      <c r="H2041" t="str">
        <f>VLOOKUP(D2041,'DETALLE PRECIO INGREDIENTES'!B:B,1,0)</f>
        <v>SAL DE MAR FINA</v>
      </c>
    </row>
    <row r="2042" spans="2:8" ht="15.5" hidden="1" x14ac:dyDescent="0.35">
      <c r="B2042" s="75" t="s">
        <v>69</v>
      </c>
      <c r="C2042" s="80" t="s">
        <v>60</v>
      </c>
      <c r="D2042" s="73" t="s">
        <v>354</v>
      </c>
      <c r="E2042" s="74">
        <v>9.3749999999999997E-3</v>
      </c>
      <c r="F2042" s="78" t="s">
        <v>237</v>
      </c>
      <c r="G2042" s="77" t="s">
        <v>220</v>
      </c>
      <c r="H2042" t="str">
        <f>VLOOKUP(D2042,'DETALLE PRECIO INGREDIENTES'!B:B,1,0)</f>
        <v>HARINA BIZCOCHERA</v>
      </c>
    </row>
    <row r="2043" spans="2:8" ht="15.5" hidden="1" x14ac:dyDescent="0.35">
      <c r="B2043" s="75" t="s">
        <v>69</v>
      </c>
      <c r="C2043" s="80" t="s">
        <v>60</v>
      </c>
      <c r="D2043" s="73" t="s">
        <v>729</v>
      </c>
      <c r="E2043" s="74">
        <v>0.125</v>
      </c>
      <c r="F2043" s="78" t="s">
        <v>259</v>
      </c>
      <c r="G2043" s="77" t="s">
        <v>728</v>
      </c>
      <c r="H2043" t="str">
        <f>VLOOKUP(D2043,'DETALLE PRECIO INGREDIENTES'!B:B,1,0)</f>
        <v>HUEVO EXTRA BLANCO</v>
      </c>
    </row>
    <row r="2044" spans="2:8" ht="15.5" hidden="1" x14ac:dyDescent="0.35">
      <c r="B2044" s="75" t="s">
        <v>69</v>
      </c>
      <c r="C2044" s="80" t="s">
        <v>60</v>
      </c>
      <c r="D2044" s="73" t="s">
        <v>404</v>
      </c>
      <c r="E2044" s="74">
        <v>3.1250000000000001E-4</v>
      </c>
      <c r="F2044" s="78" t="s">
        <v>237</v>
      </c>
      <c r="G2044" s="77" t="s">
        <v>220</v>
      </c>
      <c r="H2044" t="str">
        <f>VLOOKUP(D2044,'DETALLE PRECIO INGREDIENTES'!B:B,1,0)</f>
        <v>NUEZ MOSCADA ENTERA</v>
      </c>
    </row>
    <row r="2045" spans="2:8" ht="15.5" hidden="1" x14ac:dyDescent="0.35">
      <c r="B2045" s="75" t="s">
        <v>69</v>
      </c>
      <c r="C2045" s="80" t="s">
        <v>60</v>
      </c>
      <c r="D2045" s="73" t="s">
        <v>755</v>
      </c>
      <c r="E2045" s="74">
        <v>3.1250000000000002E-3</v>
      </c>
      <c r="F2045" s="78" t="s">
        <v>237</v>
      </c>
      <c r="G2045" s="77" t="s">
        <v>736</v>
      </c>
      <c r="H2045" t="str">
        <f>VLOOKUP(D2045,'DETALLE PRECIO INGREDIENTES'!B:B,1,0)</f>
        <v>QUESO AZUL</v>
      </c>
    </row>
    <row r="2046" spans="2:8" ht="15.5" hidden="1" x14ac:dyDescent="0.35">
      <c r="B2046" s="75" t="s">
        <v>69</v>
      </c>
      <c r="C2046" s="80" t="s">
        <v>60</v>
      </c>
      <c r="D2046" s="73" t="s">
        <v>656</v>
      </c>
      <c r="E2046" s="74">
        <v>6.2500000000000001E-4</v>
      </c>
      <c r="F2046" s="78" t="s">
        <v>259</v>
      </c>
      <c r="G2046" s="77" t="s">
        <v>621</v>
      </c>
      <c r="H2046" t="str">
        <f>VLOOKUP(D2046,'DETALLE PRECIO INGREDIENTES'!B:B,1,0)</f>
        <v>CIBOULETTE ATADO</v>
      </c>
    </row>
    <row r="2047" spans="2:8" ht="15.5" hidden="1" x14ac:dyDescent="0.35">
      <c r="B2047" s="75" t="s">
        <v>69</v>
      </c>
      <c r="C2047" s="80" t="s">
        <v>60</v>
      </c>
      <c r="D2047" s="73" t="s">
        <v>843</v>
      </c>
      <c r="E2047" s="74">
        <v>0.125</v>
      </c>
      <c r="F2047" s="78" t="s">
        <v>237</v>
      </c>
      <c r="G2047" s="77" t="s">
        <v>839</v>
      </c>
      <c r="H2047" t="str">
        <f>VLOOKUP(D2047,'DETALLE PRECIO INGREDIENTES'!B:B,1,0)</f>
        <v>POLLO PECHUGA S/HUESO</v>
      </c>
    </row>
    <row r="2048" spans="2:8" ht="15.5" hidden="1" x14ac:dyDescent="0.35">
      <c r="B2048" s="75" t="s">
        <v>69</v>
      </c>
      <c r="C2048" s="80" t="s">
        <v>60</v>
      </c>
      <c r="D2048" s="73" t="s">
        <v>633</v>
      </c>
      <c r="E2048" s="74">
        <v>2.5000000000000001E-3</v>
      </c>
      <c r="F2048" s="78" t="s">
        <v>259</v>
      </c>
      <c r="G2048" s="77" t="s">
        <v>621</v>
      </c>
      <c r="H2048" t="str">
        <f>VLOOKUP(D2048,'DETALLE PRECIO INGREDIENTES'!B:B,1,0)</f>
        <v>APIO MATA</v>
      </c>
    </row>
    <row r="2049" spans="2:8" ht="15.5" hidden="1" x14ac:dyDescent="0.35">
      <c r="B2049" s="75" t="s">
        <v>69</v>
      </c>
      <c r="C2049" s="80" t="s">
        <v>60</v>
      </c>
      <c r="D2049" s="73" t="s">
        <v>370</v>
      </c>
      <c r="E2049" s="74">
        <v>1E-3</v>
      </c>
      <c r="F2049" s="78" t="s">
        <v>237</v>
      </c>
      <c r="G2049" s="77" t="s">
        <v>220</v>
      </c>
      <c r="H2049" t="str">
        <f>VLOOKUP(D2049,'DETALLE PRECIO INGREDIENTES'!B:B,1,0)</f>
        <v>LAUREL</v>
      </c>
    </row>
    <row r="2050" spans="2:8" ht="15.5" hidden="1" x14ac:dyDescent="0.35">
      <c r="B2050" s="75" t="s">
        <v>69</v>
      </c>
      <c r="C2050" s="80" t="s">
        <v>60</v>
      </c>
      <c r="D2050" s="73" t="s">
        <v>716</v>
      </c>
      <c r="E2050" s="74">
        <v>1.7500000000000002E-2</v>
      </c>
      <c r="F2050" s="78" t="s">
        <v>237</v>
      </c>
      <c r="G2050" s="77" t="s">
        <v>621</v>
      </c>
      <c r="H2050" t="str">
        <f>VLOOKUP(D2050,'DETALLE PRECIO INGREDIENTES'!B:B,1,0)</f>
        <v>TOMATE LARGA VIDA</v>
      </c>
    </row>
    <row r="2051" spans="2:8" ht="15.5" hidden="1" x14ac:dyDescent="0.35">
      <c r="B2051" s="75" t="s">
        <v>69</v>
      </c>
      <c r="C2051" s="80" t="s">
        <v>60</v>
      </c>
      <c r="D2051" s="73" t="s">
        <v>247</v>
      </c>
      <c r="E2051" s="74">
        <v>1.2500000000000001E-2</v>
      </c>
      <c r="F2051" s="78" t="s">
        <v>237</v>
      </c>
      <c r="G2051" s="77" t="s">
        <v>220</v>
      </c>
      <c r="H2051" t="str">
        <f>VLOOKUP(D2051,'DETALLE PRECIO INGREDIENTES'!B:B,1,0)</f>
        <v>AJI CHIPOTLE TARRO</v>
      </c>
    </row>
    <row r="2052" spans="2:8" ht="15.5" hidden="1" x14ac:dyDescent="0.35">
      <c r="B2052" s="75" t="s">
        <v>69</v>
      </c>
      <c r="C2052" s="80" t="s">
        <v>60</v>
      </c>
      <c r="D2052" s="73" t="s">
        <v>431</v>
      </c>
      <c r="E2052" s="74">
        <v>0.02</v>
      </c>
      <c r="F2052" s="78" t="s">
        <v>237</v>
      </c>
      <c r="G2052" s="77" t="s">
        <v>220</v>
      </c>
      <c r="H2052" t="str">
        <f>VLOOKUP(D2052,'DETALLE PRECIO INGREDIENTES'!B:B,1,0)</f>
        <v>POLENTA</v>
      </c>
    </row>
    <row r="2053" spans="2:8" ht="15.5" hidden="1" x14ac:dyDescent="0.35">
      <c r="B2053" s="75" t="s">
        <v>69</v>
      </c>
      <c r="C2053" s="80" t="s">
        <v>60</v>
      </c>
      <c r="D2053" s="73" t="s">
        <v>748</v>
      </c>
      <c r="E2053" s="74">
        <v>2.5000000000000001E-2</v>
      </c>
      <c r="F2053" s="78" t="s">
        <v>222</v>
      </c>
      <c r="G2053" s="77" t="s">
        <v>736</v>
      </c>
      <c r="H2053" t="str">
        <f>VLOOKUP(D2053,'DETALLE PRECIO INGREDIENTES'!B:B,1,0)</f>
        <v>LECHE ENTERA</v>
      </c>
    </row>
    <row r="2054" spans="2:8" ht="15.5" hidden="1" x14ac:dyDescent="0.35">
      <c r="B2054" s="75" t="s">
        <v>69</v>
      </c>
      <c r="C2054" s="80" t="s">
        <v>59</v>
      </c>
      <c r="D2054" s="73" t="s">
        <v>816</v>
      </c>
      <c r="E2054" s="74">
        <v>7.4999999999999997E-2</v>
      </c>
      <c r="F2054" s="78" t="s">
        <v>237</v>
      </c>
      <c r="G2054" s="77" t="s">
        <v>806</v>
      </c>
      <c r="H2054" t="str">
        <f>VLOOKUP(D2054,'DETALLE PRECIO INGREDIENTES'!B:B,1,0)</f>
        <v>CAMARON ECUATORIANO 36-40</v>
      </c>
    </row>
    <row r="2055" spans="2:8" ht="15.5" hidden="1" x14ac:dyDescent="0.35">
      <c r="B2055" s="75" t="s">
        <v>69</v>
      </c>
      <c r="C2055" s="80" t="s">
        <v>59</v>
      </c>
      <c r="D2055" s="73" t="s">
        <v>251</v>
      </c>
      <c r="E2055" s="74">
        <v>2.5000000000000001E-3</v>
      </c>
      <c r="F2055" s="78" t="s">
        <v>237</v>
      </c>
      <c r="G2055" s="77" t="s">
        <v>220</v>
      </c>
      <c r="H2055" t="str">
        <f>VLOOKUP(D2055,'DETALLE PRECIO INGREDIENTES'!B:B,1,0)</f>
        <v>AJI SRIRACHA</v>
      </c>
    </row>
    <row r="2056" spans="2:8" ht="15.5" hidden="1" x14ac:dyDescent="0.35">
      <c r="B2056" s="75" t="s">
        <v>69</v>
      </c>
      <c r="C2056" s="80" t="s">
        <v>59</v>
      </c>
      <c r="D2056" s="73" t="s">
        <v>277</v>
      </c>
      <c r="E2056" s="74">
        <v>3.7499999999999999E-3</v>
      </c>
      <c r="F2056" s="78" t="s">
        <v>237</v>
      </c>
      <c r="G2056" s="77" t="s">
        <v>220</v>
      </c>
      <c r="H2056" t="str">
        <f>VLOOKUP(D2056,'DETALLE PRECIO INGREDIENTES'!B:B,1,0)</f>
        <v>AZUCAR BLANCA GRANULADA</v>
      </c>
    </row>
    <row r="2057" spans="2:8" ht="15.5" hidden="1" x14ac:dyDescent="0.35">
      <c r="B2057" s="75" t="s">
        <v>69</v>
      </c>
      <c r="C2057" s="80" t="s">
        <v>59</v>
      </c>
      <c r="D2057" s="73" t="s">
        <v>476</v>
      </c>
      <c r="E2057" s="74">
        <v>2.5000000000000001E-3</v>
      </c>
      <c r="F2057" s="78" t="s">
        <v>222</v>
      </c>
      <c r="G2057" s="77" t="s">
        <v>220</v>
      </c>
      <c r="H2057" t="str">
        <f>VLOOKUP(D2057,'DETALLE PRECIO INGREDIENTES'!B:B,1,0)</f>
        <v>VINAGRE DE MANZANA</v>
      </c>
    </row>
    <row r="2058" spans="2:8" ht="15.5" hidden="1" x14ac:dyDescent="0.35">
      <c r="B2058" s="75" t="s">
        <v>69</v>
      </c>
      <c r="C2058" s="80" t="s">
        <v>59</v>
      </c>
      <c r="D2058" s="73" t="s">
        <v>228</v>
      </c>
      <c r="E2058" s="74">
        <v>2.5000000000000001E-3</v>
      </c>
      <c r="F2058" s="78" t="s">
        <v>222</v>
      </c>
      <c r="G2058" s="77" t="s">
        <v>220</v>
      </c>
      <c r="H2058" t="str">
        <f>VLOOKUP(D2058,'DETALLE PRECIO INGREDIENTES'!B:B,1,0)</f>
        <v>ACEITE DE MARAVILLA</v>
      </c>
    </row>
    <row r="2059" spans="2:8" ht="15.5" hidden="1" x14ac:dyDescent="0.35">
      <c r="B2059" s="75" t="s">
        <v>69</v>
      </c>
      <c r="C2059" s="80" t="s">
        <v>59</v>
      </c>
      <c r="D2059" s="73" t="s">
        <v>690</v>
      </c>
      <c r="E2059" s="74">
        <v>7.4999999999999997E-3</v>
      </c>
      <c r="F2059" s="78" t="s">
        <v>237</v>
      </c>
      <c r="G2059" s="77" t="s">
        <v>621</v>
      </c>
      <c r="H2059" t="str">
        <f>VLOOKUP(D2059,'DETALLE PRECIO INGREDIENTES'!B:B,1,0)</f>
        <v>NARANJA DE JUGO</v>
      </c>
    </row>
    <row r="2060" spans="2:8" ht="15.5" hidden="1" x14ac:dyDescent="0.35">
      <c r="B2060" s="75" t="s">
        <v>69</v>
      </c>
      <c r="C2060" s="80" t="s">
        <v>59</v>
      </c>
      <c r="D2060" s="73" t="s">
        <v>493</v>
      </c>
      <c r="E2060" s="74">
        <v>6.3E-2</v>
      </c>
      <c r="F2060" s="78" t="s">
        <v>259</v>
      </c>
      <c r="G2060" s="77" t="s">
        <v>485</v>
      </c>
      <c r="H2060" t="str">
        <f>VLOOKUP(D2060,'DETALLE PRECIO INGREDIENTES'!B:B,1,0)</f>
        <v>BROCHETA DE BAMBU 12 CM 100 UN</v>
      </c>
    </row>
    <row r="2061" spans="2:8" ht="15.5" hidden="1" x14ac:dyDescent="0.35">
      <c r="B2061" s="75" t="s">
        <v>69</v>
      </c>
      <c r="C2061" s="80" t="s">
        <v>59</v>
      </c>
      <c r="D2061" s="73" t="s">
        <v>973</v>
      </c>
      <c r="E2061" s="74">
        <v>7.4999999999999997E-3</v>
      </c>
      <c r="F2061" s="78" t="s">
        <v>222</v>
      </c>
      <c r="G2061" s="77" t="s">
        <v>220</v>
      </c>
      <c r="H2061" t="str">
        <f>VLOOKUP(D2061,'DETALLE PRECIO INGREDIENTES'!B:B,1,0)</f>
        <v>vinagre de arroz</v>
      </c>
    </row>
    <row r="2062" spans="2:8" ht="15.5" hidden="1" x14ac:dyDescent="0.35">
      <c r="B2062" s="75" t="s">
        <v>69</v>
      </c>
      <c r="C2062" s="80" t="s">
        <v>59</v>
      </c>
      <c r="D2062" s="73" t="s">
        <v>228</v>
      </c>
      <c r="E2062" s="74">
        <v>3.7499999999999999E-3</v>
      </c>
      <c r="F2062" s="78" t="s">
        <v>222</v>
      </c>
      <c r="G2062" s="77" t="s">
        <v>220</v>
      </c>
      <c r="H2062" t="str">
        <f>VLOOKUP(D2062,'DETALLE PRECIO INGREDIENTES'!B:B,1,0)</f>
        <v>ACEITE DE MARAVILLA</v>
      </c>
    </row>
    <row r="2063" spans="2:8" ht="15.5" hidden="1" x14ac:dyDescent="0.35">
      <c r="B2063" s="75" t="s">
        <v>69</v>
      </c>
      <c r="C2063" s="80" t="s">
        <v>59</v>
      </c>
      <c r="D2063" s="73" t="s">
        <v>675</v>
      </c>
      <c r="E2063" s="74">
        <v>2.5000000000000001E-3</v>
      </c>
      <c r="F2063" s="78" t="s">
        <v>237</v>
      </c>
      <c r="G2063" s="77" t="s">
        <v>621</v>
      </c>
      <c r="H2063" t="str">
        <f>VLOOKUP(D2063,'DETALLE PRECIO INGREDIENTES'!B:B,1,0)</f>
        <v>JENGIBRE</v>
      </c>
    </row>
    <row r="2064" spans="2:8" ht="15.5" hidden="1" x14ac:dyDescent="0.35">
      <c r="B2064" s="75" t="s">
        <v>69</v>
      </c>
      <c r="C2064" s="80" t="s">
        <v>59</v>
      </c>
      <c r="D2064" s="73" t="s">
        <v>354</v>
      </c>
      <c r="E2064" s="74">
        <v>6.25E-2</v>
      </c>
      <c r="F2064" s="78" t="s">
        <v>237</v>
      </c>
      <c r="G2064" s="77" t="s">
        <v>220</v>
      </c>
      <c r="H2064" t="str">
        <f>VLOOKUP(D2064,'DETALLE PRECIO INGREDIENTES'!B:B,1,0)</f>
        <v>HARINA BIZCOCHERA</v>
      </c>
    </row>
    <row r="2065" spans="2:8" ht="15.5" hidden="1" x14ac:dyDescent="0.35">
      <c r="B2065" s="75" t="s">
        <v>69</v>
      </c>
      <c r="C2065" s="80" t="s">
        <v>59</v>
      </c>
      <c r="D2065" s="73" t="s">
        <v>381</v>
      </c>
      <c r="E2065" s="74">
        <v>6.2500000000000003E-3</v>
      </c>
      <c r="F2065" s="78" t="s">
        <v>237</v>
      </c>
      <c r="G2065" s="77" t="s">
        <v>220</v>
      </c>
      <c r="H2065" t="str">
        <f>VLOOKUP(D2065,'DETALLE PRECIO INGREDIENTES'!B:B,1,0)</f>
        <v>MANTECA VEGETAL</v>
      </c>
    </row>
    <row r="2066" spans="2:8" ht="15.5" hidden="1" x14ac:dyDescent="0.35">
      <c r="B2066" s="75" t="s">
        <v>69</v>
      </c>
      <c r="C2066" s="80" t="s">
        <v>59</v>
      </c>
      <c r="D2066" s="73" t="s">
        <v>432</v>
      </c>
      <c r="E2066" s="74">
        <v>2.5000000000000001E-4</v>
      </c>
      <c r="F2066" s="78" t="s">
        <v>237</v>
      </c>
      <c r="G2066" s="77" t="s">
        <v>220</v>
      </c>
      <c r="H2066" t="str">
        <f>VLOOKUP(D2066,'DETALLE PRECIO INGREDIENTES'!B:B,1,0)</f>
        <v>POLVOS DE HORNEAR</v>
      </c>
    </row>
    <row r="2067" spans="2:8" ht="15.5" hidden="1" x14ac:dyDescent="0.35">
      <c r="B2067" s="75" t="s">
        <v>69</v>
      </c>
      <c r="C2067" s="80" t="s">
        <v>59</v>
      </c>
      <c r="D2067" s="73" t="s">
        <v>628</v>
      </c>
      <c r="E2067" s="74">
        <v>0.25</v>
      </c>
      <c r="F2067" s="78" t="s">
        <v>259</v>
      </c>
      <c r="G2067" s="77" t="s">
        <v>621</v>
      </c>
      <c r="H2067" t="str">
        <f>VLOOKUP(D2067,'DETALLE PRECIO INGREDIENTES'!B:B,1,0)</f>
        <v>AJO CABEZA</v>
      </c>
    </row>
    <row r="2068" spans="2:8" ht="15.5" hidden="1" x14ac:dyDescent="0.35">
      <c r="B2068" s="75" t="s">
        <v>69</v>
      </c>
      <c r="C2068" s="80" t="s">
        <v>59</v>
      </c>
      <c r="D2068" s="73" t="s">
        <v>644</v>
      </c>
      <c r="E2068" s="74">
        <v>0.15</v>
      </c>
      <c r="F2068" s="78" t="s">
        <v>237</v>
      </c>
      <c r="G2068" s="77" t="s">
        <v>621</v>
      </c>
      <c r="H2068" t="str">
        <f>VLOOKUP(D2068,'DETALLE PRECIO INGREDIENTES'!B:B,1,0)</f>
        <v>CEBOLLA BLANCA</v>
      </c>
    </row>
    <row r="2069" spans="2:8" ht="15.5" hidden="1" x14ac:dyDescent="0.35">
      <c r="B2069" s="75" t="s">
        <v>69</v>
      </c>
      <c r="C2069" s="80" t="s">
        <v>59</v>
      </c>
      <c r="D2069" s="73" t="s">
        <v>413</v>
      </c>
      <c r="E2069" s="74">
        <v>1.25E-3</v>
      </c>
      <c r="F2069" s="78" t="s">
        <v>237</v>
      </c>
      <c r="G2069" s="77" t="s">
        <v>220</v>
      </c>
      <c r="H2069" t="str">
        <f>VLOOKUP(D2069,'DETALLE PRECIO INGREDIENTES'!B:B,1,0)</f>
        <v>PAPRIKA</v>
      </c>
    </row>
    <row r="2070" spans="2:8" ht="15.5" hidden="1" x14ac:dyDescent="0.35">
      <c r="B2070" s="75" t="s">
        <v>69</v>
      </c>
      <c r="C2070" s="80" t="s">
        <v>59</v>
      </c>
      <c r="D2070" s="73" t="s">
        <v>878</v>
      </c>
      <c r="E2070" s="74">
        <v>5.0000000000000001E-3</v>
      </c>
      <c r="F2070" s="78" t="s">
        <v>222</v>
      </c>
      <c r="G2070" s="77" t="s">
        <v>876</v>
      </c>
      <c r="H2070" t="str">
        <f>VLOOKUP(D2070,'DETALLE PRECIO INGREDIENTES'!B:B,1,0)</f>
        <v>VINO BLANCO TETRA PACK</v>
      </c>
    </row>
    <row r="2071" spans="2:8" ht="15.5" hidden="1" x14ac:dyDescent="0.35">
      <c r="B2071" s="75" t="s">
        <v>69</v>
      </c>
      <c r="C2071" s="80" t="s">
        <v>59</v>
      </c>
      <c r="D2071" s="73" t="s">
        <v>828</v>
      </c>
      <c r="E2071" s="74">
        <v>0.1</v>
      </c>
      <c r="F2071" s="78" t="s">
        <v>237</v>
      </c>
      <c r="G2071" s="77" t="s">
        <v>806</v>
      </c>
      <c r="H2071" t="str">
        <f>VLOOKUP(D2071,'DETALLE PRECIO INGREDIENTES'!B:B,1,0)</f>
        <v>MARISCOS CONGELADOS PREMIUM</v>
      </c>
    </row>
    <row r="2072" spans="2:8" ht="15.5" hidden="1" x14ac:dyDescent="0.35">
      <c r="B2072" s="75" t="s">
        <v>69</v>
      </c>
      <c r="C2072" s="80" t="s">
        <v>59</v>
      </c>
      <c r="D2072" s="73" t="s">
        <v>698</v>
      </c>
      <c r="E2072" s="74">
        <v>1.25E-3</v>
      </c>
      <c r="F2072" s="78" t="s">
        <v>237</v>
      </c>
      <c r="G2072" s="77" t="s">
        <v>621</v>
      </c>
      <c r="H2072" t="str">
        <f>VLOOKUP(D2072,'DETALLE PRECIO INGREDIENTES'!B:B,1,0)</f>
        <v>PEREJIL</v>
      </c>
    </row>
    <row r="2073" spans="2:8" ht="15.5" hidden="1" x14ac:dyDescent="0.35">
      <c r="B2073" s="75" t="s">
        <v>69</v>
      </c>
      <c r="C2073" s="80" t="s">
        <v>59</v>
      </c>
      <c r="D2073" s="73" t="s">
        <v>233</v>
      </c>
      <c r="E2073" s="74">
        <v>0.125</v>
      </c>
      <c r="F2073" s="78" t="s">
        <v>222</v>
      </c>
      <c r="G2073" s="77" t="s">
        <v>220</v>
      </c>
      <c r="H2073" t="str">
        <f>VLOOKUP(D2073,'DETALLE PRECIO INGREDIENTES'!B:B,1,0)</f>
        <v>ACEITE PARA FREIR</v>
      </c>
    </row>
    <row r="2074" spans="2:8" ht="15.5" hidden="1" x14ac:dyDescent="0.35">
      <c r="B2074" s="75" t="s">
        <v>69</v>
      </c>
      <c r="C2074" s="80" t="s">
        <v>59</v>
      </c>
      <c r="D2074" s="73" t="s">
        <v>843</v>
      </c>
      <c r="E2074" s="74">
        <v>0.125</v>
      </c>
      <c r="F2074" s="78" t="s">
        <v>237</v>
      </c>
      <c r="G2074" s="77" t="s">
        <v>839</v>
      </c>
      <c r="H2074" t="str">
        <f>VLOOKUP(D2074,'DETALLE PRECIO INGREDIENTES'!B:B,1,0)</f>
        <v>POLLO PECHUGA S/HUESO</v>
      </c>
    </row>
    <row r="2075" spans="2:8" ht="15.5" hidden="1" x14ac:dyDescent="0.35">
      <c r="B2075" s="75" t="s">
        <v>69</v>
      </c>
      <c r="C2075" s="80" t="s">
        <v>59</v>
      </c>
      <c r="D2075" s="73" t="s">
        <v>633</v>
      </c>
      <c r="E2075" s="74">
        <v>2.5000000000000001E-3</v>
      </c>
      <c r="F2075" s="78" t="s">
        <v>259</v>
      </c>
      <c r="G2075" s="77" t="s">
        <v>621</v>
      </c>
      <c r="H2075" t="str">
        <f>VLOOKUP(D2075,'DETALLE PRECIO INGREDIENTES'!B:B,1,0)</f>
        <v>APIO MATA</v>
      </c>
    </row>
    <row r="2076" spans="2:8" ht="15.5" hidden="1" x14ac:dyDescent="0.35">
      <c r="B2076" s="75" t="s">
        <v>69</v>
      </c>
      <c r="C2076" s="80" t="s">
        <v>59</v>
      </c>
      <c r="D2076" s="73" t="s">
        <v>370</v>
      </c>
      <c r="E2076" s="74">
        <v>1E-3</v>
      </c>
      <c r="F2076" s="78" t="s">
        <v>237</v>
      </c>
      <c r="G2076" s="77" t="s">
        <v>220</v>
      </c>
      <c r="H2076" t="str">
        <f>VLOOKUP(D2076,'DETALLE PRECIO INGREDIENTES'!B:B,1,0)</f>
        <v>LAUREL</v>
      </c>
    </row>
    <row r="2077" spans="2:8" ht="15.5" hidden="1" x14ac:dyDescent="0.35">
      <c r="B2077" s="75" t="s">
        <v>69</v>
      </c>
      <c r="C2077" s="80" t="s">
        <v>59</v>
      </c>
      <c r="D2077" s="73" t="s">
        <v>716</v>
      </c>
      <c r="E2077" s="74">
        <v>1.7500000000000002E-2</v>
      </c>
      <c r="F2077" s="78" t="s">
        <v>237</v>
      </c>
      <c r="G2077" s="77" t="s">
        <v>621</v>
      </c>
      <c r="H2077" t="str">
        <f>VLOOKUP(D2077,'DETALLE PRECIO INGREDIENTES'!B:B,1,0)</f>
        <v>TOMATE LARGA VIDA</v>
      </c>
    </row>
    <row r="2078" spans="2:8" ht="15.5" hidden="1" x14ac:dyDescent="0.35">
      <c r="B2078" s="75" t="s">
        <v>69</v>
      </c>
      <c r="C2078" s="80" t="s">
        <v>59</v>
      </c>
      <c r="D2078" s="73" t="s">
        <v>247</v>
      </c>
      <c r="E2078" s="74">
        <v>1.2500000000000001E-2</v>
      </c>
      <c r="F2078" s="78" t="s">
        <v>237</v>
      </c>
      <c r="G2078" s="77" t="s">
        <v>220</v>
      </c>
      <c r="H2078" t="str">
        <f>VLOOKUP(D2078,'DETALLE PRECIO INGREDIENTES'!B:B,1,0)</f>
        <v>AJI CHIPOTLE TARRO</v>
      </c>
    </row>
    <row r="2079" spans="2:8" ht="15.5" hidden="1" x14ac:dyDescent="0.35">
      <c r="B2079" s="75" t="s">
        <v>69</v>
      </c>
      <c r="C2079" s="80" t="s">
        <v>59</v>
      </c>
      <c r="D2079" s="73" t="s">
        <v>431</v>
      </c>
      <c r="E2079" s="74">
        <v>0.02</v>
      </c>
      <c r="F2079" s="78" t="s">
        <v>237</v>
      </c>
      <c r="G2079" s="77" t="s">
        <v>220</v>
      </c>
      <c r="H2079" t="str">
        <f>VLOOKUP(D2079,'DETALLE PRECIO INGREDIENTES'!B:B,1,0)</f>
        <v>POLENTA</v>
      </c>
    </row>
    <row r="2080" spans="2:8" ht="15.5" hidden="1" x14ac:dyDescent="0.35">
      <c r="B2080" s="75" t="s">
        <v>69</v>
      </c>
      <c r="C2080" s="80" t="s">
        <v>59</v>
      </c>
      <c r="D2080" s="73" t="s">
        <v>748</v>
      </c>
      <c r="E2080" s="74">
        <v>2.5000000000000001E-2</v>
      </c>
      <c r="F2080" s="78" t="s">
        <v>222</v>
      </c>
      <c r="G2080" s="77" t="s">
        <v>736</v>
      </c>
      <c r="H2080" t="str">
        <f>VLOOKUP(D2080,'DETALLE PRECIO INGREDIENTES'!B:B,1,0)</f>
        <v>LECHE ENTERA</v>
      </c>
    </row>
    <row r="2081" spans="2:8" ht="15.5" hidden="1" x14ac:dyDescent="0.35">
      <c r="B2081" s="75" t="s">
        <v>69</v>
      </c>
      <c r="C2081" s="80" t="s">
        <v>59</v>
      </c>
      <c r="D2081" s="73" t="s">
        <v>840</v>
      </c>
      <c r="E2081" s="74">
        <v>4.7500000000000001E-2</v>
      </c>
      <c r="F2081" s="78" t="s">
        <v>237</v>
      </c>
      <c r="G2081" s="77" t="s">
        <v>839</v>
      </c>
      <c r="H2081" t="str">
        <f>VLOOKUP(D2081,'DETALLE PRECIO INGREDIENTES'!B:B,1,0)</f>
        <v>HUESOS DE POLLO</v>
      </c>
    </row>
    <row r="2082" spans="2:8" ht="15.5" hidden="1" x14ac:dyDescent="0.35">
      <c r="B2082" s="75" t="s">
        <v>69</v>
      </c>
      <c r="C2082" s="80" t="s">
        <v>59</v>
      </c>
      <c r="D2082" s="73" t="s">
        <v>750</v>
      </c>
      <c r="E2082" s="74">
        <v>1.2500000000000001E-2</v>
      </c>
      <c r="F2082" s="78" t="s">
        <v>237</v>
      </c>
      <c r="G2082" s="77" t="s">
        <v>736</v>
      </c>
      <c r="H2082" t="str">
        <f>VLOOKUP(D2082,'DETALLE PRECIO INGREDIENTES'!B:B,1,0)</f>
        <v>MANTEQUILLA CON SAL</v>
      </c>
    </row>
    <row r="2083" spans="2:8" ht="15.5" hidden="1" x14ac:dyDescent="0.35">
      <c r="B2083" s="75" t="s">
        <v>69</v>
      </c>
      <c r="C2083" s="80" t="s">
        <v>59</v>
      </c>
      <c r="D2083" s="73" t="s">
        <v>769</v>
      </c>
      <c r="E2083" s="74">
        <v>1.2500000000000001E-2</v>
      </c>
      <c r="F2083" s="78" t="s">
        <v>237</v>
      </c>
      <c r="G2083" s="77" t="s">
        <v>736</v>
      </c>
      <c r="H2083" t="str">
        <f>VLOOKUP(D2083,'DETALLE PRECIO INGREDIENTES'!B:B,1,0)</f>
        <v>QUESO PARMESANO</v>
      </c>
    </row>
    <row r="2084" spans="2:8" ht="15.5" hidden="1" x14ac:dyDescent="0.35">
      <c r="B2084" s="75" t="s">
        <v>69</v>
      </c>
      <c r="C2084" s="80" t="s">
        <v>59</v>
      </c>
      <c r="D2084" s="73" t="s">
        <v>739</v>
      </c>
      <c r="E2084" s="74">
        <v>2.5000000000000001E-3</v>
      </c>
      <c r="F2084" s="78" t="s">
        <v>222</v>
      </c>
      <c r="G2084" s="77" t="s">
        <v>736</v>
      </c>
      <c r="H2084" t="str">
        <f>VLOOKUP(D2084,'DETALLE PRECIO INGREDIENTES'!B:B,1,0)</f>
        <v>CREMA DE LECHE</v>
      </c>
    </row>
    <row r="2085" spans="2:8" ht="15.5" hidden="1" x14ac:dyDescent="0.35">
      <c r="B2085" s="75" t="s">
        <v>69</v>
      </c>
      <c r="C2085" s="80" t="s">
        <v>58</v>
      </c>
      <c r="D2085" s="73" t="s">
        <v>716</v>
      </c>
      <c r="E2085" s="74">
        <v>3.125E-2</v>
      </c>
      <c r="F2085" s="78" t="s">
        <v>237</v>
      </c>
      <c r="G2085" s="77" t="s">
        <v>621</v>
      </c>
      <c r="H2085" t="str">
        <f>VLOOKUP(D2085,'DETALLE PRECIO INGREDIENTES'!B:B,1,0)</f>
        <v>TOMATE LARGA VIDA</v>
      </c>
    </row>
    <row r="2086" spans="2:8" ht="15.5" hidden="1" x14ac:dyDescent="0.35">
      <c r="B2086" s="75" t="s">
        <v>69</v>
      </c>
      <c r="C2086" s="80" t="s">
        <v>58</v>
      </c>
      <c r="D2086" s="73" t="s">
        <v>696</v>
      </c>
      <c r="E2086" s="74">
        <v>1.8749999999999999E-2</v>
      </c>
      <c r="F2086" s="78" t="s">
        <v>259</v>
      </c>
      <c r="G2086" s="77" t="s">
        <v>621</v>
      </c>
      <c r="H2086" t="str">
        <f>VLOOKUP(D2086,'DETALLE PRECIO INGREDIENTES'!B:B,1,0)</f>
        <v>PEPINO ENSALADA</v>
      </c>
    </row>
    <row r="2087" spans="2:8" ht="15.5" hidden="1" x14ac:dyDescent="0.35">
      <c r="B2087" s="75" t="s">
        <v>69</v>
      </c>
      <c r="C2087" s="80" t="s">
        <v>58</v>
      </c>
      <c r="D2087" s="73" t="s">
        <v>702</v>
      </c>
      <c r="E2087" s="74">
        <v>6.25E-2</v>
      </c>
      <c r="F2087" s="78" t="s">
        <v>259</v>
      </c>
      <c r="G2087" s="77" t="s">
        <v>621</v>
      </c>
      <c r="H2087" t="str">
        <f>VLOOKUP(D2087,'DETALLE PRECIO INGREDIENTES'!B:B,1,0)</f>
        <v>PIMIENTO ROJO</v>
      </c>
    </row>
    <row r="2088" spans="2:8" ht="15.5" hidden="1" x14ac:dyDescent="0.35">
      <c r="B2088" s="75" t="s">
        <v>69</v>
      </c>
      <c r="C2088" s="80" t="s">
        <v>58</v>
      </c>
      <c r="D2088" s="73" t="s">
        <v>644</v>
      </c>
      <c r="E2088" s="74">
        <v>3.1250000000000002E-3</v>
      </c>
      <c r="F2088" s="78" t="s">
        <v>237</v>
      </c>
      <c r="G2088" s="77" t="s">
        <v>621</v>
      </c>
      <c r="H2088" t="str">
        <f>VLOOKUP(D2088,'DETALLE PRECIO INGREDIENTES'!B:B,1,0)</f>
        <v>CEBOLLA BLANCA</v>
      </c>
    </row>
    <row r="2089" spans="2:8" ht="15.5" hidden="1" x14ac:dyDescent="0.35">
      <c r="B2089" s="75" t="s">
        <v>69</v>
      </c>
      <c r="C2089" s="80" t="s">
        <v>58</v>
      </c>
      <c r="D2089" s="73" t="s">
        <v>628</v>
      </c>
      <c r="E2089" s="74">
        <v>0.625</v>
      </c>
      <c r="F2089" s="78" t="s">
        <v>259</v>
      </c>
      <c r="G2089" s="77" t="s">
        <v>621</v>
      </c>
      <c r="H2089" t="str">
        <f>VLOOKUP(D2089,'DETALLE PRECIO INGREDIENTES'!B:B,1,0)</f>
        <v>AJO CABEZA</v>
      </c>
    </row>
    <row r="2090" spans="2:8" ht="15.5" hidden="1" x14ac:dyDescent="0.35">
      <c r="B2090" s="75" t="s">
        <v>69</v>
      </c>
      <c r="C2090" s="80" t="s">
        <v>58</v>
      </c>
      <c r="D2090" s="73" t="s">
        <v>230</v>
      </c>
      <c r="E2090" s="74">
        <v>2.4374999999999997E-2</v>
      </c>
      <c r="F2090" s="78" t="s">
        <v>222</v>
      </c>
      <c r="G2090" s="77" t="s">
        <v>220</v>
      </c>
      <c r="H2090" t="str">
        <f>VLOOKUP(D2090,'DETALLE PRECIO INGREDIENTES'!B:B,1,0)</f>
        <v>ACEITE DE OLIVA</v>
      </c>
    </row>
    <row r="2091" spans="2:8" ht="15.5" hidden="1" x14ac:dyDescent="0.35">
      <c r="B2091" s="75" t="s">
        <v>69</v>
      </c>
      <c r="C2091" s="80" t="s">
        <v>58</v>
      </c>
      <c r="D2091" s="73" t="s">
        <v>477</v>
      </c>
      <c r="E2091" s="74">
        <v>1.25E-3</v>
      </c>
      <c r="F2091" s="78" t="s">
        <v>222</v>
      </c>
      <c r="G2091" s="77" t="s">
        <v>220</v>
      </c>
      <c r="H2091" t="str">
        <f>VLOOKUP(D2091,'DETALLE PRECIO INGREDIENTES'!B:B,1,0)</f>
        <v>VINAGRE TINTO</v>
      </c>
    </row>
    <row r="2092" spans="2:8" ht="15.5" hidden="1" x14ac:dyDescent="0.35">
      <c r="B2092" s="75" t="s">
        <v>69</v>
      </c>
      <c r="C2092" s="80" t="s">
        <v>58</v>
      </c>
      <c r="D2092" s="73" t="s">
        <v>680</v>
      </c>
      <c r="E2092" s="74">
        <v>0.05</v>
      </c>
      <c r="F2092" s="78" t="s">
        <v>237</v>
      </c>
      <c r="G2092" s="77" t="s">
        <v>621</v>
      </c>
      <c r="H2092" t="str">
        <f>VLOOKUP(D2092,'DETALLE PRECIO INGREDIENTES'!B:B,1,0)</f>
        <v>LIMON DE JUGO</v>
      </c>
    </row>
    <row r="2093" spans="2:8" ht="15.5" hidden="1" x14ac:dyDescent="0.35">
      <c r="B2093" s="75" t="s">
        <v>69</v>
      </c>
      <c r="C2093" s="80" t="s">
        <v>58</v>
      </c>
      <c r="D2093" s="73" t="s">
        <v>310</v>
      </c>
      <c r="E2093" s="74">
        <v>1.25E-3</v>
      </c>
      <c r="F2093" s="78" t="s">
        <v>237</v>
      </c>
      <c r="G2093" s="77" t="s">
        <v>220</v>
      </c>
      <c r="H2093" t="str">
        <f>VLOOKUP(D2093,'DETALLE PRECIO INGREDIENTES'!B:B,1,0)</f>
        <v>CONCENTRADO DE TOMATE</v>
      </c>
    </row>
    <row r="2094" spans="2:8" ht="15.5" hidden="1" x14ac:dyDescent="0.35">
      <c r="B2094" s="75" t="s">
        <v>69</v>
      </c>
      <c r="C2094" s="80" t="s">
        <v>58</v>
      </c>
      <c r="D2094" s="73" t="s">
        <v>803</v>
      </c>
      <c r="E2094" s="74">
        <v>0.125</v>
      </c>
      <c r="F2094" s="78" t="s">
        <v>259</v>
      </c>
      <c r="G2094" s="77" t="s">
        <v>795</v>
      </c>
      <c r="H2094" t="str">
        <f>VLOOKUP(D2094,'DETALLE PRECIO INGREDIENTES'!B:B,1,0)</f>
        <v>PAN MOLDE BLANCO LAMINA</v>
      </c>
    </row>
    <row r="2095" spans="2:8" ht="15.5" hidden="1" x14ac:dyDescent="0.35">
      <c r="B2095" s="75" t="s">
        <v>69</v>
      </c>
      <c r="C2095" s="80" t="s">
        <v>58</v>
      </c>
      <c r="D2095" s="73" t="s">
        <v>696</v>
      </c>
      <c r="E2095" s="74">
        <v>6.2500000000000003E-3</v>
      </c>
      <c r="F2095" s="78" t="s">
        <v>259</v>
      </c>
      <c r="G2095" s="77" t="s">
        <v>621</v>
      </c>
      <c r="H2095" t="str">
        <f>VLOOKUP(D2095,'DETALLE PRECIO INGREDIENTES'!B:B,1,0)</f>
        <v>PEPINO ENSALADA</v>
      </c>
    </row>
    <row r="2096" spans="2:8" ht="15.5" hidden="1" x14ac:dyDescent="0.35">
      <c r="B2096" s="75" t="s">
        <v>69</v>
      </c>
      <c r="C2096" s="80" t="s">
        <v>58</v>
      </c>
      <c r="D2096" s="73" t="s">
        <v>629</v>
      </c>
      <c r="E2096" s="74">
        <v>6.2500000000000001E-4</v>
      </c>
      <c r="F2096" s="78" t="s">
        <v>237</v>
      </c>
      <c r="G2096" s="77" t="s">
        <v>621</v>
      </c>
      <c r="H2096" t="str">
        <f>VLOOKUP(D2096,'DETALLE PRECIO INGREDIENTES'!B:B,1,0)</f>
        <v>ALBAHACA FRESCA</v>
      </c>
    </row>
    <row r="2097" spans="2:8" ht="15.5" hidden="1" x14ac:dyDescent="0.35">
      <c r="B2097" s="75" t="s">
        <v>69</v>
      </c>
      <c r="C2097" s="80" t="s">
        <v>58</v>
      </c>
      <c r="D2097" s="73" t="s">
        <v>816</v>
      </c>
      <c r="E2097" s="74">
        <v>2.1999999999999999E-2</v>
      </c>
      <c r="F2097" s="78" t="s">
        <v>237</v>
      </c>
      <c r="G2097" s="77" t="s">
        <v>806</v>
      </c>
      <c r="H2097" t="str">
        <f>VLOOKUP(D2097,'DETALLE PRECIO INGREDIENTES'!B:B,1,0)</f>
        <v>CAMARON ECUATORIANO 36-40</v>
      </c>
    </row>
    <row r="2098" spans="2:8" ht="15.5" hidden="1" x14ac:dyDescent="0.35">
      <c r="B2098" s="75" t="s">
        <v>69</v>
      </c>
      <c r="C2098" s="80" t="s">
        <v>58</v>
      </c>
      <c r="D2098" s="73" t="s">
        <v>714</v>
      </c>
      <c r="E2098" s="74">
        <v>2.8125000000000001E-2</v>
      </c>
      <c r="F2098" s="78" t="s">
        <v>237</v>
      </c>
      <c r="G2098" s="77" t="s">
        <v>621</v>
      </c>
      <c r="H2098" t="str">
        <f>VLOOKUP(D2098,'DETALLE PRECIO INGREDIENTES'!B:B,1,0)</f>
        <v>TOFU EXTRA FIRME</v>
      </c>
    </row>
    <row r="2099" spans="2:8" ht="15.5" hidden="1" x14ac:dyDescent="0.35">
      <c r="B2099" s="75" t="s">
        <v>69</v>
      </c>
      <c r="C2099" s="80" t="s">
        <v>58</v>
      </c>
      <c r="D2099" s="73" t="s">
        <v>715</v>
      </c>
      <c r="E2099" s="74">
        <v>2.5000000000000001E-2</v>
      </c>
      <c r="F2099" s="78" t="s">
        <v>237</v>
      </c>
      <c r="G2099" s="77" t="s">
        <v>621</v>
      </c>
      <c r="H2099" t="str">
        <f>VLOOKUP(D2099,'DETALLE PRECIO INGREDIENTES'!B:B,1,0)</f>
        <v>TOMATE CHERRY</v>
      </c>
    </row>
    <row r="2100" spans="2:8" ht="15.5" hidden="1" x14ac:dyDescent="0.35">
      <c r="B2100" s="75" t="s">
        <v>69</v>
      </c>
      <c r="C2100" s="80" t="s">
        <v>58</v>
      </c>
      <c r="D2100" s="73" t="s">
        <v>406</v>
      </c>
      <c r="E2100" s="74">
        <v>5.6250000000000007E-4</v>
      </c>
      <c r="F2100" s="78" t="s">
        <v>237</v>
      </c>
      <c r="G2100" s="77" t="s">
        <v>220</v>
      </c>
      <c r="H2100" t="str">
        <f>VLOOKUP(D2100,'DETALLE PRECIO INGREDIENTES'!B:B,1,0)</f>
        <v>OREGANO FRESCO</v>
      </c>
    </row>
    <row r="2101" spans="2:8" ht="15.5" hidden="1" x14ac:dyDescent="0.35">
      <c r="B2101" s="75" t="s">
        <v>69</v>
      </c>
      <c r="C2101" s="80" t="s">
        <v>58</v>
      </c>
      <c r="D2101" s="73" t="s">
        <v>444</v>
      </c>
      <c r="E2101" s="74">
        <v>6.2500000000000001E-4</v>
      </c>
      <c r="F2101" s="78" t="s">
        <v>237</v>
      </c>
      <c r="G2101" s="77" t="s">
        <v>220</v>
      </c>
      <c r="H2101" t="str">
        <f>VLOOKUP(D2101,'DETALLE PRECIO INGREDIENTES'!B:B,1,0)</f>
        <v>SAL DE MAR GRUESA</v>
      </c>
    </row>
    <row r="2102" spans="2:8" ht="15.5" hidden="1" x14ac:dyDescent="0.35">
      <c r="B2102" s="75" t="s">
        <v>69</v>
      </c>
      <c r="C2102" s="80" t="s">
        <v>58</v>
      </c>
      <c r="D2102" s="73" t="s">
        <v>493</v>
      </c>
      <c r="E2102" s="74">
        <v>6.3E-2</v>
      </c>
      <c r="F2102" s="78" t="s">
        <v>259</v>
      </c>
      <c r="G2102" s="77" t="s">
        <v>485</v>
      </c>
      <c r="H2102" t="str">
        <f>VLOOKUP(D2102,'DETALLE PRECIO INGREDIENTES'!B:B,1,0)</f>
        <v>BROCHETA DE BAMBU 12 CM 100 UN</v>
      </c>
    </row>
    <row r="2103" spans="2:8" ht="15.5" hidden="1" x14ac:dyDescent="0.35">
      <c r="B2103" s="75" t="s">
        <v>69</v>
      </c>
      <c r="C2103" s="80" t="s">
        <v>58</v>
      </c>
      <c r="D2103" s="73" t="s">
        <v>682</v>
      </c>
      <c r="E2103" s="74">
        <v>2.8125000000000001E-2</v>
      </c>
      <c r="F2103" s="78" t="s">
        <v>237</v>
      </c>
      <c r="G2103" s="77" t="s">
        <v>621</v>
      </c>
      <c r="H2103" t="str">
        <f>VLOOKUP(D2103,'DETALLE PRECIO INGREDIENTES'!B:B,1,0)</f>
        <v>MANGO</v>
      </c>
    </row>
    <row r="2104" spans="2:8" ht="15.5" hidden="1" x14ac:dyDescent="0.35">
      <c r="B2104" s="75" t="s">
        <v>69</v>
      </c>
      <c r="C2104" s="80" t="s">
        <v>58</v>
      </c>
      <c r="D2104" s="73" t="s">
        <v>415</v>
      </c>
      <c r="E2104" s="74">
        <v>5.0000000000000001E-3</v>
      </c>
      <c r="F2104" s="78" t="s">
        <v>237</v>
      </c>
      <c r="G2104" s="77" t="s">
        <v>220</v>
      </c>
      <c r="H2104" t="str">
        <f>VLOOKUP(D2104,'DETALLE PRECIO INGREDIENTES'!B:B,1,0)</f>
        <v>PASAS RUBIAS</v>
      </c>
    </row>
    <row r="2105" spans="2:8" ht="15.5" hidden="1" x14ac:dyDescent="0.35">
      <c r="B2105" s="75" t="s">
        <v>69</v>
      </c>
      <c r="C2105" s="80" t="s">
        <v>58</v>
      </c>
      <c r="D2105" s="73" t="s">
        <v>627</v>
      </c>
      <c r="E2105" s="74">
        <v>0.125</v>
      </c>
      <c r="F2105" s="78" t="s">
        <v>237</v>
      </c>
      <c r="G2105" s="77" t="s">
        <v>621</v>
      </c>
      <c r="H2105" t="str">
        <f>VLOOKUP(D2105,'DETALLE PRECIO INGREDIENTES'!B:B,1,0)</f>
        <v>AJI VERDE</v>
      </c>
    </row>
    <row r="2106" spans="2:8" ht="15.5" hidden="1" x14ac:dyDescent="0.35">
      <c r="B2106" s="75" t="s">
        <v>69</v>
      </c>
      <c r="C2106" s="80" t="s">
        <v>58</v>
      </c>
      <c r="D2106" s="73" t="s">
        <v>675</v>
      </c>
      <c r="E2106" s="74">
        <v>8.1250000000000007E-4</v>
      </c>
      <c r="F2106" s="78" t="s">
        <v>237</v>
      </c>
      <c r="G2106" s="77" t="s">
        <v>621</v>
      </c>
      <c r="H2106" t="str">
        <f>VLOOKUP(D2106,'DETALLE PRECIO INGREDIENTES'!B:B,1,0)</f>
        <v>JENGIBRE</v>
      </c>
    </row>
    <row r="2107" spans="2:8" ht="15.5" hidden="1" x14ac:dyDescent="0.35">
      <c r="B2107" s="75" t="s">
        <v>69</v>
      </c>
      <c r="C2107" s="80" t="s">
        <v>58</v>
      </c>
      <c r="D2107" s="73" t="s">
        <v>472</v>
      </c>
      <c r="E2107" s="74">
        <v>8.7500000000000008E-3</v>
      </c>
      <c r="F2107" s="78" t="s">
        <v>222</v>
      </c>
      <c r="G2107" s="77" t="s">
        <v>220</v>
      </c>
      <c r="H2107" t="str">
        <f>VLOOKUP(D2107,'DETALLE PRECIO INGREDIENTES'!B:B,1,0)</f>
        <v>VINAGRE BLANCO</v>
      </c>
    </row>
    <row r="2108" spans="2:8" ht="15.5" hidden="1" x14ac:dyDescent="0.35">
      <c r="B2108" s="75" t="s">
        <v>69</v>
      </c>
      <c r="C2108" s="80" t="s">
        <v>58</v>
      </c>
      <c r="D2108" s="73" t="s">
        <v>309</v>
      </c>
      <c r="E2108" s="74">
        <v>3.7500000000000001E-4</v>
      </c>
      <c r="F2108" s="78" t="s">
        <v>237</v>
      </c>
      <c r="G2108" s="77" t="s">
        <v>220</v>
      </c>
      <c r="H2108" t="str">
        <f>VLOOKUP(D2108,'DETALLE PRECIO INGREDIENTES'!B:B,1,0)</f>
        <v>COMINO MOLIDO</v>
      </c>
    </row>
    <row r="2109" spans="2:8" ht="15.5" hidden="1" x14ac:dyDescent="0.35">
      <c r="B2109" s="75" t="s">
        <v>69</v>
      </c>
      <c r="C2109" s="80" t="s">
        <v>58</v>
      </c>
      <c r="D2109" s="73" t="s">
        <v>331</v>
      </c>
      <c r="E2109" s="74">
        <v>3.1250000000000001E-4</v>
      </c>
      <c r="F2109" s="78" t="s">
        <v>237</v>
      </c>
      <c r="G2109" s="77" t="s">
        <v>220</v>
      </c>
      <c r="H2109" t="str">
        <f>VLOOKUP(D2109,'DETALLE PRECIO INGREDIENTES'!B:B,1,0)</f>
        <v>ESTRELLA DE ANIS</v>
      </c>
    </row>
    <row r="2110" spans="2:8" ht="15.5" hidden="1" x14ac:dyDescent="0.35">
      <c r="B2110" s="75" t="s">
        <v>69</v>
      </c>
      <c r="C2110" s="80" t="s">
        <v>58</v>
      </c>
      <c r="D2110" s="73" t="s">
        <v>293</v>
      </c>
      <c r="E2110" s="74">
        <v>5.0000000000000001E-4</v>
      </c>
      <c r="F2110" s="78" t="s">
        <v>237</v>
      </c>
      <c r="G2110" s="77" t="s">
        <v>220</v>
      </c>
      <c r="H2110" t="str">
        <f>VLOOKUP(D2110,'DETALLE PRECIO INGREDIENTES'!B:B,1,0)</f>
        <v>CANELA ENTERA</v>
      </c>
    </row>
    <row r="2111" spans="2:8" ht="15.5" hidden="1" x14ac:dyDescent="0.35">
      <c r="B2111" s="75" t="s">
        <v>69</v>
      </c>
      <c r="C2111" s="80" t="s">
        <v>58</v>
      </c>
      <c r="D2111" s="73" t="s">
        <v>845</v>
      </c>
      <c r="E2111" s="74">
        <v>1.8749999999999999E-2</v>
      </c>
      <c r="F2111" s="78" t="s">
        <v>237</v>
      </c>
      <c r="G2111" s="77" t="s">
        <v>839</v>
      </c>
      <c r="H2111" t="str">
        <f>VLOOKUP(D2111,'DETALLE PRECIO INGREDIENTES'!B:B,1,0)</f>
        <v>POLLO TRUTRO CORTO</v>
      </c>
    </row>
    <row r="2112" spans="2:8" ht="15.5" hidden="1" x14ac:dyDescent="0.35">
      <c r="B2112" s="75" t="s">
        <v>69</v>
      </c>
      <c r="C2112" s="80" t="s">
        <v>58</v>
      </c>
      <c r="D2112" s="73" t="s">
        <v>444</v>
      </c>
      <c r="E2112" s="74">
        <v>6.2500000000000001E-4</v>
      </c>
      <c r="F2112" s="78" t="s">
        <v>237</v>
      </c>
      <c r="G2112" s="77" t="s">
        <v>220</v>
      </c>
      <c r="H2112" t="str">
        <f>VLOOKUP(D2112,'DETALLE PRECIO INGREDIENTES'!B:B,1,0)</f>
        <v>SAL DE MAR GRUESA</v>
      </c>
    </row>
    <row r="2113" spans="2:8" ht="15.5" hidden="1" x14ac:dyDescent="0.35">
      <c r="B2113" s="75" t="s">
        <v>69</v>
      </c>
      <c r="C2113" s="80" t="s">
        <v>58</v>
      </c>
      <c r="D2113" s="73" t="s">
        <v>427</v>
      </c>
      <c r="E2113" s="74">
        <v>3.1250000000000001E-4</v>
      </c>
      <c r="F2113" s="78" t="s">
        <v>237</v>
      </c>
      <c r="G2113" s="77" t="s">
        <v>220</v>
      </c>
      <c r="H2113" t="str">
        <f>VLOOKUP(D2113,'DETALLE PRECIO INGREDIENTES'!B:B,1,0)</f>
        <v>PIMIENTA NEGRA ENTERA</v>
      </c>
    </row>
    <row r="2114" spans="2:8" ht="15.5" hidden="1" x14ac:dyDescent="0.35">
      <c r="B2114" s="75" t="s">
        <v>69</v>
      </c>
      <c r="C2114" s="80" t="s">
        <v>58</v>
      </c>
      <c r="D2114" s="73" t="s">
        <v>710</v>
      </c>
      <c r="E2114" s="74">
        <v>9.3749999999999997E-3</v>
      </c>
      <c r="F2114" s="78" t="s">
        <v>259</v>
      </c>
      <c r="G2114" s="77" t="s">
        <v>621</v>
      </c>
      <c r="H2114" t="str">
        <f>VLOOKUP(D2114,'DETALLE PRECIO INGREDIENTES'!B:B,1,0)</f>
        <v>REPOLLO MORADO</v>
      </c>
    </row>
    <row r="2115" spans="2:8" ht="15.5" hidden="1" x14ac:dyDescent="0.35">
      <c r="B2115" s="75" t="s">
        <v>69</v>
      </c>
      <c r="C2115" s="80" t="s">
        <v>58</v>
      </c>
      <c r="D2115" s="73" t="s">
        <v>720</v>
      </c>
      <c r="E2115" s="74">
        <v>9.3749999999999997E-3</v>
      </c>
      <c r="F2115" s="78" t="s">
        <v>237</v>
      </c>
      <c r="G2115" s="77" t="s">
        <v>621</v>
      </c>
      <c r="H2115" t="str">
        <f>VLOOKUP(D2115,'DETALLE PRECIO INGREDIENTES'!B:B,1,0)</f>
        <v>ZANAHORIA</v>
      </c>
    </row>
    <row r="2116" spans="2:8" ht="15.5" hidden="1" x14ac:dyDescent="0.35">
      <c r="B2116" s="75" t="s">
        <v>69</v>
      </c>
      <c r="C2116" s="80" t="s">
        <v>58</v>
      </c>
      <c r="D2116" s="73" t="s">
        <v>684</v>
      </c>
      <c r="E2116" s="74">
        <v>1.6875000000000001E-2</v>
      </c>
      <c r="F2116" s="78" t="s">
        <v>237</v>
      </c>
      <c r="G2116" s="77" t="s">
        <v>621</v>
      </c>
      <c r="H2116" t="str">
        <f>VLOOKUP(D2116,'DETALLE PRECIO INGREDIENTES'!B:B,1,0)</f>
        <v>MANZANA VERDE</v>
      </c>
    </row>
    <row r="2117" spans="2:8" ht="15.5" hidden="1" x14ac:dyDescent="0.35">
      <c r="B2117" s="75" t="s">
        <v>69</v>
      </c>
      <c r="C2117" s="80" t="s">
        <v>58</v>
      </c>
      <c r="D2117" s="73" t="s">
        <v>796</v>
      </c>
      <c r="E2117" s="74">
        <v>0.75</v>
      </c>
      <c r="F2117" s="78" t="s">
        <v>259</v>
      </c>
      <c r="G2117" s="77" t="s">
        <v>795</v>
      </c>
      <c r="H2117" t="str">
        <f>VLOOKUP(D2117,'DETALLE PRECIO INGREDIENTES'!B:B,1,0)</f>
        <v>MINI PAN HAWAIANO POR UNIDAD</v>
      </c>
    </row>
    <row r="2118" spans="2:8" ht="15.5" hidden="1" x14ac:dyDescent="0.35">
      <c r="B2118" s="75" t="s">
        <v>69</v>
      </c>
      <c r="C2118" s="80" t="s">
        <v>58</v>
      </c>
      <c r="D2118" s="73" t="s">
        <v>677</v>
      </c>
      <c r="E2118" s="74">
        <v>6.2500000000000003E-3</v>
      </c>
      <c r="F2118" s="78" t="s">
        <v>259</v>
      </c>
      <c r="G2118" s="77" t="s">
        <v>621</v>
      </c>
      <c r="H2118" t="str">
        <f>VLOOKUP(D2118,'DETALLE PRECIO INGREDIENTES'!B:B,1,0)</f>
        <v>LECHUGA COSTINA</v>
      </c>
    </row>
    <row r="2119" spans="2:8" ht="15.5" hidden="1" x14ac:dyDescent="0.35">
      <c r="B2119" s="75" t="s">
        <v>69</v>
      </c>
      <c r="C2119" s="80" t="s">
        <v>58</v>
      </c>
      <c r="D2119" s="73" t="s">
        <v>729</v>
      </c>
      <c r="E2119" s="74">
        <v>6.25E-2</v>
      </c>
      <c r="F2119" s="78" t="s">
        <v>259</v>
      </c>
      <c r="G2119" s="77" t="s">
        <v>728</v>
      </c>
      <c r="H2119" t="str">
        <f>VLOOKUP(D2119,'DETALLE PRECIO INGREDIENTES'!B:B,1,0)</f>
        <v>HUEVO EXTRA BLANCO</v>
      </c>
    </row>
    <row r="2120" spans="2:8" ht="15.5" hidden="1" x14ac:dyDescent="0.35">
      <c r="B2120" s="75" t="s">
        <v>69</v>
      </c>
      <c r="C2120" s="80" t="s">
        <v>58</v>
      </c>
      <c r="D2120" s="73" t="s">
        <v>228</v>
      </c>
      <c r="E2120" s="74">
        <v>2.375E-2</v>
      </c>
      <c r="F2120" s="78" t="s">
        <v>222</v>
      </c>
      <c r="G2120" s="77" t="s">
        <v>220</v>
      </c>
      <c r="H2120" t="str">
        <f>VLOOKUP(D2120,'DETALLE PRECIO INGREDIENTES'!B:B,1,0)</f>
        <v>ACEITE DE MARAVILLA</v>
      </c>
    </row>
    <row r="2121" spans="2:8" ht="15.5" hidden="1" x14ac:dyDescent="0.35">
      <c r="B2121" s="75" t="s">
        <v>69</v>
      </c>
      <c r="C2121" s="80" t="s">
        <v>58</v>
      </c>
      <c r="D2121" s="73" t="s">
        <v>737</v>
      </c>
      <c r="E2121" s="74">
        <v>4.3750000000000004E-3</v>
      </c>
      <c r="F2121" s="78" t="s">
        <v>222</v>
      </c>
      <c r="G2121" s="77" t="s">
        <v>736</v>
      </c>
      <c r="H2121" t="str">
        <f>VLOOKUP(D2121,'DETALLE PRECIO INGREDIENTES'!B:B,1,0)</f>
        <v>CREMA ACIDA</v>
      </c>
    </row>
    <row r="2122" spans="2:8" ht="15.5" hidden="1" x14ac:dyDescent="0.35">
      <c r="B2122" s="75" t="s">
        <v>69</v>
      </c>
      <c r="C2122" s="80" t="s">
        <v>58</v>
      </c>
      <c r="D2122" s="73" t="s">
        <v>397</v>
      </c>
      <c r="E2122" s="74">
        <v>6.2500000000000001E-4</v>
      </c>
      <c r="F2122" s="78" t="s">
        <v>237</v>
      </c>
      <c r="G2122" s="77" t="s">
        <v>220</v>
      </c>
      <c r="H2122" t="str">
        <f>VLOOKUP(D2122,'DETALLE PRECIO INGREDIENTES'!B:B,1,0)</f>
        <v>MOSTAZA</v>
      </c>
    </row>
    <row r="2123" spans="2:8" ht="15.5" hidden="1" x14ac:dyDescent="0.35">
      <c r="B2123" s="75" t="s">
        <v>69</v>
      </c>
      <c r="C2123" s="80" t="s">
        <v>58</v>
      </c>
      <c r="D2123" s="73" t="s">
        <v>836</v>
      </c>
      <c r="E2123" s="74">
        <v>3.125E-2</v>
      </c>
      <c r="F2123" s="78" t="s">
        <v>237</v>
      </c>
      <c r="G2123" s="77" t="s">
        <v>806</v>
      </c>
      <c r="H2123" t="str">
        <f>VLOOKUP(D2123,'DETALLE PRECIO INGREDIENTES'!B:B,1,0)</f>
        <v>REINETA ENTERA FRESCA</v>
      </c>
    </row>
    <row r="2124" spans="2:8" ht="15.5" hidden="1" x14ac:dyDescent="0.35">
      <c r="B2124" s="75" t="s">
        <v>69</v>
      </c>
      <c r="C2124" s="80" t="s">
        <v>58</v>
      </c>
      <c r="D2124" s="73" t="s">
        <v>645</v>
      </c>
      <c r="E2124" s="74">
        <v>1.8749999999999999E-2</v>
      </c>
      <c r="F2124" s="78" t="s">
        <v>237</v>
      </c>
      <c r="G2124" s="77" t="s">
        <v>621</v>
      </c>
      <c r="H2124" t="str">
        <f>VLOOKUP(D2124,'DETALLE PRECIO INGREDIENTES'!B:B,1,0)</f>
        <v>CEBOLLA MORADA</v>
      </c>
    </row>
    <row r="2125" spans="2:8" ht="15.5" hidden="1" x14ac:dyDescent="0.35">
      <c r="B2125" s="75" t="s">
        <v>69</v>
      </c>
      <c r="C2125" s="80" t="s">
        <v>58</v>
      </c>
      <c r="D2125" s="73" t="s">
        <v>626</v>
      </c>
      <c r="E2125" s="74">
        <v>6.2500000000000003E-3</v>
      </c>
      <c r="F2125" s="78" t="s">
        <v>259</v>
      </c>
      <c r="G2125" s="77" t="s">
        <v>621</v>
      </c>
      <c r="H2125" t="str">
        <f>VLOOKUP(D2125,'DETALLE PRECIO INGREDIENTES'!B:B,1,0)</f>
        <v>AJI ROCOTO</v>
      </c>
    </row>
    <row r="2126" spans="2:8" ht="15.5" hidden="1" x14ac:dyDescent="0.35">
      <c r="B2126" s="75" t="s">
        <v>69</v>
      </c>
      <c r="C2126" s="80" t="s">
        <v>58</v>
      </c>
      <c r="D2126" s="73" t="s">
        <v>657</v>
      </c>
      <c r="E2126" s="74">
        <v>1.1250000000000001E-3</v>
      </c>
      <c r="F2126" s="78" t="s">
        <v>237</v>
      </c>
      <c r="G2126" s="77" t="s">
        <v>621</v>
      </c>
      <c r="H2126" t="str">
        <f>VLOOKUP(D2126,'DETALLE PRECIO INGREDIENTES'!B:B,1,0)</f>
        <v>CILANTRO</v>
      </c>
    </row>
    <row r="2127" spans="2:8" ht="15.5" hidden="1" x14ac:dyDescent="0.35">
      <c r="B2127" s="75" t="s">
        <v>69</v>
      </c>
      <c r="C2127" s="80" t="s">
        <v>58</v>
      </c>
      <c r="D2127" s="73" t="s">
        <v>681</v>
      </c>
      <c r="E2127" s="74">
        <v>1.125E-2</v>
      </c>
      <c r="F2127" s="78" t="s">
        <v>237</v>
      </c>
      <c r="G2127" s="77" t="s">
        <v>621</v>
      </c>
      <c r="H2127" t="str">
        <f>VLOOKUP(D2127,'DETALLE PRECIO INGREDIENTES'!B:B,1,0)</f>
        <v>LIMON SUTIL</v>
      </c>
    </row>
    <row r="2128" spans="2:8" ht="15.5" hidden="1" x14ac:dyDescent="0.35">
      <c r="B2128" s="75" t="s">
        <v>69</v>
      </c>
      <c r="C2128" s="80" t="s">
        <v>58</v>
      </c>
      <c r="D2128" s="73" t="s">
        <v>427</v>
      </c>
      <c r="E2128" s="74">
        <v>6.2500000000000001E-4</v>
      </c>
      <c r="F2128" s="78" t="s">
        <v>237</v>
      </c>
      <c r="G2128" s="77" t="s">
        <v>220</v>
      </c>
      <c r="H2128" t="str">
        <f>VLOOKUP(D2128,'DETALLE PRECIO INGREDIENTES'!B:B,1,0)</f>
        <v>PIMIENTA NEGRA ENTERA</v>
      </c>
    </row>
    <row r="2129" spans="2:8" ht="15.5" hidden="1" x14ac:dyDescent="0.35">
      <c r="B2129" s="75" t="s">
        <v>69</v>
      </c>
      <c r="C2129" s="80" t="s">
        <v>58</v>
      </c>
      <c r="D2129" s="73" t="s">
        <v>692</v>
      </c>
      <c r="E2129" s="74">
        <v>9.3749999999999997E-3</v>
      </c>
      <c r="F2129" s="78" t="s">
        <v>237</v>
      </c>
      <c r="G2129" s="77" t="s">
        <v>621</v>
      </c>
      <c r="H2129" t="str">
        <f>VLOOKUP(D2129,'DETALLE PRECIO INGREDIENTES'!B:B,1,0)</f>
        <v>PAPA CAMOTE</v>
      </c>
    </row>
    <row r="2130" spans="2:8" ht="15.5" hidden="1" x14ac:dyDescent="0.35">
      <c r="B2130" s="75" t="s">
        <v>69</v>
      </c>
      <c r="C2130" s="80" t="s">
        <v>58</v>
      </c>
      <c r="D2130" s="73" t="s">
        <v>690</v>
      </c>
      <c r="E2130" s="74">
        <v>0.08</v>
      </c>
      <c r="F2130" s="78" t="s">
        <v>237</v>
      </c>
      <c r="G2130" s="77" t="s">
        <v>621</v>
      </c>
      <c r="H2130" t="str">
        <f>VLOOKUP(D2130,'DETALLE PRECIO INGREDIENTES'!B:B,1,0)</f>
        <v>NARANJA DE JUGO</v>
      </c>
    </row>
    <row r="2131" spans="2:8" ht="15.5" hidden="1" x14ac:dyDescent="0.35">
      <c r="B2131" s="75" t="s">
        <v>69</v>
      </c>
      <c r="C2131" s="80" t="s">
        <v>58</v>
      </c>
      <c r="D2131" s="73" t="s">
        <v>655</v>
      </c>
      <c r="E2131" s="74">
        <v>1.2500000000000001E-2</v>
      </c>
      <c r="F2131" s="78" t="s">
        <v>237</v>
      </c>
      <c r="G2131" s="77" t="s">
        <v>621</v>
      </c>
      <c r="H2131" t="str">
        <f>VLOOKUP(D2131,'DETALLE PRECIO INGREDIENTES'!B:B,1,0)</f>
        <v>CHOCLO PERUANO</v>
      </c>
    </row>
    <row r="2132" spans="2:8" ht="15.5" hidden="1" x14ac:dyDescent="0.35">
      <c r="B2132" s="75" t="s">
        <v>69</v>
      </c>
      <c r="C2132" s="80" t="s">
        <v>58</v>
      </c>
      <c r="D2132" s="73" t="s">
        <v>721</v>
      </c>
      <c r="E2132" s="74">
        <v>6.25E-2</v>
      </c>
      <c r="F2132" s="78" t="s">
        <v>259</v>
      </c>
      <c r="G2132" s="77" t="s">
        <v>621</v>
      </c>
      <c r="H2132" t="str">
        <f>VLOOKUP(D2132,'DETALLE PRECIO INGREDIENTES'!B:B,1,0)</f>
        <v>ZAPALLO BUTTERNUT</v>
      </c>
    </row>
    <row r="2133" spans="2:8" ht="15.5" hidden="1" x14ac:dyDescent="0.35">
      <c r="B2133" s="75" t="s">
        <v>69</v>
      </c>
      <c r="C2133" s="80" t="s">
        <v>58</v>
      </c>
      <c r="D2133" s="73" t="s">
        <v>467</v>
      </c>
      <c r="E2133" s="74">
        <v>0.188</v>
      </c>
      <c r="F2133" s="78" t="s">
        <v>259</v>
      </c>
      <c r="G2133" s="77" t="s">
        <v>220</v>
      </c>
      <c r="H2133" t="str">
        <f>VLOOKUP(D2133,'DETALLE PRECIO INGREDIENTES'!B:B,1,0)</f>
        <v>TORTILLAS MEXICANA TRIGO 10 UN</v>
      </c>
    </row>
    <row r="2134" spans="2:8" ht="15.5" hidden="1" x14ac:dyDescent="0.35">
      <c r="B2134" s="75" t="s">
        <v>69</v>
      </c>
      <c r="C2134" s="80" t="s">
        <v>58</v>
      </c>
      <c r="D2134" s="73" t="s">
        <v>766</v>
      </c>
      <c r="E2134" s="74">
        <v>6.2500000000000003E-3</v>
      </c>
      <c r="F2134" s="78" t="s">
        <v>237</v>
      </c>
      <c r="G2134" s="77" t="s">
        <v>736</v>
      </c>
      <c r="H2134" t="str">
        <f>VLOOKUP(D2134,'DETALLE PRECIO INGREDIENTES'!B:B,1,0)</f>
        <v>QUESO MANTECOSO PIEZA</v>
      </c>
    </row>
    <row r="2135" spans="2:8" ht="15.5" hidden="1" x14ac:dyDescent="0.35">
      <c r="B2135" s="75" t="s">
        <v>69</v>
      </c>
      <c r="C2135" s="80" t="s">
        <v>58</v>
      </c>
      <c r="D2135" s="73" t="s">
        <v>764</v>
      </c>
      <c r="E2135" s="74">
        <v>5.0000000000000001E-3</v>
      </c>
      <c r="F2135" s="78" t="s">
        <v>237</v>
      </c>
      <c r="G2135" s="77" t="s">
        <v>736</v>
      </c>
      <c r="H2135" t="str">
        <f>VLOOKUP(D2135,'DETALLE PRECIO INGREDIENTES'!B:B,1,0)</f>
        <v>QUESO GRUYERE</v>
      </c>
    </row>
    <row r="2136" spans="2:8" ht="15.5" hidden="1" x14ac:dyDescent="0.35">
      <c r="B2136" s="75" t="s">
        <v>69</v>
      </c>
      <c r="C2136" s="80" t="s">
        <v>58</v>
      </c>
      <c r="D2136" s="73" t="s">
        <v>755</v>
      </c>
      <c r="E2136" s="74">
        <v>3.1250000000000002E-3</v>
      </c>
      <c r="F2136" s="78" t="s">
        <v>237</v>
      </c>
      <c r="G2136" s="77" t="s">
        <v>736</v>
      </c>
      <c r="H2136" t="str">
        <f>VLOOKUP(D2136,'DETALLE PRECIO INGREDIENTES'!B:B,1,0)</f>
        <v>QUESO AZUL</v>
      </c>
    </row>
    <row r="2137" spans="2:8" ht="15.5" hidden="1" x14ac:dyDescent="0.35">
      <c r="B2137" s="75" t="s">
        <v>69</v>
      </c>
      <c r="C2137" s="80" t="s">
        <v>58</v>
      </c>
      <c r="D2137" s="73" t="s">
        <v>354</v>
      </c>
      <c r="E2137" s="74">
        <v>1.25E-3</v>
      </c>
      <c r="F2137" s="78" t="s">
        <v>237</v>
      </c>
      <c r="G2137" s="77" t="s">
        <v>220</v>
      </c>
      <c r="H2137" t="str">
        <f>VLOOKUP(D2137,'DETALLE PRECIO INGREDIENTES'!B:B,1,0)</f>
        <v>HARINA BIZCOCHERA</v>
      </c>
    </row>
    <row r="2138" spans="2:8" ht="15.5" hidden="1" x14ac:dyDescent="0.35">
      <c r="B2138" s="75" t="s">
        <v>69</v>
      </c>
      <c r="C2138" s="80" t="s">
        <v>58</v>
      </c>
      <c r="D2138" s="73" t="s">
        <v>750</v>
      </c>
      <c r="E2138" s="74">
        <v>1.6875000000000001E-2</v>
      </c>
      <c r="F2138" s="78" t="s">
        <v>237</v>
      </c>
      <c r="G2138" s="77" t="s">
        <v>736</v>
      </c>
      <c r="H2138" t="str">
        <f>VLOOKUP(D2138,'DETALLE PRECIO INGREDIENTES'!B:B,1,0)</f>
        <v>MANTEQUILLA CON SAL</v>
      </c>
    </row>
    <row r="2139" spans="2:8" ht="15.5" hidden="1" x14ac:dyDescent="0.35">
      <c r="B2139" s="75" t="s">
        <v>69</v>
      </c>
      <c r="C2139" s="80" t="s">
        <v>58</v>
      </c>
      <c r="D2139" s="73" t="s">
        <v>748</v>
      </c>
      <c r="E2139" s="74">
        <v>9.3749999999999997E-3</v>
      </c>
      <c r="F2139" s="78" t="s">
        <v>222</v>
      </c>
      <c r="G2139" s="77" t="s">
        <v>736</v>
      </c>
      <c r="H2139" t="str">
        <f>VLOOKUP(D2139,'DETALLE PRECIO INGREDIENTES'!B:B,1,0)</f>
        <v>LECHE ENTERA</v>
      </c>
    </row>
    <row r="2140" spans="2:8" ht="15.5" hidden="1" x14ac:dyDescent="0.35">
      <c r="B2140" s="75" t="s">
        <v>69</v>
      </c>
      <c r="C2140" s="80" t="s">
        <v>58</v>
      </c>
      <c r="D2140" s="73" t="s">
        <v>404</v>
      </c>
      <c r="E2140" s="74">
        <v>3.1250000000000001E-4</v>
      </c>
      <c r="F2140" s="78" t="s">
        <v>237</v>
      </c>
      <c r="G2140" s="77" t="s">
        <v>220</v>
      </c>
      <c r="H2140" t="str">
        <f>VLOOKUP(D2140,'DETALLE PRECIO INGREDIENTES'!B:B,1,0)</f>
        <v>NUEZ MOSCADA ENTERA</v>
      </c>
    </row>
    <row r="2141" spans="2:8" ht="15.5" hidden="1" x14ac:dyDescent="0.35">
      <c r="B2141" s="75" t="s">
        <v>69</v>
      </c>
      <c r="C2141" s="80" t="s">
        <v>58</v>
      </c>
      <c r="D2141" s="73" t="s">
        <v>846</v>
      </c>
      <c r="E2141" s="74">
        <v>0.3125</v>
      </c>
      <c r="F2141" s="78" t="s">
        <v>237</v>
      </c>
      <c r="G2141" s="77" t="s">
        <v>839</v>
      </c>
      <c r="H2141" t="str">
        <f>VLOOKUP(D2141,'DETALLE PRECIO INGREDIENTES'!B:B,1,0)</f>
        <v>POLLO TRUTRO ENTERO</v>
      </c>
    </row>
    <row r="2142" spans="2:8" ht="15.5" hidden="1" x14ac:dyDescent="0.35">
      <c r="B2142" s="75" t="s">
        <v>69</v>
      </c>
      <c r="C2142" s="80" t="s">
        <v>58</v>
      </c>
      <c r="D2142" s="73" t="s">
        <v>646</v>
      </c>
      <c r="E2142" s="74">
        <v>0.125</v>
      </c>
      <c r="F2142" s="78" t="s">
        <v>259</v>
      </c>
      <c r="G2142" s="77" t="s">
        <v>621</v>
      </c>
      <c r="H2142" t="str">
        <f>VLOOKUP(D2142,'DETALLE PRECIO INGREDIENTES'!B:B,1,0)</f>
        <v>CEBOLLIN</v>
      </c>
    </row>
    <row r="2143" spans="2:8" ht="15.5" hidden="1" x14ac:dyDescent="0.35">
      <c r="B2143" s="75" t="s">
        <v>69</v>
      </c>
      <c r="C2143" s="80" t="s">
        <v>58</v>
      </c>
      <c r="D2143" s="73" t="s">
        <v>277</v>
      </c>
      <c r="E2143" s="74">
        <v>1.8749999999999999E-2</v>
      </c>
      <c r="F2143" s="78" t="s">
        <v>237</v>
      </c>
      <c r="G2143" s="77" t="s">
        <v>220</v>
      </c>
      <c r="H2143" t="str">
        <f>VLOOKUP(D2143,'DETALLE PRECIO INGREDIENTES'!B:B,1,0)</f>
        <v>AZUCAR BLANCA GRANULADA</v>
      </c>
    </row>
    <row r="2144" spans="2:8" ht="15.5" hidden="1" x14ac:dyDescent="0.35">
      <c r="B2144" s="75" t="s">
        <v>69</v>
      </c>
      <c r="C2144" s="80" t="s">
        <v>58</v>
      </c>
      <c r="D2144" s="73" t="s">
        <v>449</v>
      </c>
      <c r="E2144" s="74">
        <v>7.4999999999999997E-3</v>
      </c>
      <c r="F2144" s="78" t="s">
        <v>222</v>
      </c>
      <c r="G2144" s="77" t="s">
        <v>220</v>
      </c>
      <c r="H2144" t="str">
        <f>VLOOKUP(D2144,'DETALLE PRECIO INGREDIENTES'!B:B,1,0)</f>
        <v>SALSA DE SOYA</v>
      </c>
    </row>
    <row r="2145" spans="2:8" ht="15.5" hidden="1" x14ac:dyDescent="0.35">
      <c r="B2145" s="75" t="s">
        <v>69</v>
      </c>
      <c r="C2145" s="80" t="s">
        <v>58</v>
      </c>
      <c r="D2145" s="73" t="s">
        <v>788</v>
      </c>
      <c r="E2145" s="74">
        <v>3.7499999999999999E-3</v>
      </c>
      <c r="F2145" s="78" t="s">
        <v>259</v>
      </c>
      <c r="G2145" s="77" t="s">
        <v>776</v>
      </c>
      <c r="H2145" t="str">
        <f>VLOOKUP(D2145,'DETALLE PRECIO INGREDIENTES'!B:B,1,0)</f>
        <v>SAKE / LICOR DE ARROZ JAPONES</v>
      </c>
    </row>
    <row r="2146" spans="2:8" ht="15.5" hidden="1" x14ac:dyDescent="0.35">
      <c r="B2146" s="75" t="s">
        <v>69</v>
      </c>
      <c r="C2146" s="80" t="s">
        <v>58</v>
      </c>
      <c r="D2146" s="73" t="s">
        <v>868</v>
      </c>
      <c r="E2146" s="74">
        <v>3.7499999999999999E-3</v>
      </c>
      <c r="F2146" s="78" t="s">
        <v>237</v>
      </c>
      <c r="G2146" s="77" t="s">
        <v>852</v>
      </c>
      <c r="H2146" t="str">
        <f>VLOOKUP(D2146,'DETALLE PRECIO INGREDIENTES'!B:B,1,0)</f>
        <v>VACUNO MOLLEJAS PEQUEÑAS</v>
      </c>
    </row>
    <row r="2147" spans="2:8" ht="15.5" hidden="1" x14ac:dyDescent="0.35">
      <c r="B2147" s="75" t="s">
        <v>69</v>
      </c>
      <c r="C2147" s="80" t="s">
        <v>58</v>
      </c>
      <c r="D2147" s="73" t="s">
        <v>231</v>
      </c>
      <c r="E2147" s="74">
        <v>6.2500000000000001E-4</v>
      </c>
      <c r="F2147" s="78" t="s">
        <v>222</v>
      </c>
      <c r="G2147" s="77" t="s">
        <v>220</v>
      </c>
      <c r="H2147" t="str">
        <f>VLOOKUP(D2147,'DETALLE PRECIO INGREDIENTES'!B:B,1,0)</f>
        <v>ACEITE DE SESAMO</v>
      </c>
    </row>
    <row r="2148" spans="2:8" ht="15.5" hidden="1" x14ac:dyDescent="0.35">
      <c r="B2148" s="75" t="s">
        <v>69</v>
      </c>
      <c r="C2148" s="80" t="s">
        <v>58</v>
      </c>
      <c r="D2148" s="73" t="s">
        <v>462</v>
      </c>
      <c r="E2148" s="74">
        <v>1.875E-4</v>
      </c>
      <c r="F2148" s="78" t="s">
        <v>237</v>
      </c>
      <c r="G2148" s="77" t="s">
        <v>220</v>
      </c>
      <c r="H2148" t="str">
        <f>VLOOKUP(D2148,'DETALLE PRECIO INGREDIENTES'!B:B,1,0)</f>
        <v>SUMAC ESPECIA EN POLVO</v>
      </c>
    </row>
    <row r="2149" spans="2:8" ht="15.5" hidden="1" x14ac:dyDescent="0.35">
      <c r="B2149" s="75" t="s">
        <v>69</v>
      </c>
      <c r="C2149" s="80" t="s">
        <v>58</v>
      </c>
      <c r="D2149" s="73" t="s">
        <v>526</v>
      </c>
      <c r="E2149" s="74">
        <v>3.7499999999999999E-2</v>
      </c>
      <c r="F2149" s="78" t="s">
        <v>237</v>
      </c>
      <c r="G2149" s="77" t="s">
        <v>525</v>
      </c>
      <c r="H2149" t="str">
        <f>VLOOKUP(D2149,'DETALLE PRECIO INGREDIENTES'!B:B,1,0)</f>
        <v>BUTIFARRA</v>
      </c>
    </row>
    <row r="2150" spans="2:8" ht="15.5" hidden="1" x14ac:dyDescent="0.35">
      <c r="B2150" s="75" t="s">
        <v>69</v>
      </c>
      <c r="C2150" s="80" t="s">
        <v>58</v>
      </c>
      <c r="D2150" s="73" t="s">
        <v>698</v>
      </c>
      <c r="E2150" s="74">
        <v>1.25E-3</v>
      </c>
      <c r="F2150" s="78" t="s">
        <v>237</v>
      </c>
      <c r="G2150" s="77" t="s">
        <v>621</v>
      </c>
      <c r="H2150" t="str">
        <f>VLOOKUP(D2150,'DETALLE PRECIO INGREDIENTES'!B:B,1,0)</f>
        <v>PEREJIL</v>
      </c>
    </row>
    <row r="2151" spans="2:8" ht="15.5" hidden="1" x14ac:dyDescent="0.35">
      <c r="B2151" s="75" t="s">
        <v>69</v>
      </c>
      <c r="C2151" s="80" t="s">
        <v>58</v>
      </c>
      <c r="D2151" s="73" t="s">
        <v>370</v>
      </c>
      <c r="E2151" s="74">
        <v>1E-3</v>
      </c>
      <c r="F2151" s="78" t="s">
        <v>237</v>
      </c>
      <c r="G2151" s="77" t="s">
        <v>220</v>
      </c>
      <c r="H2151" t="str">
        <f>VLOOKUP(D2151,'DETALLE PRECIO INGREDIENTES'!B:B,1,0)</f>
        <v>LAUREL</v>
      </c>
    </row>
    <row r="2152" spans="2:8" ht="15.5" hidden="1" x14ac:dyDescent="0.35">
      <c r="B2152" s="75" t="s">
        <v>69</v>
      </c>
      <c r="C2152" s="80" t="s">
        <v>58</v>
      </c>
      <c r="D2152" s="73" t="s">
        <v>802</v>
      </c>
      <c r="E2152" s="74">
        <v>0.3125</v>
      </c>
      <c r="F2152" s="78" t="s">
        <v>259</v>
      </c>
      <c r="G2152" s="77" t="s">
        <v>795</v>
      </c>
      <c r="H2152" t="str">
        <f>VLOOKUP(D2152,'DETALLE PRECIO INGREDIENTES'!B:B,1,0)</f>
        <v>PAN MARRAQUETA MINI</v>
      </c>
    </row>
    <row r="2153" spans="2:8" ht="15.5" hidden="1" x14ac:dyDescent="0.35">
      <c r="B2153" s="75" t="s">
        <v>69</v>
      </c>
      <c r="C2153" s="80" t="s">
        <v>58</v>
      </c>
      <c r="D2153" s="73" t="s">
        <v>879</v>
      </c>
      <c r="E2153" s="74">
        <v>0.1</v>
      </c>
      <c r="F2153" s="78" t="s">
        <v>259</v>
      </c>
      <c r="G2153" s="77" t="s">
        <v>876</v>
      </c>
      <c r="H2153" t="str">
        <f>VLOOKUP(D2153,'DETALLE PRECIO INGREDIENTES'!B:B,1,0)</f>
        <v>VINO CASAS PATRONALES CARMENERE RESERVA</v>
      </c>
    </row>
    <row r="2154" spans="2:8" ht="15.5" hidden="1" x14ac:dyDescent="0.35">
      <c r="B2154" s="75" t="s">
        <v>69</v>
      </c>
      <c r="C2154" s="80" t="s">
        <v>58</v>
      </c>
      <c r="D2154" s="73" t="s">
        <v>594</v>
      </c>
      <c r="E2154" s="74">
        <v>0.11</v>
      </c>
      <c r="F2154" s="78" t="s">
        <v>237</v>
      </c>
      <c r="G2154" s="77" t="s">
        <v>587</v>
      </c>
      <c r="H2154" t="str">
        <f>VLOOKUP(D2154,'DETALLE PRECIO INGREDIENTES'!B:B,1,0)</f>
        <v>PULPA DE FRUTILLA</v>
      </c>
    </row>
    <row r="2155" spans="2:8" ht="15.5" hidden="1" x14ac:dyDescent="0.35">
      <c r="B2155" s="75" t="s">
        <v>69</v>
      </c>
      <c r="C2155" s="80" t="s">
        <v>58</v>
      </c>
      <c r="D2155" s="73" t="s">
        <v>288</v>
      </c>
      <c r="E2155" s="74">
        <v>5.0000000000000001E-3</v>
      </c>
      <c r="F2155" s="78" t="s">
        <v>237</v>
      </c>
      <c r="G2155" s="77" t="s">
        <v>220</v>
      </c>
      <c r="H2155" t="str">
        <f>VLOOKUP(D2155,'DETALLE PRECIO INGREDIENTES'!B:B,1,0)</f>
        <v>CAFE INSTANTANEO</v>
      </c>
    </row>
    <row r="2156" spans="2:8" ht="15.5" hidden="1" x14ac:dyDescent="0.35">
      <c r="B2156" s="75" t="s">
        <v>69</v>
      </c>
      <c r="C2156" s="80" t="s">
        <v>58</v>
      </c>
      <c r="D2156" s="73" t="s">
        <v>848</v>
      </c>
      <c r="E2156" s="74">
        <v>1</v>
      </c>
      <c r="F2156" s="78" t="s">
        <v>259</v>
      </c>
      <c r="G2156" s="77" t="s">
        <v>847</v>
      </c>
      <c r="H2156" t="str">
        <f>VLOOKUP(D2156,'DETALLE PRECIO INGREDIENTES'!B:B,1,0)</f>
        <v>TE LIPTON 100 UNIDADES</v>
      </c>
    </row>
    <row r="2157" spans="2:8" ht="15.5" hidden="1" x14ac:dyDescent="0.35">
      <c r="B2157" s="75" t="s">
        <v>69</v>
      </c>
      <c r="C2157" s="80" t="s">
        <v>58</v>
      </c>
      <c r="D2157" s="73" t="s">
        <v>277</v>
      </c>
      <c r="E2157" s="74">
        <v>0.02</v>
      </c>
      <c r="F2157" s="78" t="s">
        <v>237</v>
      </c>
      <c r="G2157" s="77" t="s">
        <v>220</v>
      </c>
      <c r="H2157" t="str">
        <f>VLOOKUP(D2157,'DETALLE PRECIO INGREDIENTES'!B:B,1,0)</f>
        <v>AZUCAR BLANCA GRANULADA</v>
      </c>
    </row>
    <row r="2158" spans="2:8" ht="15.5" hidden="1" x14ac:dyDescent="0.35">
      <c r="B2158" s="75" t="s">
        <v>69</v>
      </c>
      <c r="C2158" s="80" t="s">
        <v>58</v>
      </c>
      <c r="D2158" s="73" t="s">
        <v>324</v>
      </c>
      <c r="E2158" s="74">
        <v>0.05</v>
      </c>
      <c r="F2158" s="78" t="s">
        <v>259</v>
      </c>
      <c r="G2158" s="77" t="s">
        <v>220</v>
      </c>
      <c r="H2158" t="str">
        <f>VLOOKUP(D2158,'DETALLE PRECIO INGREDIENTES'!B:B,1,0)</f>
        <v>ENDULZANTE IANSA CERO K STEVIA 250 ML</v>
      </c>
    </row>
    <row r="2159" spans="2:8" ht="15.5" hidden="1" x14ac:dyDescent="0.35">
      <c r="B2159" s="75" t="s">
        <v>69</v>
      </c>
      <c r="C2159" s="80" t="s">
        <v>58</v>
      </c>
      <c r="D2159" s="73" t="s">
        <v>294</v>
      </c>
      <c r="E2159" s="74">
        <v>0.27</v>
      </c>
      <c r="F2159" s="78" t="s">
        <v>237</v>
      </c>
      <c r="G2159" s="77" t="s">
        <v>220</v>
      </c>
      <c r="H2159" t="str">
        <f>VLOOKUP(D2159,'DETALLE PRECIO INGREDIENTES'!B:B,1,0)</f>
        <v>CARBON DE ESPINO</v>
      </c>
    </row>
    <row r="2160" spans="2:8" ht="15.5" x14ac:dyDescent="0.35">
      <c r="B2160" s="75" t="s">
        <v>69</v>
      </c>
      <c r="C2160" s="80" t="s">
        <v>58</v>
      </c>
      <c r="D2160" s="73" t="s">
        <v>974</v>
      </c>
      <c r="E2160" s="74">
        <v>2</v>
      </c>
      <c r="F2160" s="78" t="e">
        <v>#N/A</v>
      </c>
      <c r="G2160" s="77" t="e">
        <v>#N/A</v>
      </c>
      <c r="H2160" t="e">
        <f>VLOOKUP(D2160,'DETALLE PRECIO INGREDIENTES'!B:B,1,0)</f>
        <v>#N/A</v>
      </c>
    </row>
    <row r="2161" spans="2:8" ht="15.5" hidden="1" x14ac:dyDescent="0.35">
      <c r="B2161" s="75" t="s">
        <v>69</v>
      </c>
      <c r="C2161" s="80" t="s">
        <v>57</v>
      </c>
      <c r="D2161" s="73" t="s">
        <v>816</v>
      </c>
      <c r="E2161" s="74">
        <v>3.7499999999999999E-2</v>
      </c>
      <c r="F2161" s="78" t="s">
        <v>237</v>
      </c>
      <c r="G2161" s="77" t="s">
        <v>806</v>
      </c>
      <c r="H2161" t="str">
        <f>VLOOKUP(D2161,'DETALLE PRECIO INGREDIENTES'!B:B,1,0)</f>
        <v>CAMARON ECUATORIANO 36-40</v>
      </c>
    </row>
    <row r="2162" spans="2:8" ht="15.5" hidden="1" x14ac:dyDescent="0.35">
      <c r="B2162" s="75" t="s">
        <v>69</v>
      </c>
      <c r="C2162" s="80" t="s">
        <v>57</v>
      </c>
      <c r="D2162" s="73" t="s">
        <v>230</v>
      </c>
      <c r="E2162" s="74">
        <v>6.875E-3</v>
      </c>
      <c r="F2162" s="78" t="s">
        <v>222</v>
      </c>
      <c r="G2162" s="77" t="s">
        <v>220</v>
      </c>
      <c r="H2162" t="str">
        <f>VLOOKUP(D2162,'DETALLE PRECIO INGREDIENTES'!B:B,1,0)</f>
        <v>ACEITE DE OLIVA</v>
      </c>
    </row>
    <row r="2163" spans="2:8" ht="15.5" hidden="1" x14ac:dyDescent="0.35">
      <c r="B2163" s="75" t="s">
        <v>69</v>
      </c>
      <c r="C2163" s="80" t="s">
        <v>57</v>
      </c>
      <c r="D2163" s="73" t="s">
        <v>628</v>
      </c>
      <c r="E2163" s="74">
        <v>0.375</v>
      </c>
      <c r="F2163" s="78" t="s">
        <v>259</v>
      </c>
      <c r="G2163" s="77" t="s">
        <v>621</v>
      </c>
      <c r="H2163" t="str">
        <f>VLOOKUP(D2163,'DETALLE PRECIO INGREDIENTES'!B:B,1,0)</f>
        <v>AJO CABEZA</v>
      </c>
    </row>
    <row r="2164" spans="2:8" ht="15.5" hidden="1" x14ac:dyDescent="0.35">
      <c r="B2164" s="75" t="s">
        <v>69</v>
      </c>
      <c r="C2164" s="80" t="s">
        <v>57</v>
      </c>
      <c r="D2164" s="73" t="s">
        <v>878</v>
      </c>
      <c r="E2164" s="74">
        <v>6.2500000000000003E-3</v>
      </c>
      <c r="F2164" s="78" t="s">
        <v>222</v>
      </c>
      <c r="G2164" s="77" t="s">
        <v>876</v>
      </c>
      <c r="H2164" t="str">
        <f>VLOOKUP(D2164,'DETALLE PRECIO INGREDIENTES'!B:B,1,0)</f>
        <v>VINO BLANCO TETRA PACK</v>
      </c>
    </row>
    <row r="2165" spans="2:8" ht="15.5" hidden="1" x14ac:dyDescent="0.35">
      <c r="B2165" s="75" t="s">
        <v>69</v>
      </c>
      <c r="C2165" s="80" t="s">
        <v>57</v>
      </c>
      <c r="D2165" s="73" t="s">
        <v>624</v>
      </c>
      <c r="E2165" s="74">
        <v>6.2500000000000001E-5</v>
      </c>
      <c r="F2165" s="78" t="s">
        <v>259</v>
      </c>
      <c r="G2165" s="77" t="s">
        <v>621</v>
      </c>
      <c r="H2165" t="str">
        <f>VLOOKUP(D2165,'DETALLE PRECIO INGREDIENTES'!B:B,1,0)</f>
        <v>AJI CACHO CABRA AHUMADO</v>
      </c>
    </row>
    <row r="2166" spans="2:8" ht="15.5" hidden="1" x14ac:dyDescent="0.35">
      <c r="B2166" s="75" t="s">
        <v>69</v>
      </c>
      <c r="C2166" s="80" t="s">
        <v>57</v>
      </c>
      <c r="D2166" s="73" t="s">
        <v>698</v>
      </c>
      <c r="E2166" s="74">
        <v>4.5000000000000005E-3</v>
      </c>
      <c r="F2166" s="78" t="s">
        <v>237</v>
      </c>
      <c r="G2166" s="77" t="s">
        <v>621</v>
      </c>
      <c r="H2166" t="str">
        <f>VLOOKUP(D2166,'DETALLE PRECIO INGREDIENTES'!B:B,1,0)</f>
        <v>PEREJIL</v>
      </c>
    </row>
    <row r="2167" spans="2:8" ht="15.5" hidden="1" x14ac:dyDescent="0.35">
      <c r="B2167" s="75" t="s">
        <v>69</v>
      </c>
      <c r="C2167" s="80" t="s">
        <v>57</v>
      </c>
      <c r="D2167" s="73" t="s">
        <v>750</v>
      </c>
      <c r="E2167" s="74">
        <v>6.5624999999999998E-3</v>
      </c>
      <c r="F2167" s="78" t="s">
        <v>237</v>
      </c>
      <c r="G2167" s="77" t="s">
        <v>736</v>
      </c>
      <c r="H2167" t="str">
        <f>VLOOKUP(D2167,'DETALLE PRECIO INGREDIENTES'!B:B,1,0)</f>
        <v>MANTEQUILLA CON SAL</v>
      </c>
    </row>
    <row r="2168" spans="2:8" ht="15.5" hidden="1" x14ac:dyDescent="0.35">
      <c r="B2168" s="75" t="s">
        <v>69</v>
      </c>
      <c r="C2168" s="80" t="s">
        <v>57</v>
      </c>
      <c r="D2168" s="73" t="s">
        <v>797</v>
      </c>
      <c r="E2168" s="74">
        <v>3.125E-2</v>
      </c>
      <c r="F2168" s="78" t="s">
        <v>259</v>
      </c>
      <c r="G2168" s="77" t="s">
        <v>795</v>
      </c>
      <c r="H2168" t="str">
        <f>VLOOKUP(D2168,'DETALLE PRECIO INGREDIENTES'!B:B,1,0)</f>
        <v>PAN BAGUETTE NORMAL</v>
      </c>
    </row>
    <row r="2169" spans="2:8" ht="15.5" hidden="1" x14ac:dyDescent="0.35">
      <c r="B2169" s="75" t="s">
        <v>69</v>
      </c>
      <c r="C2169" s="80" t="s">
        <v>57</v>
      </c>
      <c r="D2169" s="73" t="s">
        <v>533</v>
      </c>
      <c r="E2169" s="74">
        <v>1.8749999999999999E-2</v>
      </c>
      <c r="F2169" s="78" t="s">
        <v>237</v>
      </c>
      <c r="G2169" s="77" t="s">
        <v>525</v>
      </c>
      <c r="H2169" t="str">
        <f>VLOOKUP(D2169,'DETALLE PRECIO INGREDIENTES'!B:B,1,0)</f>
        <v>CERDO LOMO CENTRO</v>
      </c>
    </row>
    <row r="2170" spans="2:8" ht="15.5" x14ac:dyDescent="0.35">
      <c r="B2170" s="75" t="s">
        <v>69</v>
      </c>
      <c r="C2170" s="80" t="s">
        <v>57</v>
      </c>
      <c r="D2170" s="73" t="s">
        <v>975</v>
      </c>
      <c r="E2170" s="74">
        <v>6.2500000000000003E-3</v>
      </c>
      <c r="F2170" s="78" t="s">
        <v>259</v>
      </c>
      <c r="G2170" s="77" t="s">
        <v>610</v>
      </c>
      <c r="H2170" t="e">
        <f>VLOOKUP(D2170,'DETALLE PRECIO INGREDIENTES'!B:B,1,0)</f>
        <v>#N/A</v>
      </c>
    </row>
    <row r="2171" spans="2:8" ht="15.5" hidden="1" x14ac:dyDescent="0.35">
      <c r="B2171" s="75" t="s">
        <v>69</v>
      </c>
      <c r="C2171" s="80" t="s">
        <v>57</v>
      </c>
      <c r="D2171" s="73" t="s">
        <v>716</v>
      </c>
      <c r="E2171" s="74">
        <v>2.0000000000000004E-2</v>
      </c>
      <c r="F2171" s="78" t="s">
        <v>237</v>
      </c>
      <c r="G2171" s="77" t="s">
        <v>621</v>
      </c>
      <c r="H2171" t="str">
        <f>VLOOKUP(D2171,'DETALLE PRECIO INGREDIENTES'!B:B,1,0)</f>
        <v>TOMATE LARGA VIDA</v>
      </c>
    </row>
    <row r="2172" spans="2:8" ht="15.5" hidden="1" x14ac:dyDescent="0.35">
      <c r="B2172" s="75" t="s">
        <v>69</v>
      </c>
      <c r="C2172" s="80" t="s">
        <v>57</v>
      </c>
      <c r="D2172" s="73" t="s">
        <v>800</v>
      </c>
      <c r="E2172" s="74">
        <v>0.625</v>
      </c>
      <c r="F2172" s="78" t="s">
        <v>259</v>
      </c>
      <c r="G2172" s="77" t="s">
        <v>795</v>
      </c>
      <c r="H2172" t="str">
        <f>VLOOKUP(D2172,'DETALLE PRECIO INGREDIENTES'!B:B,1,0)</f>
        <v>PAN FRICA MINI</v>
      </c>
    </row>
    <row r="2173" spans="2:8" ht="15.5" hidden="1" x14ac:dyDescent="0.35">
      <c r="B2173" s="75" t="s">
        <v>69</v>
      </c>
      <c r="C2173" s="80" t="s">
        <v>57</v>
      </c>
      <c r="D2173" s="73" t="s">
        <v>446</v>
      </c>
      <c r="E2173" s="74">
        <v>6.2500000000000003E-3</v>
      </c>
      <c r="F2173" s="78" t="s">
        <v>237</v>
      </c>
      <c r="G2173" s="77" t="s">
        <v>220</v>
      </c>
      <c r="H2173" t="str">
        <f>VLOOKUP(D2173,'DETALLE PRECIO INGREDIENTES'!B:B,1,0)</f>
        <v>SALSA AMERICANA</v>
      </c>
    </row>
    <row r="2174" spans="2:8" ht="15.5" hidden="1" x14ac:dyDescent="0.35">
      <c r="B2174" s="75" t="s">
        <v>69</v>
      </c>
      <c r="C2174" s="80" t="s">
        <v>57</v>
      </c>
      <c r="D2174" s="73" t="s">
        <v>729</v>
      </c>
      <c r="E2174" s="74">
        <v>0.375</v>
      </c>
      <c r="F2174" s="78" t="s">
        <v>259</v>
      </c>
      <c r="G2174" s="77" t="s">
        <v>728</v>
      </c>
      <c r="H2174" t="str">
        <f>VLOOKUP(D2174,'DETALLE PRECIO INGREDIENTES'!B:B,1,0)</f>
        <v>HUEVO EXTRA BLANCO</v>
      </c>
    </row>
    <row r="2175" spans="2:8" ht="15.5" hidden="1" x14ac:dyDescent="0.35">
      <c r="B2175" s="75" t="s">
        <v>69</v>
      </c>
      <c r="C2175" s="80" t="s">
        <v>57</v>
      </c>
      <c r="D2175" s="73" t="s">
        <v>228</v>
      </c>
      <c r="E2175" s="74">
        <v>1.2500000000000001E-2</v>
      </c>
      <c r="F2175" s="78" t="s">
        <v>222</v>
      </c>
      <c r="G2175" s="77" t="s">
        <v>220</v>
      </c>
      <c r="H2175" t="str">
        <f>VLOOKUP(D2175,'DETALLE PRECIO INGREDIENTES'!B:B,1,0)</f>
        <v>ACEITE DE MARAVILLA</v>
      </c>
    </row>
    <row r="2176" spans="2:8" ht="15.5" hidden="1" x14ac:dyDescent="0.35">
      <c r="B2176" s="75" t="s">
        <v>69</v>
      </c>
      <c r="C2176" s="80" t="s">
        <v>57</v>
      </c>
      <c r="D2176" s="73" t="s">
        <v>354</v>
      </c>
      <c r="E2176" s="74">
        <v>1.5625E-2</v>
      </c>
      <c r="F2176" s="78" t="s">
        <v>237</v>
      </c>
      <c r="G2176" s="77" t="s">
        <v>220</v>
      </c>
      <c r="H2176" t="str">
        <f>VLOOKUP(D2176,'DETALLE PRECIO INGREDIENTES'!B:B,1,0)</f>
        <v>HARINA BIZCOCHERA</v>
      </c>
    </row>
    <row r="2177" spans="2:8" ht="15.5" hidden="1" x14ac:dyDescent="0.35">
      <c r="B2177" s="75" t="s">
        <v>69</v>
      </c>
      <c r="C2177" s="80" t="s">
        <v>57</v>
      </c>
      <c r="D2177" s="73" t="s">
        <v>381</v>
      </c>
      <c r="E2177" s="74">
        <v>1.5625000000000001E-3</v>
      </c>
      <c r="F2177" s="78" t="s">
        <v>237</v>
      </c>
      <c r="G2177" s="77" t="s">
        <v>220</v>
      </c>
      <c r="H2177" t="str">
        <f>VLOOKUP(D2177,'DETALLE PRECIO INGREDIENTES'!B:B,1,0)</f>
        <v>MANTECA VEGETAL</v>
      </c>
    </row>
    <row r="2178" spans="2:8" ht="15.5" hidden="1" x14ac:dyDescent="0.35">
      <c r="B2178" s="75" t="s">
        <v>69</v>
      </c>
      <c r="C2178" s="80" t="s">
        <v>57</v>
      </c>
      <c r="D2178" s="73" t="s">
        <v>432</v>
      </c>
      <c r="E2178" s="74">
        <v>6.2500000000000001E-5</v>
      </c>
      <c r="F2178" s="78" t="s">
        <v>237</v>
      </c>
      <c r="G2178" s="77" t="s">
        <v>220</v>
      </c>
      <c r="H2178" t="str">
        <f>VLOOKUP(D2178,'DETALLE PRECIO INGREDIENTES'!B:B,1,0)</f>
        <v>POLVOS DE HORNEAR</v>
      </c>
    </row>
    <row r="2179" spans="2:8" ht="15.5" hidden="1" x14ac:dyDescent="0.35">
      <c r="B2179" s="75" t="s">
        <v>69</v>
      </c>
      <c r="C2179" s="80" t="s">
        <v>57</v>
      </c>
      <c r="D2179" s="73" t="s">
        <v>766</v>
      </c>
      <c r="E2179" s="74">
        <v>1.8749999999999999E-2</v>
      </c>
      <c r="F2179" s="78" t="s">
        <v>237</v>
      </c>
      <c r="G2179" s="77" t="s">
        <v>736</v>
      </c>
      <c r="H2179" t="str">
        <f>VLOOKUP(D2179,'DETALLE PRECIO INGREDIENTES'!B:B,1,0)</f>
        <v>QUESO MANTECOSO PIEZA</v>
      </c>
    </row>
    <row r="2180" spans="2:8" ht="15.5" hidden="1" x14ac:dyDescent="0.35">
      <c r="B2180" s="75" t="s">
        <v>69</v>
      </c>
      <c r="C2180" s="80" t="s">
        <v>57</v>
      </c>
      <c r="D2180" s="73" t="s">
        <v>831</v>
      </c>
      <c r="E2180" s="74">
        <v>1</v>
      </c>
      <c r="F2180" s="78" t="s">
        <v>259</v>
      </c>
      <c r="G2180" s="77" t="s">
        <v>806</v>
      </c>
      <c r="H2180" t="str">
        <f>VLOOKUP(D2180,'DETALLE PRECIO INGREDIENTES'!B:B,1,0)</f>
        <v>OSTION FRESCO CON CORAL</v>
      </c>
    </row>
    <row r="2181" spans="2:8" ht="15.5" hidden="1" x14ac:dyDescent="0.35">
      <c r="B2181" s="75" t="s">
        <v>69</v>
      </c>
      <c r="C2181" s="80" t="s">
        <v>57</v>
      </c>
      <c r="D2181" s="73" t="s">
        <v>878</v>
      </c>
      <c r="E2181" s="74">
        <v>6.2500000000000001E-4</v>
      </c>
      <c r="F2181" s="78" t="s">
        <v>222</v>
      </c>
      <c r="G2181" s="77" t="s">
        <v>876</v>
      </c>
      <c r="H2181" t="str">
        <f>VLOOKUP(D2181,'DETALLE PRECIO INGREDIENTES'!B:B,1,0)</f>
        <v>VINO BLANCO TETRA PACK</v>
      </c>
    </row>
    <row r="2182" spans="2:8" ht="15.5" hidden="1" x14ac:dyDescent="0.35">
      <c r="B2182" s="75" t="s">
        <v>69</v>
      </c>
      <c r="C2182" s="80" t="s">
        <v>57</v>
      </c>
      <c r="D2182" s="73" t="s">
        <v>656</v>
      </c>
      <c r="E2182" s="74">
        <v>1.2500000000000001E-2</v>
      </c>
      <c r="F2182" s="78" t="s">
        <v>259</v>
      </c>
      <c r="G2182" s="77" t="s">
        <v>621</v>
      </c>
      <c r="H2182" t="str">
        <f>VLOOKUP(D2182,'DETALLE PRECIO INGREDIENTES'!B:B,1,0)</f>
        <v>CIBOULETTE ATADO</v>
      </c>
    </row>
    <row r="2183" spans="2:8" ht="15.5" hidden="1" x14ac:dyDescent="0.35">
      <c r="B2183" s="75" t="s">
        <v>69</v>
      </c>
      <c r="C2183" s="80" t="s">
        <v>57</v>
      </c>
      <c r="D2183" s="73" t="s">
        <v>739</v>
      </c>
      <c r="E2183" s="74">
        <v>1.25E-3</v>
      </c>
      <c r="F2183" s="78" t="s">
        <v>222</v>
      </c>
      <c r="G2183" s="77" t="s">
        <v>736</v>
      </c>
      <c r="H2183" t="str">
        <f>VLOOKUP(D2183,'DETALLE PRECIO INGREDIENTES'!B:B,1,0)</f>
        <v>CREMA DE LECHE</v>
      </c>
    </row>
    <row r="2184" spans="2:8" ht="15.5" hidden="1" x14ac:dyDescent="0.35">
      <c r="B2184" s="75" t="s">
        <v>69</v>
      </c>
      <c r="C2184" s="80" t="s">
        <v>57</v>
      </c>
      <c r="D2184" s="73" t="s">
        <v>233</v>
      </c>
      <c r="E2184" s="74">
        <v>9.375E-2</v>
      </c>
      <c r="F2184" s="78" t="s">
        <v>222</v>
      </c>
      <c r="G2184" s="77" t="s">
        <v>220</v>
      </c>
      <c r="H2184" t="str">
        <f>VLOOKUP(D2184,'DETALLE PRECIO INGREDIENTES'!B:B,1,0)</f>
        <v>ACEITE PARA FREIR</v>
      </c>
    </row>
    <row r="2185" spans="2:8" ht="15.5" hidden="1" x14ac:dyDescent="0.35">
      <c r="B2185" s="75" t="s">
        <v>69</v>
      </c>
      <c r="C2185" s="80" t="s">
        <v>57</v>
      </c>
      <c r="D2185" s="73" t="s">
        <v>411</v>
      </c>
      <c r="E2185" s="74">
        <v>3.125E-2</v>
      </c>
      <c r="F2185" s="78" t="s">
        <v>237</v>
      </c>
      <c r="G2185" s="77" t="s">
        <v>621</v>
      </c>
      <c r="H2185" t="str">
        <f>VLOOKUP(D2185,'DETALLE PRECIO INGREDIENTES'!B:B,1,0)</f>
        <v>PAPAS</v>
      </c>
    </row>
    <row r="2186" spans="2:8" ht="15.5" hidden="1" x14ac:dyDescent="0.35">
      <c r="B2186" s="75" t="s">
        <v>69</v>
      </c>
      <c r="C2186" s="80" t="s">
        <v>57</v>
      </c>
      <c r="D2186" s="73" t="s">
        <v>532</v>
      </c>
      <c r="E2186" s="74">
        <v>2.5000000000000001E-3</v>
      </c>
      <c r="F2186" s="78" t="s">
        <v>237</v>
      </c>
      <c r="G2186" s="77" t="s">
        <v>525</v>
      </c>
      <c r="H2186" t="str">
        <f>VLOOKUP(D2186,'DETALLE PRECIO INGREDIENTES'!B:B,1,0)</f>
        <v>CERDO GRASA/TOCINO BLANCO</v>
      </c>
    </row>
    <row r="2187" spans="2:8" ht="15.5" hidden="1" x14ac:dyDescent="0.35">
      <c r="B2187" s="75" t="s">
        <v>69</v>
      </c>
      <c r="C2187" s="80" t="s">
        <v>57</v>
      </c>
      <c r="D2187" s="73" t="s">
        <v>644</v>
      </c>
      <c r="E2187" s="74">
        <v>1.3125000000000001E-2</v>
      </c>
      <c r="F2187" s="78" t="s">
        <v>237</v>
      </c>
      <c r="G2187" s="77" t="s">
        <v>621</v>
      </c>
      <c r="H2187" t="str">
        <f>VLOOKUP(D2187,'DETALLE PRECIO INGREDIENTES'!B:B,1,0)</f>
        <v>CEBOLLA BLANCA</v>
      </c>
    </row>
    <row r="2188" spans="2:8" ht="15.5" hidden="1" x14ac:dyDescent="0.35">
      <c r="B2188" s="75" t="s">
        <v>69</v>
      </c>
      <c r="C2188" s="80" t="s">
        <v>57</v>
      </c>
      <c r="D2188" s="73" t="s">
        <v>627</v>
      </c>
      <c r="E2188" s="74">
        <v>1.25E-3</v>
      </c>
      <c r="F2188" s="78" t="s">
        <v>237</v>
      </c>
      <c r="G2188" s="77" t="s">
        <v>621</v>
      </c>
      <c r="H2188" t="str">
        <f>VLOOKUP(D2188,'DETALLE PRECIO INGREDIENTES'!B:B,1,0)</f>
        <v>AJI VERDE</v>
      </c>
    </row>
    <row r="2189" spans="2:8" ht="15.5" hidden="1" x14ac:dyDescent="0.35">
      <c r="B2189" s="75" t="s">
        <v>69</v>
      </c>
      <c r="C2189" s="80" t="s">
        <v>57</v>
      </c>
      <c r="D2189" s="73" t="s">
        <v>472</v>
      </c>
      <c r="E2189" s="74">
        <v>4.6875000000000007E-3</v>
      </c>
      <c r="F2189" s="78" t="s">
        <v>222</v>
      </c>
      <c r="G2189" s="77" t="s">
        <v>220</v>
      </c>
      <c r="H2189" t="str">
        <f>VLOOKUP(D2189,'DETALLE PRECIO INGREDIENTES'!B:B,1,0)</f>
        <v>VINAGRE BLANCO</v>
      </c>
    </row>
    <row r="2190" spans="2:8" ht="15.5" hidden="1" x14ac:dyDescent="0.35">
      <c r="B2190" s="75" t="s">
        <v>69</v>
      </c>
      <c r="C2190" s="80" t="s">
        <v>57</v>
      </c>
      <c r="D2190" s="73" t="s">
        <v>869</v>
      </c>
      <c r="E2190" s="74">
        <v>0.125</v>
      </c>
      <c r="F2190" s="78" t="s">
        <v>237</v>
      </c>
      <c r="G2190" s="77" t="s">
        <v>852</v>
      </c>
      <c r="H2190" t="str">
        <f>VLOOKUP(D2190,'DETALLE PRECIO INGREDIENTES'!B:B,1,0)</f>
        <v>VACUNO OSOBUCO PIERNA</v>
      </c>
    </row>
    <row r="2191" spans="2:8" ht="15.5" hidden="1" x14ac:dyDescent="0.35">
      <c r="B2191" s="75" t="s">
        <v>69</v>
      </c>
      <c r="C2191" s="80" t="s">
        <v>57</v>
      </c>
      <c r="D2191" s="73" t="s">
        <v>882</v>
      </c>
      <c r="E2191" s="74">
        <v>6.25E-2</v>
      </c>
      <c r="F2191" s="78" t="s">
        <v>222</v>
      </c>
      <c r="G2191" s="77" t="s">
        <v>876</v>
      </c>
      <c r="H2191" t="str">
        <f>VLOOKUP(D2191,'DETALLE PRECIO INGREDIENTES'!B:B,1,0)</f>
        <v>VINO TINTO TETRA</v>
      </c>
    </row>
    <row r="2192" spans="2:8" ht="15.5" hidden="1" x14ac:dyDescent="0.35">
      <c r="B2192" s="75" t="s">
        <v>69</v>
      </c>
      <c r="C2192" s="80" t="s">
        <v>57</v>
      </c>
      <c r="D2192" s="73" t="s">
        <v>633</v>
      </c>
      <c r="E2192" s="74">
        <v>6.2500000000000001E-4</v>
      </c>
      <c r="F2192" s="78" t="s">
        <v>259</v>
      </c>
      <c r="G2192" s="77" t="s">
        <v>621</v>
      </c>
      <c r="H2192" t="str">
        <f>VLOOKUP(D2192,'DETALLE PRECIO INGREDIENTES'!B:B,1,0)</f>
        <v>APIO MATA</v>
      </c>
    </row>
    <row r="2193" spans="2:8" ht="15.5" hidden="1" x14ac:dyDescent="0.35">
      <c r="B2193" s="75" t="s">
        <v>69</v>
      </c>
      <c r="C2193" s="80" t="s">
        <v>57</v>
      </c>
      <c r="D2193" s="73" t="s">
        <v>370</v>
      </c>
      <c r="E2193" s="74">
        <v>1E-3</v>
      </c>
      <c r="F2193" s="78" t="s">
        <v>237</v>
      </c>
      <c r="G2193" s="77" t="s">
        <v>220</v>
      </c>
      <c r="H2193" t="str">
        <f>VLOOKUP(D2193,'DETALLE PRECIO INGREDIENTES'!B:B,1,0)</f>
        <v>LAUREL</v>
      </c>
    </row>
    <row r="2194" spans="2:8" ht="15.5" hidden="1" x14ac:dyDescent="0.35">
      <c r="B2194" s="75" t="s">
        <v>69</v>
      </c>
      <c r="C2194" s="80" t="s">
        <v>57</v>
      </c>
      <c r="D2194" s="73" t="s">
        <v>720</v>
      </c>
      <c r="E2194" s="74">
        <v>9.3749999999999997E-3</v>
      </c>
      <c r="F2194" s="78" t="s">
        <v>237</v>
      </c>
      <c r="G2194" s="77" t="s">
        <v>621</v>
      </c>
      <c r="H2194" t="str">
        <f>VLOOKUP(D2194,'DETALLE PRECIO INGREDIENTES'!B:B,1,0)</f>
        <v>ZANAHORIA</v>
      </c>
    </row>
    <row r="2195" spans="2:8" ht="15.5" hidden="1" x14ac:dyDescent="0.35">
      <c r="B2195" s="75" t="s">
        <v>69</v>
      </c>
      <c r="C2195" s="80" t="s">
        <v>57</v>
      </c>
      <c r="D2195" s="73" t="s">
        <v>300</v>
      </c>
      <c r="E2195" s="74">
        <v>1.5625E-2</v>
      </c>
      <c r="F2195" s="78" t="s">
        <v>237</v>
      </c>
      <c r="G2195" s="77" t="s">
        <v>220</v>
      </c>
      <c r="H2195" t="str">
        <f>VLOOKUP(D2195,'DETALLE PRECIO INGREDIENTES'!B:B,1,0)</f>
        <v>CHANCACA</v>
      </c>
    </row>
    <row r="2196" spans="2:8" ht="15.5" hidden="1" x14ac:dyDescent="0.35">
      <c r="B2196" s="75" t="s">
        <v>69</v>
      </c>
      <c r="C2196" s="80" t="s">
        <v>57</v>
      </c>
      <c r="D2196" s="73" t="s">
        <v>634</v>
      </c>
      <c r="E2196" s="74">
        <v>3.1250000000000002E-3</v>
      </c>
      <c r="F2196" s="78" t="s">
        <v>237</v>
      </c>
      <c r="G2196" s="77" t="s">
        <v>621</v>
      </c>
      <c r="H2196" t="str">
        <f>VLOOKUP(D2196,'DETALLE PRECIO INGREDIENTES'!B:B,1,0)</f>
        <v>ARANDANOS FRESCOS</v>
      </c>
    </row>
    <row r="2197" spans="2:8" ht="15.5" hidden="1" x14ac:dyDescent="0.35">
      <c r="B2197" s="75" t="s">
        <v>69</v>
      </c>
      <c r="C2197" s="80" t="s">
        <v>57</v>
      </c>
      <c r="D2197" s="73" t="s">
        <v>588</v>
      </c>
      <c r="E2197" s="74">
        <v>1.5625E-2</v>
      </c>
      <c r="F2197" s="78" t="s">
        <v>237</v>
      </c>
      <c r="G2197" s="77" t="s">
        <v>587</v>
      </c>
      <c r="H2197" t="str">
        <f>VLOOKUP(D2197,'DETALLE PRECIO INGREDIENTES'!B:B,1,0)</f>
        <v>PASTA DE CHOCLO</v>
      </c>
    </row>
    <row r="2198" spans="2:8" ht="15.5" hidden="1" x14ac:dyDescent="0.35">
      <c r="B2198" s="75" t="s">
        <v>69</v>
      </c>
      <c r="C2198" s="80" t="s">
        <v>57</v>
      </c>
      <c r="D2198" s="73" t="s">
        <v>629</v>
      </c>
      <c r="E2198" s="74">
        <v>1.5625000000000001E-3</v>
      </c>
      <c r="F2198" s="78" t="s">
        <v>237</v>
      </c>
      <c r="G2198" s="77" t="s">
        <v>621</v>
      </c>
      <c r="H2198" t="str">
        <f>VLOOKUP(D2198,'DETALLE PRECIO INGREDIENTES'!B:B,1,0)</f>
        <v>ALBAHACA FRESCA</v>
      </c>
    </row>
    <row r="2199" spans="2:8" ht="15.5" hidden="1" x14ac:dyDescent="0.35">
      <c r="B2199" s="75" t="s">
        <v>69</v>
      </c>
      <c r="C2199" s="80" t="s">
        <v>57</v>
      </c>
      <c r="D2199" s="73" t="s">
        <v>748</v>
      </c>
      <c r="E2199" s="74">
        <v>4.9375000000000002E-2</v>
      </c>
      <c r="F2199" s="78" t="s">
        <v>222</v>
      </c>
      <c r="G2199" s="77" t="s">
        <v>736</v>
      </c>
      <c r="H2199" t="str">
        <f>VLOOKUP(D2199,'DETALLE PRECIO INGREDIENTES'!B:B,1,0)</f>
        <v>LECHE ENTERA</v>
      </c>
    </row>
    <row r="2200" spans="2:8" ht="15.5" hidden="1" x14ac:dyDescent="0.35">
      <c r="B2200" s="75" t="s">
        <v>69</v>
      </c>
      <c r="C2200" s="80" t="s">
        <v>57</v>
      </c>
      <c r="D2200" s="73" t="s">
        <v>277</v>
      </c>
      <c r="E2200" s="74">
        <v>1.1875E-2</v>
      </c>
      <c r="F2200" s="78" t="s">
        <v>237</v>
      </c>
      <c r="G2200" s="77" t="s">
        <v>220</v>
      </c>
      <c r="H2200" t="str">
        <f>VLOOKUP(D2200,'DETALLE PRECIO INGREDIENTES'!B:B,1,0)</f>
        <v>AZUCAR BLANCA GRANULADA</v>
      </c>
    </row>
    <row r="2201" spans="2:8" ht="15.5" hidden="1" x14ac:dyDescent="0.35">
      <c r="B2201" s="75" t="s">
        <v>69</v>
      </c>
      <c r="C2201" s="80" t="s">
        <v>57</v>
      </c>
      <c r="D2201" s="73" t="s">
        <v>375</v>
      </c>
      <c r="E2201" s="74">
        <v>6.8749999999999996E-4</v>
      </c>
      <c r="F2201" s="78" t="s">
        <v>237</v>
      </c>
      <c r="G2201" s="77" t="s">
        <v>220</v>
      </c>
      <c r="H2201" t="str">
        <f>VLOOKUP(D2201,'DETALLE PRECIO INGREDIENTES'!B:B,1,0)</f>
        <v>MAICENA</v>
      </c>
    </row>
    <row r="2202" spans="2:8" ht="15.5" hidden="1" x14ac:dyDescent="0.35">
      <c r="B2202" s="75" t="s">
        <v>69</v>
      </c>
      <c r="C2202" s="80" t="s">
        <v>57</v>
      </c>
      <c r="D2202" s="73" t="s">
        <v>690</v>
      </c>
      <c r="E2202" s="74">
        <v>6.2500000000000001E-4</v>
      </c>
      <c r="F2202" s="78" t="s">
        <v>237</v>
      </c>
      <c r="G2202" s="77" t="s">
        <v>621</v>
      </c>
      <c r="H2202" t="str">
        <f>VLOOKUP(D2202,'DETALLE PRECIO INGREDIENTES'!B:B,1,0)</f>
        <v>NARANJA DE JUGO</v>
      </c>
    </row>
    <row r="2203" spans="2:8" ht="15.5" hidden="1" x14ac:dyDescent="0.35">
      <c r="B2203" s="75" t="s">
        <v>69</v>
      </c>
      <c r="C2203" s="80" t="s">
        <v>57</v>
      </c>
      <c r="D2203" s="73" t="s">
        <v>293</v>
      </c>
      <c r="E2203" s="74">
        <v>6.2500000000000001E-4</v>
      </c>
      <c r="F2203" s="78" t="s">
        <v>237</v>
      </c>
      <c r="G2203" s="77" t="s">
        <v>220</v>
      </c>
      <c r="H2203" t="str">
        <f>VLOOKUP(D2203,'DETALLE PRECIO INGREDIENTES'!B:B,1,0)</f>
        <v>CANELA ENTERA</v>
      </c>
    </row>
    <row r="2204" spans="2:8" ht="15.5" hidden="1" x14ac:dyDescent="0.35">
      <c r="B2204" s="75" t="s">
        <v>69</v>
      </c>
      <c r="C2204" s="80" t="s">
        <v>57</v>
      </c>
      <c r="D2204" s="73" t="s">
        <v>329</v>
      </c>
      <c r="E2204" s="74">
        <v>6.2500000000000001E-4</v>
      </c>
      <c r="F2204" s="78" t="s">
        <v>222</v>
      </c>
      <c r="G2204" s="77" t="s">
        <v>220</v>
      </c>
      <c r="H2204" t="str">
        <f>VLOOKUP(D2204,'DETALLE PRECIO INGREDIENTES'!B:B,1,0)</f>
        <v>ESENCIA DE VAINILLA</v>
      </c>
    </row>
    <row r="2205" spans="2:8" ht="15.5" hidden="1" x14ac:dyDescent="0.35">
      <c r="B2205" s="75" t="s">
        <v>69</v>
      </c>
      <c r="C2205" s="80" t="s">
        <v>57</v>
      </c>
      <c r="D2205" s="73" t="s">
        <v>879</v>
      </c>
      <c r="E2205" s="74">
        <v>0.1</v>
      </c>
      <c r="F2205" s="78" t="s">
        <v>259</v>
      </c>
      <c r="G2205" s="77" t="s">
        <v>876</v>
      </c>
      <c r="H2205" t="str">
        <f>VLOOKUP(D2205,'DETALLE PRECIO INGREDIENTES'!B:B,1,0)</f>
        <v>VINO CASAS PATRONALES CARMENERE RESERVA</v>
      </c>
    </row>
    <row r="2206" spans="2:8" ht="15.5" hidden="1" x14ac:dyDescent="0.35">
      <c r="B2206" s="75" t="s">
        <v>69</v>
      </c>
      <c r="C2206" s="80" t="s">
        <v>57</v>
      </c>
      <c r="D2206" s="73" t="s">
        <v>594</v>
      </c>
      <c r="E2206" s="74">
        <v>0.11</v>
      </c>
      <c r="F2206" s="78" t="s">
        <v>237</v>
      </c>
      <c r="G2206" s="77" t="s">
        <v>587</v>
      </c>
      <c r="H2206" t="str">
        <f>VLOOKUP(D2206,'DETALLE PRECIO INGREDIENTES'!B:B,1,0)</f>
        <v>PULPA DE FRUTILLA</v>
      </c>
    </row>
    <row r="2207" spans="2:8" ht="15.5" hidden="1" x14ac:dyDescent="0.35">
      <c r="B2207" s="75" t="s">
        <v>69</v>
      </c>
      <c r="C2207" s="80" t="s">
        <v>57</v>
      </c>
      <c r="D2207" s="73" t="s">
        <v>288</v>
      </c>
      <c r="E2207" s="74">
        <v>5.0000000000000001E-3</v>
      </c>
      <c r="F2207" s="78" t="s">
        <v>237</v>
      </c>
      <c r="G2207" s="77" t="s">
        <v>220</v>
      </c>
      <c r="H2207" t="str">
        <f>VLOOKUP(D2207,'DETALLE PRECIO INGREDIENTES'!B:B,1,0)</f>
        <v>CAFE INSTANTANEO</v>
      </c>
    </row>
    <row r="2208" spans="2:8" ht="15.5" hidden="1" x14ac:dyDescent="0.35">
      <c r="B2208" s="75" t="s">
        <v>69</v>
      </c>
      <c r="C2208" s="80" t="s">
        <v>57</v>
      </c>
      <c r="D2208" s="73" t="s">
        <v>848</v>
      </c>
      <c r="E2208" s="74">
        <v>1</v>
      </c>
      <c r="F2208" s="78" t="s">
        <v>259</v>
      </c>
      <c r="G2208" s="77" t="s">
        <v>847</v>
      </c>
      <c r="H2208" t="str">
        <f>VLOOKUP(D2208,'DETALLE PRECIO INGREDIENTES'!B:B,1,0)</f>
        <v>TE LIPTON 100 UNIDADES</v>
      </c>
    </row>
    <row r="2209" spans="2:8" ht="15.5" hidden="1" x14ac:dyDescent="0.35">
      <c r="B2209" s="75" t="s">
        <v>69</v>
      </c>
      <c r="C2209" s="80" t="s">
        <v>57</v>
      </c>
      <c r="D2209" s="73" t="s">
        <v>277</v>
      </c>
      <c r="E2209" s="74">
        <v>0.02</v>
      </c>
      <c r="F2209" s="78" t="s">
        <v>237</v>
      </c>
      <c r="G2209" s="77" t="s">
        <v>220</v>
      </c>
      <c r="H2209" t="str">
        <f>VLOOKUP(D2209,'DETALLE PRECIO INGREDIENTES'!B:B,1,0)</f>
        <v>AZUCAR BLANCA GRANULADA</v>
      </c>
    </row>
    <row r="2210" spans="2:8" ht="15.5" hidden="1" x14ac:dyDescent="0.35">
      <c r="B2210" s="75" t="s">
        <v>69</v>
      </c>
      <c r="C2210" s="80" t="s">
        <v>57</v>
      </c>
      <c r="D2210" s="73" t="s">
        <v>324</v>
      </c>
      <c r="E2210" s="74">
        <v>0.05</v>
      </c>
      <c r="F2210" s="78" t="s">
        <v>259</v>
      </c>
      <c r="G2210" s="77" t="s">
        <v>220</v>
      </c>
      <c r="H2210" t="str">
        <f>VLOOKUP(D2210,'DETALLE PRECIO INGREDIENTES'!B:B,1,0)</f>
        <v>ENDULZANTE IANSA CERO K STEVIA 250 ML</v>
      </c>
    </row>
    <row r="2211" spans="2:8" ht="15.5" hidden="1" x14ac:dyDescent="0.35">
      <c r="B2211" s="75" t="s">
        <v>69</v>
      </c>
      <c r="C2211" s="80" t="s">
        <v>56</v>
      </c>
      <c r="D2211" s="73" t="s">
        <v>228</v>
      </c>
      <c r="E2211" s="74">
        <v>0.1</v>
      </c>
      <c r="F2211" s="78" t="s">
        <v>222</v>
      </c>
      <c r="G2211" s="77" t="s">
        <v>220</v>
      </c>
      <c r="H2211" t="str">
        <f>VLOOKUP(D2211,'DETALLE PRECIO INGREDIENTES'!B:B,1,0)</f>
        <v>ACEITE DE MARAVILLA</v>
      </c>
    </row>
    <row r="2212" spans="2:8" ht="15.5" hidden="1" x14ac:dyDescent="0.35">
      <c r="B2212" s="75" t="s">
        <v>69</v>
      </c>
      <c r="C2212" s="80" t="s">
        <v>56</v>
      </c>
      <c r="D2212" s="73" t="s">
        <v>230</v>
      </c>
      <c r="E2212" s="74">
        <v>0.05</v>
      </c>
      <c r="F2212" s="78" t="s">
        <v>222</v>
      </c>
      <c r="G2212" s="77" t="s">
        <v>220</v>
      </c>
      <c r="H2212" t="str">
        <f>VLOOKUP(D2212,'DETALLE PRECIO INGREDIENTES'!B:B,1,0)</f>
        <v>ACEITE DE OLIVA</v>
      </c>
    </row>
    <row r="2213" spans="2:8" ht="15.5" hidden="1" x14ac:dyDescent="0.35">
      <c r="B2213" s="75" t="s">
        <v>69</v>
      </c>
      <c r="C2213" s="80" t="s">
        <v>56</v>
      </c>
      <c r="D2213" s="73" t="s">
        <v>245</v>
      </c>
      <c r="E2213" s="74">
        <v>6.0000000000000001E-3</v>
      </c>
      <c r="F2213" s="78" t="s">
        <v>237</v>
      </c>
      <c r="G2213" s="77" t="s">
        <v>220</v>
      </c>
      <c r="H2213" t="str">
        <f>VLOOKUP(D2213,'DETALLE PRECIO INGREDIENTES'!B:B,1,0)</f>
        <v>AJI AMARILLO EN PASTA</v>
      </c>
    </row>
    <row r="2214" spans="2:8" ht="15.5" hidden="1" x14ac:dyDescent="0.35">
      <c r="B2214" s="75" t="s">
        <v>69</v>
      </c>
      <c r="C2214" s="80" t="s">
        <v>56</v>
      </c>
      <c r="D2214" s="73" t="s">
        <v>627</v>
      </c>
      <c r="E2214" s="74">
        <v>0.03</v>
      </c>
      <c r="F2214" s="78" t="s">
        <v>237</v>
      </c>
      <c r="G2214" s="77" t="s">
        <v>621</v>
      </c>
      <c r="H2214" t="str">
        <f>VLOOKUP(D2214,'DETALLE PRECIO INGREDIENTES'!B:B,1,0)</f>
        <v>AJI VERDE</v>
      </c>
    </row>
    <row r="2215" spans="2:8" ht="15.5" hidden="1" x14ac:dyDescent="0.35">
      <c r="B2215" s="75" t="s">
        <v>69</v>
      </c>
      <c r="C2215" s="80" t="s">
        <v>56</v>
      </c>
      <c r="D2215" s="73" t="s">
        <v>628</v>
      </c>
      <c r="E2215" s="74">
        <v>0.15</v>
      </c>
      <c r="F2215" s="78" t="s">
        <v>259</v>
      </c>
      <c r="G2215" s="77" t="s">
        <v>621</v>
      </c>
      <c r="H2215" t="str">
        <f>VLOOKUP(D2215,'DETALLE PRECIO INGREDIENTES'!B:B,1,0)</f>
        <v>AJO CABEZA</v>
      </c>
    </row>
    <row r="2216" spans="2:8" ht="15.5" hidden="1" x14ac:dyDescent="0.35">
      <c r="B2216" s="75" t="s">
        <v>69</v>
      </c>
      <c r="C2216" s="80" t="s">
        <v>56</v>
      </c>
      <c r="D2216" s="73" t="s">
        <v>629</v>
      </c>
      <c r="E2216" s="74">
        <v>0.01</v>
      </c>
      <c r="F2216" s="78" t="s">
        <v>237</v>
      </c>
      <c r="G2216" s="77" t="s">
        <v>621</v>
      </c>
      <c r="H2216" t="str">
        <f>VLOOKUP(D2216,'DETALLE PRECIO INGREDIENTES'!B:B,1,0)</f>
        <v>ALBAHACA FRESCA</v>
      </c>
    </row>
    <row r="2217" spans="2:8" ht="15.5" hidden="1" x14ac:dyDescent="0.35">
      <c r="B2217" s="75" t="s">
        <v>69</v>
      </c>
      <c r="C2217" s="80" t="s">
        <v>56</v>
      </c>
      <c r="D2217" s="73" t="s">
        <v>633</v>
      </c>
      <c r="E2217" s="74">
        <v>0.3</v>
      </c>
      <c r="F2217" s="78" t="s">
        <v>259</v>
      </c>
      <c r="G2217" s="77" t="s">
        <v>621</v>
      </c>
      <c r="H2217" t="str">
        <f>VLOOKUP(D2217,'DETALLE PRECIO INGREDIENTES'!B:B,1,0)</f>
        <v>APIO MATA</v>
      </c>
    </row>
    <row r="2218" spans="2:8" ht="15.5" hidden="1" x14ac:dyDescent="0.35">
      <c r="B2218" s="75" t="s">
        <v>69</v>
      </c>
      <c r="C2218" s="80" t="s">
        <v>56</v>
      </c>
      <c r="D2218" s="73" t="s">
        <v>634</v>
      </c>
      <c r="E2218" s="74">
        <v>0.02</v>
      </c>
      <c r="F2218" s="78" t="s">
        <v>237</v>
      </c>
      <c r="G2218" s="77" t="s">
        <v>621</v>
      </c>
      <c r="H2218" t="str">
        <f>VLOOKUP(D2218,'DETALLE PRECIO INGREDIENTES'!B:B,1,0)</f>
        <v>ARANDANOS FRESCOS</v>
      </c>
    </row>
    <row r="2219" spans="2:8" ht="15.5" hidden="1" x14ac:dyDescent="0.35">
      <c r="B2219" s="75" t="s">
        <v>69</v>
      </c>
      <c r="C2219" s="80" t="s">
        <v>56</v>
      </c>
      <c r="D2219" s="73" t="s">
        <v>264</v>
      </c>
      <c r="E2219" s="74">
        <v>0.04</v>
      </c>
      <c r="F2219" s="78" t="s">
        <v>237</v>
      </c>
      <c r="G2219" s="77" t="s">
        <v>220</v>
      </c>
      <c r="H2219" t="str">
        <f>VLOOKUP(D2219,'DETALLE PRECIO INGREDIENTES'!B:B,1,0)</f>
        <v>ARROZ ARBORIO</v>
      </c>
    </row>
    <row r="2220" spans="2:8" ht="15.5" hidden="1" x14ac:dyDescent="0.35">
      <c r="B2220" s="75" t="s">
        <v>69</v>
      </c>
      <c r="C2220" s="80" t="s">
        <v>56</v>
      </c>
      <c r="D2220" s="73" t="s">
        <v>277</v>
      </c>
      <c r="E2220" s="74">
        <v>0.15</v>
      </c>
      <c r="F2220" s="78" t="s">
        <v>237</v>
      </c>
      <c r="G2220" s="77" t="s">
        <v>220</v>
      </c>
      <c r="H2220" t="str">
        <f>VLOOKUP(D2220,'DETALLE PRECIO INGREDIENTES'!B:B,1,0)</f>
        <v>AZUCAR BLANCA GRANULADA</v>
      </c>
    </row>
    <row r="2221" spans="2:8" ht="15.5" x14ac:dyDescent="0.35">
      <c r="B2221" s="75" t="s">
        <v>69</v>
      </c>
      <c r="C2221" s="80" t="s">
        <v>56</v>
      </c>
      <c r="D2221" s="73" t="s">
        <v>976</v>
      </c>
      <c r="E2221" s="74">
        <v>0.1</v>
      </c>
      <c r="F2221" s="78" t="s">
        <v>259</v>
      </c>
      <c r="G2221" s="77" t="s">
        <v>485</v>
      </c>
      <c r="H2221" t="e">
        <f>VLOOKUP(D2221,'DETALLE PRECIO INGREDIENTES'!B:B,1,0)</f>
        <v>#N/A</v>
      </c>
    </row>
    <row r="2222" spans="2:8" ht="15.5" hidden="1" x14ac:dyDescent="0.35">
      <c r="B2222" s="75" t="s">
        <v>69</v>
      </c>
      <c r="C2222" s="80" t="s">
        <v>56</v>
      </c>
      <c r="D2222" s="73" t="s">
        <v>494</v>
      </c>
      <c r="E2222" s="74">
        <v>0.1</v>
      </c>
      <c r="F2222" s="78" t="s">
        <v>259</v>
      </c>
      <c r="G2222" s="77" t="s">
        <v>485</v>
      </c>
      <c r="H2222" t="str">
        <f>VLOOKUP(D2222,'DETALLE PRECIO INGREDIENTES'!B:B,1,0)</f>
        <v>BROCHETAS DE COCKTAIL 50 UN</v>
      </c>
    </row>
    <row r="2223" spans="2:8" ht="15.5" hidden="1" x14ac:dyDescent="0.35">
      <c r="B2223" s="75" t="s">
        <v>69</v>
      </c>
      <c r="C2223" s="80" t="s">
        <v>56</v>
      </c>
      <c r="D2223" s="73" t="s">
        <v>287</v>
      </c>
      <c r="E2223" s="74">
        <v>0.02</v>
      </c>
      <c r="F2223" s="78" t="s">
        <v>237</v>
      </c>
      <c r="G2223" s="77" t="s">
        <v>220</v>
      </c>
      <c r="H2223" t="str">
        <f>VLOOKUP(D2223,'DETALLE PRECIO INGREDIENTES'!B:B,1,0)</f>
        <v>CAFE GRANO MOLIDO</v>
      </c>
    </row>
    <row r="2224" spans="2:8" ht="15.5" hidden="1" x14ac:dyDescent="0.35">
      <c r="B2224" s="75" t="s">
        <v>69</v>
      </c>
      <c r="C2224" s="80" t="s">
        <v>56</v>
      </c>
      <c r="D2224" s="73" t="s">
        <v>279</v>
      </c>
      <c r="E2224" s="74">
        <v>3</v>
      </c>
      <c r="F2224" s="78" t="s">
        <v>259</v>
      </c>
      <c r="G2224" s="77" t="s">
        <v>220</v>
      </c>
      <c r="H2224" t="str">
        <f>VLOOKUP(D2224,'DETALLE PRECIO INGREDIENTES'!B:B,1,0)</f>
        <v>AZUCAR GRANULADA ( SACHET)</v>
      </c>
    </row>
    <row r="2225" spans="2:8" ht="15.5" hidden="1" x14ac:dyDescent="0.35">
      <c r="B2225" s="75" t="s">
        <v>69</v>
      </c>
      <c r="C2225" s="80" t="s">
        <v>56</v>
      </c>
      <c r="D2225" s="73" t="s">
        <v>613</v>
      </c>
      <c r="E2225" s="74">
        <v>2</v>
      </c>
      <c r="F2225" s="78" t="s">
        <v>259</v>
      </c>
      <c r="G2225" s="77" t="s">
        <v>612</v>
      </c>
      <c r="H2225" t="str">
        <f>VLOOKUP(D2225,'DETALLE PRECIO INGREDIENTES'!B:B,1,0)</f>
        <v>SUCRALOSA SOBRE</v>
      </c>
    </row>
    <row r="2226" spans="2:8" ht="15.5" hidden="1" x14ac:dyDescent="0.35">
      <c r="B2226" s="75" t="s">
        <v>69</v>
      </c>
      <c r="C2226" s="80" t="s">
        <v>56</v>
      </c>
      <c r="D2226" s="73" t="s">
        <v>644</v>
      </c>
      <c r="E2226" s="74">
        <v>0.13</v>
      </c>
      <c r="F2226" s="78" t="s">
        <v>237</v>
      </c>
      <c r="G2226" s="77" t="s">
        <v>621</v>
      </c>
      <c r="H2226" t="str">
        <f>VLOOKUP(D2226,'DETALLE PRECIO INGREDIENTES'!B:B,1,0)</f>
        <v>CEBOLLA BLANCA</v>
      </c>
    </row>
    <row r="2227" spans="2:8" ht="15.5" hidden="1" x14ac:dyDescent="0.35">
      <c r="B2227" s="75" t="s">
        <v>69</v>
      </c>
      <c r="C2227" s="80" t="s">
        <v>56</v>
      </c>
      <c r="D2227" s="73" t="s">
        <v>539</v>
      </c>
      <c r="E2227" s="74">
        <v>0.1</v>
      </c>
      <c r="F2227" s="78" t="s">
        <v>237</v>
      </c>
      <c r="G2227" s="77" t="s">
        <v>525</v>
      </c>
      <c r="H2227" t="str">
        <f>VLOOKUP(D2227,'DETALLE PRECIO INGREDIENTES'!B:B,1,0)</f>
        <v>CERDO PULPA SIN HUESO</v>
      </c>
    </row>
    <row r="2228" spans="2:8" ht="15.5" hidden="1" x14ac:dyDescent="0.35">
      <c r="B2228" s="75" t="s">
        <v>69</v>
      </c>
      <c r="C2228" s="80" t="s">
        <v>56</v>
      </c>
      <c r="D2228" s="73" t="s">
        <v>549</v>
      </c>
      <c r="E2228" s="74">
        <v>2.7E-2</v>
      </c>
      <c r="F2228" s="78" t="s">
        <v>222</v>
      </c>
      <c r="G2228" s="77" t="s">
        <v>548</v>
      </c>
      <c r="H2228" t="str">
        <f>VLOOKUP(D2228,'DETALLE PRECIO INGREDIENTES'!B:B,1,0)</f>
        <v>CERVEZA CRISTAL</v>
      </c>
    </row>
    <row r="2229" spans="2:8" ht="15.5" hidden="1" x14ac:dyDescent="0.35">
      <c r="B2229" s="75" t="s">
        <v>69</v>
      </c>
      <c r="C2229" s="80" t="s">
        <v>56</v>
      </c>
      <c r="D2229" s="73" t="s">
        <v>651</v>
      </c>
      <c r="E2229" s="74">
        <v>0.04</v>
      </c>
      <c r="F2229" s="78" t="s">
        <v>237</v>
      </c>
      <c r="G2229" s="77" t="s">
        <v>621</v>
      </c>
      <c r="H2229" t="str">
        <f>VLOOKUP(D2229,'DETALLE PRECIO INGREDIENTES'!B:B,1,0)</f>
        <v>CHAMPIÑON PARIS</v>
      </c>
    </row>
    <row r="2230" spans="2:8" ht="15.5" hidden="1" x14ac:dyDescent="0.35">
      <c r="B2230" s="75" t="s">
        <v>69</v>
      </c>
      <c r="C2230" s="80" t="s">
        <v>56</v>
      </c>
      <c r="D2230" s="73" t="s">
        <v>656</v>
      </c>
      <c r="E2230" s="74">
        <v>0.1</v>
      </c>
      <c r="F2230" s="78" t="s">
        <v>259</v>
      </c>
      <c r="G2230" s="77" t="s">
        <v>621</v>
      </c>
      <c r="H2230" t="str">
        <f>VLOOKUP(D2230,'DETALLE PRECIO INGREDIENTES'!B:B,1,0)</f>
        <v>CIBOULETTE ATADO</v>
      </c>
    </row>
    <row r="2231" spans="2:8" ht="15.5" hidden="1" x14ac:dyDescent="0.35">
      <c r="B2231" s="75" t="s">
        <v>69</v>
      </c>
      <c r="C2231" s="80" t="s">
        <v>56</v>
      </c>
      <c r="D2231" s="73" t="s">
        <v>657</v>
      </c>
      <c r="E2231" s="74">
        <v>1.2E-2</v>
      </c>
      <c r="F2231" s="78" t="s">
        <v>237</v>
      </c>
      <c r="G2231" s="77" t="s">
        <v>621</v>
      </c>
      <c r="H2231" t="str">
        <f>VLOOKUP(D2231,'DETALLE PRECIO INGREDIENTES'!B:B,1,0)</f>
        <v>CILANTRO</v>
      </c>
    </row>
    <row r="2232" spans="2:8" ht="15.5" hidden="1" x14ac:dyDescent="0.35">
      <c r="B2232" s="75" t="s">
        <v>69</v>
      </c>
      <c r="C2232" s="80" t="s">
        <v>56</v>
      </c>
      <c r="D2232" s="73" t="s">
        <v>302</v>
      </c>
      <c r="E2232" s="74">
        <v>1E-3</v>
      </c>
      <c r="F2232" s="78" t="s">
        <v>237</v>
      </c>
      <c r="G2232" s="77" t="s">
        <v>220</v>
      </c>
      <c r="H2232" t="str">
        <f>VLOOKUP(D2232,'DETALLE PRECIO INGREDIENTES'!B:B,1,0)</f>
        <v>CLAVO DE OLOR ENTERO</v>
      </c>
    </row>
    <row r="2233" spans="2:8" ht="15.5" hidden="1" x14ac:dyDescent="0.35">
      <c r="B2233" s="75" t="s">
        <v>69</v>
      </c>
      <c r="C2233" s="80" t="s">
        <v>56</v>
      </c>
      <c r="D2233" s="73" t="s">
        <v>836</v>
      </c>
      <c r="E2233" s="74">
        <v>0.1</v>
      </c>
      <c r="F2233" s="78" t="s">
        <v>237</v>
      </c>
      <c r="G2233" s="77" t="s">
        <v>806</v>
      </c>
      <c r="H2233" t="str">
        <f>VLOOKUP(D2233,'DETALLE PRECIO INGREDIENTES'!B:B,1,0)</f>
        <v>REINETA ENTERA FRESCA</v>
      </c>
    </row>
    <row r="2234" spans="2:8" ht="15.5" hidden="1" x14ac:dyDescent="0.35">
      <c r="B2234" s="75" t="s">
        <v>69</v>
      </c>
      <c r="C2234" s="80" t="s">
        <v>56</v>
      </c>
      <c r="D2234" s="73" t="s">
        <v>739</v>
      </c>
      <c r="E2234" s="74">
        <v>0.2</v>
      </c>
      <c r="F2234" s="78" t="s">
        <v>222</v>
      </c>
      <c r="G2234" s="77" t="s">
        <v>736</v>
      </c>
      <c r="H2234" t="str">
        <f>VLOOKUP(D2234,'DETALLE PRECIO INGREDIENTES'!B:B,1,0)</f>
        <v>CREMA DE LECHE</v>
      </c>
    </row>
    <row r="2235" spans="2:8" ht="15.5" hidden="1" x14ac:dyDescent="0.35">
      <c r="B2235" s="75" t="s">
        <v>69</v>
      </c>
      <c r="C2235" s="80" t="s">
        <v>56</v>
      </c>
      <c r="D2235" s="73" t="s">
        <v>343</v>
      </c>
      <c r="E2235" s="74">
        <v>0.02</v>
      </c>
      <c r="F2235" s="78" t="s">
        <v>259</v>
      </c>
      <c r="G2235" s="77" t="s">
        <v>220</v>
      </c>
      <c r="H2235" t="str">
        <f>VLOOKUP(D2235,'DETALLE PRECIO INGREDIENTES'!B:B,1,0)</f>
        <v>GARBANZOS COCIDOS EN CONSERVA</v>
      </c>
    </row>
    <row r="2236" spans="2:8" ht="15.5" hidden="1" x14ac:dyDescent="0.35">
      <c r="B2236" s="75" t="s">
        <v>69</v>
      </c>
      <c r="C2236" s="80" t="s">
        <v>56</v>
      </c>
      <c r="D2236" s="73" t="s">
        <v>354</v>
      </c>
      <c r="E2236" s="74">
        <v>0.15</v>
      </c>
      <c r="F2236" s="78" t="s">
        <v>237</v>
      </c>
      <c r="G2236" s="77" t="s">
        <v>220</v>
      </c>
      <c r="H2236" t="str">
        <f>VLOOKUP(D2236,'DETALLE PRECIO INGREDIENTES'!B:B,1,0)</f>
        <v>HARINA BIZCOCHERA</v>
      </c>
    </row>
    <row r="2237" spans="2:8" ht="15.5" hidden="1" x14ac:dyDescent="0.35">
      <c r="B2237" s="75" t="s">
        <v>69</v>
      </c>
      <c r="C2237" s="80" t="s">
        <v>56</v>
      </c>
      <c r="D2237" s="73" t="s">
        <v>729</v>
      </c>
      <c r="E2237" s="74">
        <v>1.2</v>
      </c>
      <c r="F2237" s="78" t="s">
        <v>259</v>
      </c>
      <c r="G2237" s="77" t="s">
        <v>728</v>
      </c>
      <c r="H2237" t="str">
        <f>VLOOKUP(D2237,'DETALLE PRECIO INGREDIENTES'!B:B,1,0)</f>
        <v>HUEVO EXTRA BLANCO</v>
      </c>
    </row>
    <row r="2238" spans="2:8" ht="15.5" hidden="1" x14ac:dyDescent="0.35">
      <c r="B2238" s="75" t="s">
        <v>69</v>
      </c>
      <c r="C2238" s="80" t="s">
        <v>56</v>
      </c>
      <c r="D2238" s="73" t="s">
        <v>501</v>
      </c>
      <c r="E2238" s="74">
        <v>0.2</v>
      </c>
      <c r="F2238" s="78" t="s">
        <v>259</v>
      </c>
      <c r="G2238" s="77" t="s">
        <v>485</v>
      </c>
      <c r="H2238" t="str">
        <f>VLOOKUP(D2238,'DETALLE PRECIO INGREDIENTES'!B:B,1,0)</f>
        <v>LATA GEL DE METHANOL</v>
      </c>
    </row>
    <row r="2239" spans="2:8" ht="15.5" hidden="1" x14ac:dyDescent="0.35">
      <c r="B2239" s="75" t="s">
        <v>69</v>
      </c>
      <c r="C2239" s="80" t="s">
        <v>56</v>
      </c>
      <c r="D2239" s="73" t="s">
        <v>370</v>
      </c>
      <c r="E2239" s="74">
        <v>1E-3</v>
      </c>
      <c r="F2239" s="78" t="s">
        <v>237</v>
      </c>
      <c r="G2239" s="77" t="s">
        <v>220</v>
      </c>
      <c r="H2239" t="str">
        <f>VLOOKUP(D2239,'DETALLE PRECIO INGREDIENTES'!B:B,1,0)</f>
        <v>LAUREL</v>
      </c>
    </row>
    <row r="2240" spans="2:8" ht="15.5" hidden="1" x14ac:dyDescent="0.35">
      <c r="B2240" s="75" t="s">
        <v>69</v>
      </c>
      <c r="C2240" s="80" t="s">
        <v>56</v>
      </c>
      <c r="D2240" s="73" t="s">
        <v>748</v>
      </c>
      <c r="E2240" s="74">
        <v>0.15</v>
      </c>
      <c r="F2240" s="78" t="s">
        <v>222</v>
      </c>
      <c r="G2240" s="77" t="s">
        <v>736</v>
      </c>
      <c r="H2240" t="str">
        <f>VLOOKUP(D2240,'DETALLE PRECIO INGREDIENTES'!B:B,1,0)</f>
        <v>LECHE ENTERA</v>
      </c>
    </row>
    <row r="2241" spans="2:8" ht="15.5" hidden="1" x14ac:dyDescent="0.35">
      <c r="B2241" s="75" t="s">
        <v>69</v>
      </c>
      <c r="C2241" s="80" t="s">
        <v>56</v>
      </c>
      <c r="D2241" s="73" t="s">
        <v>678</v>
      </c>
      <c r="E2241" s="74">
        <v>0.2</v>
      </c>
      <c r="F2241" s="78" t="s">
        <v>259</v>
      </c>
      <c r="G2241" s="77" t="s">
        <v>621</v>
      </c>
      <c r="H2241" t="str">
        <f>VLOOKUP(D2241,'DETALLE PRECIO INGREDIENTES'!B:B,1,0)</f>
        <v>LECHUGA LOLLO GREEN</v>
      </c>
    </row>
    <row r="2242" spans="2:8" ht="15.5" hidden="1" x14ac:dyDescent="0.35">
      <c r="B2242" s="75" t="s">
        <v>69</v>
      </c>
      <c r="C2242" s="80" t="s">
        <v>56</v>
      </c>
      <c r="D2242" s="73" t="s">
        <v>679</v>
      </c>
      <c r="E2242" s="74">
        <v>0.2</v>
      </c>
      <c r="F2242" s="78" t="s">
        <v>259</v>
      </c>
      <c r="G2242" s="77" t="s">
        <v>621</v>
      </c>
      <c r="H2242" t="str">
        <f>VLOOKUP(D2242,'DETALLE PRECIO INGREDIENTES'!B:B,1,0)</f>
        <v>LECHUGA LOLLO ROSSA</v>
      </c>
    </row>
    <row r="2243" spans="2:8" ht="15.5" hidden="1" x14ac:dyDescent="0.35">
      <c r="B2243" s="75" t="s">
        <v>69</v>
      </c>
      <c r="C2243" s="80" t="s">
        <v>56</v>
      </c>
      <c r="D2243" s="73" t="s">
        <v>680</v>
      </c>
      <c r="E2243" s="74">
        <v>0.3</v>
      </c>
      <c r="F2243" s="78" t="s">
        <v>237</v>
      </c>
      <c r="G2243" s="77" t="s">
        <v>621</v>
      </c>
      <c r="H2243" t="str">
        <f>VLOOKUP(D2243,'DETALLE PRECIO INGREDIENTES'!B:B,1,0)</f>
        <v>LIMON DE JUGO</v>
      </c>
    </row>
    <row r="2244" spans="2:8" ht="15.5" hidden="1" x14ac:dyDescent="0.35">
      <c r="B2244" s="75" t="s">
        <v>69</v>
      </c>
      <c r="C2244" s="80" t="s">
        <v>56</v>
      </c>
      <c r="D2244" s="73" t="s">
        <v>827</v>
      </c>
      <c r="E2244" s="74">
        <v>0.08</v>
      </c>
      <c r="F2244" s="78" t="s">
        <v>237</v>
      </c>
      <c r="G2244" s="77" t="s">
        <v>806</v>
      </c>
      <c r="H2244" t="str">
        <f>VLOOKUP(D2244,'DETALLE PRECIO INGREDIENTES'!B:B,1,0)</f>
        <v>MACHAS FRESCAS</v>
      </c>
    </row>
    <row r="2245" spans="2:8" ht="15.5" hidden="1" x14ac:dyDescent="0.35">
      <c r="B2245" s="75" t="s">
        <v>69</v>
      </c>
      <c r="C2245" s="80" t="s">
        <v>56</v>
      </c>
      <c r="D2245" s="73" t="s">
        <v>381</v>
      </c>
      <c r="E2245" s="74">
        <v>0.02</v>
      </c>
      <c r="F2245" s="78" t="s">
        <v>237</v>
      </c>
      <c r="G2245" s="77" t="s">
        <v>220</v>
      </c>
      <c r="H2245" t="str">
        <f>VLOOKUP(D2245,'DETALLE PRECIO INGREDIENTES'!B:B,1,0)</f>
        <v>MANTECA VEGETAL</v>
      </c>
    </row>
    <row r="2246" spans="2:8" ht="15.5" hidden="1" x14ac:dyDescent="0.35">
      <c r="B2246" s="75" t="s">
        <v>69</v>
      </c>
      <c r="C2246" s="80" t="s">
        <v>56</v>
      </c>
      <c r="D2246" s="73" t="s">
        <v>750</v>
      </c>
      <c r="E2246" s="74">
        <v>0.06</v>
      </c>
      <c r="F2246" s="78" t="s">
        <v>237</v>
      </c>
      <c r="G2246" s="77" t="s">
        <v>736</v>
      </c>
      <c r="H2246" t="str">
        <f>VLOOKUP(D2246,'DETALLE PRECIO INGREDIENTES'!B:B,1,0)</f>
        <v>MANTEQUILLA CON SAL</v>
      </c>
    </row>
    <row r="2247" spans="2:8" ht="15.5" hidden="1" x14ac:dyDescent="0.35">
      <c r="B2247" s="75" t="s">
        <v>69</v>
      </c>
      <c r="C2247" s="80" t="s">
        <v>56</v>
      </c>
      <c r="D2247" s="73" t="s">
        <v>684</v>
      </c>
      <c r="E2247" s="74">
        <v>0.15</v>
      </c>
      <c r="F2247" s="78" t="s">
        <v>237</v>
      </c>
      <c r="G2247" s="77" t="s">
        <v>621</v>
      </c>
      <c r="H2247" t="str">
        <f>VLOOKUP(D2247,'DETALLE PRECIO INGREDIENTES'!B:B,1,0)</f>
        <v>MANZANA VERDE</v>
      </c>
    </row>
    <row r="2248" spans="2:8" ht="15.5" hidden="1" x14ac:dyDescent="0.35">
      <c r="B2248" s="75" t="s">
        <v>69</v>
      </c>
      <c r="C2248" s="80" t="s">
        <v>56</v>
      </c>
      <c r="D2248" s="73" t="s">
        <v>386</v>
      </c>
      <c r="E2248" s="74">
        <v>0.04</v>
      </c>
      <c r="F2248" s="78" t="s">
        <v>237</v>
      </c>
      <c r="G2248" s="77" t="s">
        <v>220</v>
      </c>
      <c r="H2248" t="str">
        <f>VLOOKUP(D2248,'DETALLE PRECIO INGREDIENTES'!B:B,1,0)</f>
        <v>MAYONESA HELLMANS DELI</v>
      </c>
    </row>
    <row r="2249" spans="2:8" ht="15.5" hidden="1" x14ac:dyDescent="0.35">
      <c r="B2249" s="75" t="s">
        <v>69</v>
      </c>
      <c r="C2249" s="80" t="s">
        <v>56</v>
      </c>
      <c r="D2249" s="73" t="s">
        <v>387</v>
      </c>
      <c r="E2249" s="74">
        <v>5.0000000000000001E-3</v>
      </c>
      <c r="F2249" s="78" t="s">
        <v>237</v>
      </c>
      <c r="G2249" s="77" t="s">
        <v>220</v>
      </c>
      <c r="H2249" t="str">
        <f>VLOOKUP(D2249,'DETALLE PRECIO INGREDIENTES'!B:B,1,0)</f>
        <v>MERKEN</v>
      </c>
    </row>
    <row r="2250" spans="2:8" ht="15.5" hidden="1" x14ac:dyDescent="0.35">
      <c r="B2250" s="75" t="s">
        <v>69</v>
      </c>
      <c r="C2250" s="80" t="s">
        <v>56</v>
      </c>
      <c r="D2250" s="73" t="s">
        <v>521</v>
      </c>
      <c r="E2250" s="74">
        <v>0.1</v>
      </c>
      <c r="F2250" s="78" t="s">
        <v>259</v>
      </c>
      <c r="G2250" s="77" t="s">
        <v>520</v>
      </c>
      <c r="H2250" t="str">
        <f>VLOOKUP(D2250,'DETALLE PRECIO INGREDIENTES'!B:B,1,0)</f>
        <v>MIX MICROGREENS</v>
      </c>
    </row>
    <row r="2251" spans="2:8" ht="15.5" hidden="1" x14ac:dyDescent="0.35">
      <c r="B2251" s="75" t="s">
        <v>69</v>
      </c>
      <c r="C2251" s="80" t="s">
        <v>56</v>
      </c>
      <c r="D2251" s="73" t="s">
        <v>690</v>
      </c>
      <c r="E2251" s="74">
        <v>0.2</v>
      </c>
      <c r="F2251" s="78" t="s">
        <v>237</v>
      </c>
      <c r="G2251" s="77" t="s">
        <v>621</v>
      </c>
      <c r="H2251" t="str">
        <f>VLOOKUP(D2251,'DETALLE PRECIO INGREDIENTES'!B:B,1,0)</f>
        <v>NARANJA DE JUGO</v>
      </c>
    </row>
    <row r="2252" spans="2:8" ht="15.5" hidden="1" x14ac:dyDescent="0.35">
      <c r="B2252" s="75" t="s">
        <v>69</v>
      </c>
      <c r="C2252" s="80" t="s">
        <v>56</v>
      </c>
      <c r="D2252" s="73" t="s">
        <v>831</v>
      </c>
      <c r="E2252" s="74">
        <v>1</v>
      </c>
      <c r="F2252" s="78" t="s">
        <v>259</v>
      </c>
      <c r="G2252" s="77" t="s">
        <v>806</v>
      </c>
      <c r="H2252" t="str">
        <f>VLOOKUP(D2252,'DETALLE PRECIO INGREDIENTES'!B:B,1,0)</f>
        <v>OSTION FRESCO CON CORAL</v>
      </c>
    </row>
    <row r="2253" spans="2:8" ht="15.5" hidden="1" x14ac:dyDescent="0.35">
      <c r="B2253" s="75" t="s">
        <v>69</v>
      </c>
      <c r="C2253" s="80" t="s">
        <v>56</v>
      </c>
      <c r="D2253" s="73" t="s">
        <v>410</v>
      </c>
      <c r="E2253" s="74">
        <v>0.02</v>
      </c>
      <c r="F2253" s="78" t="s">
        <v>237</v>
      </c>
      <c r="G2253" s="77" t="s">
        <v>220</v>
      </c>
      <c r="H2253" t="str">
        <f>VLOOKUP(D2253,'DETALLE PRECIO INGREDIENTES'!B:B,1,0)</f>
        <v>PANKO</v>
      </c>
    </row>
    <row r="2254" spans="2:8" ht="15.5" hidden="1" x14ac:dyDescent="0.35">
      <c r="B2254" s="75" t="s">
        <v>69</v>
      </c>
      <c r="C2254" s="80" t="s">
        <v>56</v>
      </c>
      <c r="D2254" s="73" t="s">
        <v>691</v>
      </c>
      <c r="E2254" s="74">
        <v>0.1</v>
      </c>
      <c r="F2254" s="78" t="s">
        <v>237</v>
      </c>
      <c r="G2254" s="77" t="s">
        <v>621</v>
      </c>
      <c r="H2254" t="str">
        <f>VLOOKUP(D2254,'DETALLE PRECIO INGREDIENTES'!B:B,1,0)</f>
        <v>PALTA HASS</v>
      </c>
    </row>
    <row r="2255" spans="2:8" ht="15.5" hidden="1" x14ac:dyDescent="0.35">
      <c r="B2255" s="75" t="s">
        <v>69</v>
      </c>
      <c r="C2255" s="80" t="s">
        <v>56</v>
      </c>
      <c r="D2255" s="73" t="s">
        <v>411</v>
      </c>
      <c r="E2255" s="74">
        <v>0.2</v>
      </c>
      <c r="F2255" s="78" t="s">
        <v>237</v>
      </c>
      <c r="G2255" s="77" t="s">
        <v>621</v>
      </c>
      <c r="H2255" t="str">
        <f>VLOOKUP(D2255,'DETALLE PRECIO INGREDIENTES'!B:B,1,0)</f>
        <v>PAPAS</v>
      </c>
    </row>
    <row r="2256" spans="2:8" ht="15.5" hidden="1" x14ac:dyDescent="0.35">
      <c r="B2256" s="75" t="s">
        <v>69</v>
      </c>
      <c r="C2256" s="80" t="s">
        <v>56</v>
      </c>
      <c r="D2256" s="73" t="s">
        <v>588</v>
      </c>
      <c r="E2256" s="74">
        <v>0.1</v>
      </c>
      <c r="F2256" s="78" t="s">
        <v>237</v>
      </c>
      <c r="G2256" s="77" t="s">
        <v>587</v>
      </c>
      <c r="H2256" t="str">
        <f>VLOOKUP(D2256,'DETALLE PRECIO INGREDIENTES'!B:B,1,0)</f>
        <v>PASTA DE CHOCLO</v>
      </c>
    </row>
    <row r="2257" spans="2:8" ht="15.5" hidden="1" x14ac:dyDescent="0.35">
      <c r="B2257" s="75" t="s">
        <v>69</v>
      </c>
      <c r="C2257" s="80" t="s">
        <v>56</v>
      </c>
      <c r="D2257" s="73" t="s">
        <v>698</v>
      </c>
      <c r="E2257" s="74">
        <v>0.01</v>
      </c>
      <c r="F2257" s="78" t="s">
        <v>237</v>
      </c>
      <c r="G2257" s="77" t="s">
        <v>621</v>
      </c>
      <c r="H2257" t="str">
        <f>VLOOKUP(D2257,'DETALLE PRECIO INGREDIENTES'!B:B,1,0)</f>
        <v>PEREJIL</v>
      </c>
    </row>
    <row r="2258" spans="2:8" ht="15.5" hidden="1" x14ac:dyDescent="0.35">
      <c r="B2258" s="75" t="s">
        <v>69</v>
      </c>
      <c r="C2258" s="80" t="s">
        <v>56</v>
      </c>
      <c r="D2258" s="73" t="s">
        <v>702</v>
      </c>
      <c r="E2258" s="74">
        <v>0.3</v>
      </c>
      <c r="F2258" s="78" t="s">
        <v>259</v>
      </c>
      <c r="G2258" s="77" t="s">
        <v>621</v>
      </c>
      <c r="H2258" t="str">
        <f>VLOOKUP(D2258,'DETALLE PRECIO INGREDIENTES'!B:B,1,0)</f>
        <v>PIMIENTO ROJO</v>
      </c>
    </row>
    <row r="2259" spans="2:8" ht="15.5" hidden="1" x14ac:dyDescent="0.35">
      <c r="B2259" s="75" t="s">
        <v>69</v>
      </c>
      <c r="C2259" s="80" t="s">
        <v>56</v>
      </c>
      <c r="D2259" s="73" t="s">
        <v>703</v>
      </c>
      <c r="E2259" s="74">
        <v>0.3</v>
      </c>
      <c r="F2259" s="78" t="s">
        <v>259</v>
      </c>
      <c r="G2259" s="77" t="s">
        <v>621</v>
      </c>
      <c r="H2259" t="str">
        <f>VLOOKUP(D2259,'DETALLE PRECIO INGREDIENTES'!B:B,1,0)</f>
        <v>PIMIENTO VERDE</v>
      </c>
    </row>
    <row r="2260" spans="2:8" ht="15.5" hidden="1" x14ac:dyDescent="0.35">
      <c r="B2260" s="75" t="s">
        <v>69</v>
      </c>
      <c r="C2260" s="80" t="s">
        <v>56</v>
      </c>
      <c r="D2260" s="73" t="s">
        <v>592</v>
      </c>
      <c r="E2260" s="74">
        <v>0.06</v>
      </c>
      <c r="F2260" s="78" t="s">
        <v>237</v>
      </c>
      <c r="G2260" s="77" t="s">
        <v>587</v>
      </c>
      <c r="H2260" t="str">
        <f>VLOOKUP(D2260,'DETALLE PRECIO INGREDIENTES'!B:B,1,0)</f>
        <v>PULPA DE FRAMBUESA</v>
      </c>
    </row>
    <row r="2261" spans="2:8" ht="15.5" hidden="1" x14ac:dyDescent="0.35">
      <c r="B2261" s="75" t="s">
        <v>69</v>
      </c>
      <c r="C2261" s="80" t="s">
        <v>56</v>
      </c>
      <c r="D2261" s="73" t="s">
        <v>599</v>
      </c>
      <c r="E2261" s="74">
        <v>0.06</v>
      </c>
      <c r="F2261" s="78" t="s">
        <v>237</v>
      </c>
      <c r="G2261" s="77" t="s">
        <v>587</v>
      </c>
      <c r="H2261" t="str">
        <f>VLOOKUP(D2261,'DETALLE PRECIO INGREDIENTES'!B:B,1,0)</f>
        <v>PULPA DE MARACUYA SIN SEMILLA</v>
      </c>
    </row>
    <row r="2262" spans="2:8" ht="15.5" hidden="1" x14ac:dyDescent="0.35">
      <c r="B2262" s="75" t="s">
        <v>69</v>
      </c>
      <c r="C2262" s="80" t="s">
        <v>56</v>
      </c>
      <c r="D2262" s="73" t="s">
        <v>970</v>
      </c>
      <c r="E2262" s="74">
        <v>0.02</v>
      </c>
      <c r="F2262" s="78" t="s">
        <v>237</v>
      </c>
      <c r="G2262" s="77" t="s">
        <v>736</v>
      </c>
      <c r="H2262" t="str">
        <f>VLOOKUP(D2262,'DETALLE PRECIO INGREDIENTES'!B:B,1,0)</f>
        <v>queso fresco</v>
      </c>
    </row>
    <row r="2263" spans="2:8" ht="15.5" hidden="1" x14ac:dyDescent="0.35">
      <c r="B2263" s="75" t="s">
        <v>69</v>
      </c>
      <c r="C2263" s="80" t="s">
        <v>56</v>
      </c>
      <c r="D2263" s="73" t="s">
        <v>766</v>
      </c>
      <c r="E2263" s="74">
        <v>0.02</v>
      </c>
      <c r="F2263" s="78" t="s">
        <v>237</v>
      </c>
      <c r="G2263" s="77" t="s">
        <v>736</v>
      </c>
      <c r="H2263" t="str">
        <f>VLOOKUP(D2263,'DETALLE PRECIO INGREDIENTES'!B:B,1,0)</f>
        <v>QUESO MANTECOSO PIEZA</v>
      </c>
    </row>
    <row r="2264" spans="2:8" ht="15.5" hidden="1" x14ac:dyDescent="0.35">
      <c r="B2264" s="75" t="s">
        <v>69</v>
      </c>
      <c r="C2264" s="80" t="s">
        <v>56</v>
      </c>
      <c r="D2264" s="73" t="s">
        <v>769</v>
      </c>
      <c r="E2264" s="74">
        <v>0.02</v>
      </c>
      <c r="F2264" s="78" t="s">
        <v>237</v>
      </c>
      <c r="G2264" s="77" t="s">
        <v>736</v>
      </c>
      <c r="H2264" t="str">
        <f>VLOOKUP(D2264,'DETALLE PRECIO INGREDIENTES'!B:B,1,0)</f>
        <v>QUESO PARMESANO</v>
      </c>
    </row>
    <row r="2265" spans="2:8" ht="15.5" hidden="1" x14ac:dyDescent="0.35">
      <c r="B2265" s="75" t="s">
        <v>69</v>
      </c>
      <c r="C2265" s="80" t="s">
        <v>56</v>
      </c>
      <c r="D2265" s="73" t="s">
        <v>759</v>
      </c>
      <c r="E2265" s="74">
        <v>0.02</v>
      </c>
      <c r="F2265" s="78" t="s">
        <v>237</v>
      </c>
      <c r="G2265" s="77" t="s">
        <v>736</v>
      </c>
      <c r="H2265" t="str">
        <f>VLOOKUP(D2265,'DETALLE PRECIO INGREDIENTES'!B:B,1,0)</f>
        <v>QUESO CREMA</v>
      </c>
    </row>
    <row r="2266" spans="2:8" ht="15.5" hidden="1" x14ac:dyDescent="0.35">
      <c r="B2266" s="75" t="s">
        <v>69</v>
      </c>
      <c r="C2266" s="80" t="s">
        <v>56</v>
      </c>
      <c r="D2266" s="73" t="s">
        <v>851</v>
      </c>
      <c r="E2266" s="74">
        <v>8.0000000000000002E-3</v>
      </c>
      <c r="F2266" s="78" t="s">
        <v>237</v>
      </c>
      <c r="G2266" s="77" t="s">
        <v>847</v>
      </c>
      <c r="H2266" t="str">
        <f>VLOOKUP(D2266,'DETALLE PRECIO INGREDIENTES'!B:B,1,0)</f>
        <v>TE NEGRO EN HOJA</v>
      </c>
    </row>
    <row r="2267" spans="2:8" ht="15.5" hidden="1" x14ac:dyDescent="0.35">
      <c r="B2267" s="75" t="s">
        <v>69</v>
      </c>
      <c r="C2267" s="80" t="s">
        <v>56</v>
      </c>
      <c r="D2267" s="73" t="s">
        <v>715</v>
      </c>
      <c r="E2267" s="74">
        <v>0.03</v>
      </c>
      <c r="F2267" s="78" t="s">
        <v>237</v>
      </c>
      <c r="G2267" s="77" t="s">
        <v>621</v>
      </c>
      <c r="H2267" t="str">
        <f>VLOOKUP(D2267,'DETALLE PRECIO INGREDIENTES'!B:B,1,0)</f>
        <v>TOMATE CHERRY</v>
      </c>
    </row>
    <row r="2268" spans="2:8" ht="15.5" hidden="1" x14ac:dyDescent="0.35">
      <c r="B2268" s="75" t="s">
        <v>69</v>
      </c>
      <c r="C2268" s="80" t="s">
        <v>56</v>
      </c>
      <c r="D2268" s="73" t="s">
        <v>716</v>
      </c>
      <c r="E2268" s="74">
        <v>0.16</v>
      </c>
      <c r="F2268" s="78" t="s">
        <v>237</v>
      </c>
      <c r="G2268" s="77" t="s">
        <v>621</v>
      </c>
      <c r="H2268" t="str">
        <f>VLOOKUP(D2268,'DETALLE PRECIO INGREDIENTES'!B:B,1,0)</f>
        <v>TOMATE LARGA VIDA</v>
      </c>
    </row>
    <row r="2269" spans="2:8" ht="15.5" hidden="1" x14ac:dyDescent="0.35">
      <c r="B2269" s="75" t="s">
        <v>69</v>
      </c>
      <c r="C2269" s="80" t="s">
        <v>56</v>
      </c>
      <c r="D2269" s="73" t="s">
        <v>866</v>
      </c>
      <c r="E2269" s="74">
        <v>0.12</v>
      </c>
      <c r="F2269" s="78" t="s">
        <v>237</v>
      </c>
      <c r="G2269" s="77" t="s">
        <v>852</v>
      </c>
      <c r="H2269" t="str">
        <f>VLOOKUP(D2269,'DETALLE PRECIO INGREDIENTES'!B:B,1,0)</f>
        <v>VACUNO LOMO LISO</v>
      </c>
    </row>
    <row r="2270" spans="2:8" ht="15.5" hidden="1" x14ac:dyDescent="0.35">
      <c r="B2270" s="75" t="s">
        <v>69</v>
      </c>
      <c r="C2270" s="80" t="s">
        <v>56</v>
      </c>
      <c r="D2270" s="73" t="s">
        <v>843</v>
      </c>
      <c r="E2270" s="74">
        <v>0.1</v>
      </c>
      <c r="F2270" s="78" t="s">
        <v>237</v>
      </c>
      <c r="G2270" s="77" t="s">
        <v>839</v>
      </c>
      <c r="H2270" t="str">
        <f>VLOOKUP(D2270,'DETALLE PRECIO INGREDIENTES'!B:B,1,0)</f>
        <v>POLLO PECHUGA S/HUESO</v>
      </c>
    </row>
    <row r="2271" spans="2:8" ht="15.5" hidden="1" x14ac:dyDescent="0.35">
      <c r="B2271" s="75" t="s">
        <v>69</v>
      </c>
      <c r="C2271" s="80" t="s">
        <v>56</v>
      </c>
      <c r="D2271" s="73" t="s">
        <v>472</v>
      </c>
      <c r="E2271" s="74">
        <v>0.03</v>
      </c>
      <c r="F2271" s="78" t="s">
        <v>222</v>
      </c>
      <c r="G2271" s="77" t="s">
        <v>220</v>
      </c>
      <c r="H2271" t="str">
        <f>VLOOKUP(D2271,'DETALLE PRECIO INGREDIENTES'!B:B,1,0)</f>
        <v>VINAGRE BLANCO</v>
      </c>
    </row>
    <row r="2272" spans="2:8" ht="15.5" hidden="1" x14ac:dyDescent="0.35">
      <c r="B2272" s="75" t="s">
        <v>69</v>
      </c>
      <c r="C2272" s="80" t="s">
        <v>56</v>
      </c>
      <c r="D2272" s="73" t="s">
        <v>878</v>
      </c>
      <c r="E2272" s="74">
        <v>0.06</v>
      </c>
      <c r="F2272" s="78" t="s">
        <v>222</v>
      </c>
      <c r="G2272" s="77" t="s">
        <v>876</v>
      </c>
      <c r="H2272" t="str">
        <f>VLOOKUP(D2272,'DETALLE PRECIO INGREDIENTES'!B:B,1,0)</f>
        <v>VINO BLANCO TETRA PACK</v>
      </c>
    </row>
    <row r="2273" spans="2:8" ht="15.5" hidden="1" x14ac:dyDescent="0.35">
      <c r="B2273" s="75" t="s">
        <v>69</v>
      </c>
      <c r="C2273" s="80" t="s">
        <v>56</v>
      </c>
      <c r="D2273" s="73" t="s">
        <v>882</v>
      </c>
      <c r="E2273" s="74">
        <v>0.125</v>
      </c>
      <c r="F2273" s="78" t="s">
        <v>222</v>
      </c>
      <c r="G2273" s="77" t="s">
        <v>876</v>
      </c>
      <c r="H2273" t="str">
        <f>VLOOKUP(D2273,'DETALLE PRECIO INGREDIENTES'!B:B,1,0)</f>
        <v>VINO TINTO TETRA</v>
      </c>
    </row>
    <row r="2274" spans="2:8" ht="15.5" hidden="1" x14ac:dyDescent="0.35">
      <c r="B2274" s="75" t="s">
        <v>69</v>
      </c>
      <c r="C2274" s="80" t="s">
        <v>56</v>
      </c>
      <c r="D2274" s="73" t="s">
        <v>880</v>
      </c>
      <c r="E2274" s="74">
        <v>6.2E-2</v>
      </c>
      <c r="F2274" s="78" t="s">
        <v>259</v>
      </c>
      <c r="G2274" s="77" t="s">
        <v>876</v>
      </c>
      <c r="H2274" t="str">
        <f>VLOOKUP(D2274,'DETALLE PRECIO INGREDIENTES'!B:B,1,0)</f>
        <v>VINO CONO SUR CARMENERE</v>
      </c>
    </row>
    <row r="2275" spans="2:8" ht="15.5" hidden="1" x14ac:dyDescent="0.35">
      <c r="B2275" s="75" t="s">
        <v>69</v>
      </c>
      <c r="C2275" s="80" t="s">
        <v>56</v>
      </c>
      <c r="D2275" s="73" t="s">
        <v>881</v>
      </c>
      <c r="E2275" s="74">
        <v>6.2E-2</v>
      </c>
      <c r="F2275" s="78" t="s">
        <v>259</v>
      </c>
      <c r="G2275" s="77" t="s">
        <v>876</v>
      </c>
      <c r="H2275" t="str">
        <f>VLOOKUP(D2275,'DETALLE PRECIO INGREDIENTES'!B:B,1,0)</f>
        <v>VINO CONO SUR CHARDONNAY BICICLETA</v>
      </c>
    </row>
    <row r="2276" spans="2:8" ht="15.5" hidden="1" x14ac:dyDescent="0.35">
      <c r="B2276" s="75" t="s">
        <v>69</v>
      </c>
      <c r="C2276" s="80" t="s">
        <v>56</v>
      </c>
      <c r="D2276" s="73" t="s">
        <v>720</v>
      </c>
      <c r="E2276" s="74">
        <v>0.06</v>
      </c>
      <c r="F2276" s="78" t="s">
        <v>237</v>
      </c>
      <c r="G2276" s="77" t="s">
        <v>621</v>
      </c>
      <c r="H2276" t="str">
        <f>VLOOKUP(D2276,'DETALLE PRECIO INGREDIENTES'!B:B,1,0)</f>
        <v>ZANAHORIA</v>
      </c>
    </row>
    <row r="2277" spans="2:8" ht="15.5" hidden="1" x14ac:dyDescent="0.35">
      <c r="B2277" s="75" t="s">
        <v>69</v>
      </c>
      <c r="C2277" s="80" t="s">
        <v>56</v>
      </c>
      <c r="D2277" s="73" t="s">
        <v>722</v>
      </c>
      <c r="E2277" s="74">
        <v>0.06</v>
      </c>
      <c r="F2277" s="78" t="s">
        <v>237</v>
      </c>
      <c r="G2277" s="77" t="s">
        <v>621</v>
      </c>
      <c r="H2277" t="str">
        <f>VLOOKUP(D2277,'DETALLE PRECIO INGREDIENTES'!B:B,1,0)</f>
        <v>ZAPALLO CAMOTE</v>
      </c>
    </row>
    <row r="2278" spans="2:8" ht="15.5" hidden="1" x14ac:dyDescent="0.35">
      <c r="B2278" s="75" t="s">
        <v>69</v>
      </c>
      <c r="C2278" s="80" t="s">
        <v>56</v>
      </c>
      <c r="D2278" s="73" t="s">
        <v>515</v>
      </c>
      <c r="E2278" s="74">
        <v>0.05</v>
      </c>
      <c r="F2278" s="78" t="s">
        <v>259</v>
      </c>
      <c r="G2278" s="77" t="s">
        <v>485</v>
      </c>
      <c r="H2278" t="str">
        <f>VLOOKUP(D2278,'DETALLE PRECIO INGREDIENTES'!B:B,1,0)</f>
        <v>SERVILLETAS GOFRADAS 50 UND</v>
      </c>
    </row>
    <row r="2279" spans="2:8" ht="15.5" hidden="1" x14ac:dyDescent="0.35">
      <c r="B2279" s="75" t="s">
        <v>69</v>
      </c>
      <c r="C2279" s="80" t="s">
        <v>56</v>
      </c>
      <c r="D2279" s="73" t="s">
        <v>849</v>
      </c>
      <c r="E2279" s="74">
        <v>0.9</v>
      </c>
      <c r="F2279" s="78" t="s">
        <v>259</v>
      </c>
      <c r="G2279" s="77" t="s">
        <v>847</v>
      </c>
      <c r="H2279" t="str">
        <f>VLOOKUP(D2279,'DETALLE PRECIO INGREDIENTES'!B:B,1,0)</f>
        <v>TE LIPTON BOLSA</v>
      </c>
    </row>
    <row r="2280" spans="2:8" hidden="1" x14ac:dyDescent="0.35">
      <c r="B2280" s="80" t="s">
        <v>69</v>
      </c>
      <c r="C2280" s="80" t="s">
        <v>56</v>
      </c>
      <c r="D2280" s="73" t="s">
        <v>685</v>
      </c>
      <c r="E2280" s="74">
        <v>0.01</v>
      </c>
      <c r="F2280" s="78" t="s">
        <v>237</v>
      </c>
      <c r="G2280" s="77" t="s">
        <v>621</v>
      </c>
      <c r="H2280" t="str">
        <f>VLOOKUP(D2280,'DETALLE PRECIO INGREDIENTES'!B:B,1,0)</f>
        <v>MENTA</v>
      </c>
    </row>
    <row r="2281" spans="2:8" hidden="1" x14ac:dyDescent="0.35">
      <c r="B2281" s="80" t="s">
        <v>44</v>
      </c>
      <c r="C2281" s="80" t="s">
        <v>902</v>
      </c>
      <c r="D2281" s="73" t="s">
        <v>889</v>
      </c>
      <c r="E2281" s="74">
        <v>3.7500000000000001E-4</v>
      </c>
      <c r="F2281" s="78" t="e">
        <v>#N/A</v>
      </c>
      <c r="G2281" s="77" t="e">
        <v>#N/A</v>
      </c>
      <c r="H2281" t="str">
        <f>VLOOKUP(D2281,'DETALLE PRECIO INGREDIENTES'!B:B,1,0)</f>
        <v xml:space="preserve">CUAJO </v>
      </c>
    </row>
    <row r="2282" spans="2:8" hidden="1" x14ac:dyDescent="0.35">
      <c r="B2282" s="80" t="s">
        <v>44</v>
      </c>
      <c r="C2282" s="80" t="s">
        <v>902</v>
      </c>
      <c r="D2282" s="73" t="s">
        <v>443</v>
      </c>
      <c r="E2282" s="74">
        <v>5.8749999999999991E-3</v>
      </c>
      <c r="F2282" s="78" t="s">
        <v>237</v>
      </c>
      <c r="G2282" s="77" t="s">
        <v>220</v>
      </c>
      <c r="H2282" t="str">
        <f>VLOOKUP(D2282,'DETALLE PRECIO INGREDIENTES'!B:B,1,0)</f>
        <v>SAL DE MAR FINA</v>
      </c>
    </row>
    <row r="2283" spans="2:8" hidden="1" x14ac:dyDescent="0.35">
      <c r="B2283" s="80" t="s">
        <v>44</v>
      </c>
      <c r="C2283" s="80" t="s">
        <v>902</v>
      </c>
      <c r="D2283" s="73" t="s">
        <v>618</v>
      </c>
      <c r="E2283" s="74">
        <v>8.7499999999999999E-5</v>
      </c>
      <c r="F2283" s="78" t="s">
        <v>259</v>
      </c>
      <c r="G2283" s="77" t="s">
        <v>617</v>
      </c>
      <c r="H2283" t="str">
        <f>VLOOKUP(D2283,'DETALLE PRECIO INGREDIENTES'!B:B,1,0)</f>
        <v>PENICILLIUM CANDIUM 10 DOSIS</v>
      </c>
    </row>
    <row r="2284" spans="2:8" hidden="1" x14ac:dyDescent="0.35">
      <c r="B2284" s="80" t="s">
        <v>44</v>
      </c>
      <c r="C2284" s="80" t="s">
        <v>902</v>
      </c>
      <c r="D2284" s="73" t="s">
        <v>620</v>
      </c>
      <c r="E2284" s="74">
        <v>7.5000000000000007E-5</v>
      </c>
      <c r="F2284" s="78" t="s">
        <v>259</v>
      </c>
      <c r="G2284" s="77" t="s">
        <v>617</v>
      </c>
      <c r="H2284" t="str">
        <f>VLOOKUP(D2284,'DETALLE PRECIO INGREDIENTES'!B:B,1,0)</f>
        <v>PENICILLIUM ROQUEFORTI 50 ML</v>
      </c>
    </row>
    <row r="2285" spans="2:8" hidden="1" x14ac:dyDescent="0.35">
      <c r="B2285" s="80" t="s">
        <v>44</v>
      </c>
      <c r="C2285" s="80" t="s">
        <v>902</v>
      </c>
      <c r="D2285" s="73" t="s">
        <v>403</v>
      </c>
      <c r="E2285" s="74">
        <v>1.25E-3</v>
      </c>
      <c r="F2285" s="78" t="s">
        <v>237</v>
      </c>
      <c r="G2285" s="77" t="s">
        <v>220</v>
      </c>
      <c r="H2285" t="str">
        <f>VLOOKUP(D2285,'DETALLE PRECIO INGREDIENTES'!B:B,1,0)</f>
        <v>NUEZ MARIPOSA</v>
      </c>
    </row>
    <row r="2286" spans="2:8" hidden="1" x14ac:dyDescent="0.35">
      <c r="B2286" s="80" t="s">
        <v>44</v>
      </c>
      <c r="C2286" s="80" t="s">
        <v>902</v>
      </c>
      <c r="D2286" s="73" t="s">
        <v>698</v>
      </c>
      <c r="E2286" s="74">
        <v>1.8749999999999999E-3</v>
      </c>
      <c r="F2286" s="78" t="s">
        <v>237</v>
      </c>
      <c r="G2286" s="77" t="s">
        <v>621</v>
      </c>
      <c r="H2286" t="str">
        <f>VLOOKUP(D2286,'DETALLE PRECIO INGREDIENTES'!B:B,1,0)</f>
        <v>PEREJIL</v>
      </c>
    </row>
    <row r="2287" spans="2:8" hidden="1" x14ac:dyDescent="0.35">
      <c r="B2287" s="80" t="s">
        <v>44</v>
      </c>
      <c r="C2287" s="80" t="s">
        <v>902</v>
      </c>
      <c r="D2287" s="73" t="s">
        <v>411</v>
      </c>
      <c r="E2287" s="74">
        <v>6.25E-2</v>
      </c>
      <c r="F2287" s="78" t="s">
        <v>237</v>
      </c>
      <c r="G2287" s="77" t="s">
        <v>621</v>
      </c>
      <c r="H2287" t="str">
        <f>VLOOKUP(D2287,'DETALLE PRECIO INGREDIENTES'!B:B,1,0)</f>
        <v>PAPAS</v>
      </c>
    </row>
    <row r="2288" spans="2:8" hidden="1" x14ac:dyDescent="0.35">
      <c r="B2288" s="80" t="s">
        <v>44</v>
      </c>
      <c r="C2288" s="80" t="s">
        <v>902</v>
      </c>
      <c r="D2288" s="73" t="s">
        <v>721</v>
      </c>
      <c r="E2288" s="74">
        <v>6.25E-2</v>
      </c>
      <c r="F2288" s="78" t="s">
        <v>259</v>
      </c>
      <c r="G2288" s="77" t="s">
        <v>621</v>
      </c>
      <c r="H2288" t="str">
        <f>VLOOKUP(D2288,'DETALLE PRECIO INGREDIENTES'!B:B,1,0)</f>
        <v>ZAPALLO BUTTERNUT</v>
      </c>
    </row>
    <row r="2289" spans="2:8" hidden="1" x14ac:dyDescent="0.35">
      <c r="B2289" s="80" t="s">
        <v>44</v>
      </c>
      <c r="C2289" s="80" t="s">
        <v>902</v>
      </c>
      <c r="D2289" s="73" t="s">
        <v>690</v>
      </c>
      <c r="E2289" s="74">
        <v>0.05</v>
      </c>
      <c r="F2289" s="78" t="s">
        <v>237</v>
      </c>
      <c r="G2289" s="77" t="s">
        <v>621</v>
      </c>
      <c r="H2289" t="str">
        <f>VLOOKUP(D2289,'DETALLE PRECIO INGREDIENTES'!B:B,1,0)</f>
        <v>NARANJA DE JUGO</v>
      </c>
    </row>
    <row r="2290" spans="2:8" hidden="1" x14ac:dyDescent="0.35">
      <c r="B2290" s="80" t="s">
        <v>44</v>
      </c>
      <c r="C2290" s="80" t="s">
        <v>902</v>
      </c>
      <c r="D2290" s="73" t="s">
        <v>680</v>
      </c>
      <c r="E2290" s="74">
        <v>0.05</v>
      </c>
      <c r="F2290" s="78" t="s">
        <v>237</v>
      </c>
      <c r="G2290" s="77" t="s">
        <v>621</v>
      </c>
      <c r="H2290" t="str">
        <f>VLOOKUP(D2290,'DETALLE PRECIO INGREDIENTES'!B:B,1,0)</f>
        <v>LIMON DE JUGO</v>
      </c>
    </row>
    <row r="2291" spans="2:8" x14ac:dyDescent="0.35">
      <c r="B2291" s="80" t="s">
        <v>44</v>
      </c>
      <c r="C2291" s="80" t="s">
        <v>902</v>
      </c>
      <c r="D2291" s="73" t="s">
        <v>977</v>
      </c>
      <c r="E2291" s="74">
        <v>1.375</v>
      </c>
      <c r="F2291" s="78" t="e">
        <v>#N/A</v>
      </c>
      <c r="G2291" s="77" t="e">
        <v>#N/A</v>
      </c>
      <c r="H2291" t="e">
        <f>VLOOKUP(D2291,'DETALLE PRECIO INGREDIENTES'!B:B,1,0)</f>
        <v>#N/A</v>
      </c>
    </row>
    <row r="2292" spans="2:8" hidden="1" x14ac:dyDescent="0.35">
      <c r="B2292" s="80" t="s">
        <v>44</v>
      </c>
      <c r="C2292" s="80" t="s">
        <v>41</v>
      </c>
      <c r="D2292" s="73" t="s">
        <v>680</v>
      </c>
      <c r="E2292" s="74">
        <v>0.05</v>
      </c>
      <c r="F2292" s="78" t="s">
        <v>237</v>
      </c>
      <c r="G2292" s="77" t="s">
        <v>621</v>
      </c>
      <c r="H2292" t="str">
        <f>VLOOKUP(D2292,'DETALLE PRECIO INGREDIENTES'!B:B,1,0)</f>
        <v>LIMON DE JUGO</v>
      </c>
    </row>
    <row r="2293" spans="2:8" hidden="1" x14ac:dyDescent="0.35">
      <c r="B2293" s="80" t="s">
        <v>44</v>
      </c>
      <c r="C2293" s="80" t="s">
        <v>41</v>
      </c>
      <c r="D2293" s="73" t="s">
        <v>443</v>
      </c>
      <c r="E2293" s="74">
        <v>7.9875000000000002E-2</v>
      </c>
      <c r="F2293" s="78" t="s">
        <v>237</v>
      </c>
      <c r="G2293" s="77" t="s">
        <v>220</v>
      </c>
      <c r="H2293" t="str">
        <f>VLOOKUP(D2293,'DETALLE PRECIO INGREDIENTES'!B:B,1,0)</f>
        <v>SAL DE MAR FINA</v>
      </c>
    </row>
    <row r="2294" spans="2:8" hidden="1" x14ac:dyDescent="0.35">
      <c r="B2294" s="80" t="s">
        <v>44</v>
      </c>
      <c r="C2294" s="80" t="s">
        <v>41</v>
      </c>
      <c r="D2294" s="73" t="s">
        <v>491</v>
      </c>
      <c r="E2294" s="74">
        <v>0.375</v>
      </c>
      <c r="F2294" s="78" t="s">
        <v>259</v>
      </c>
      <c r="G2294" s="77" t="s">
        <v>485</v>
      </c>
      <c r="H2294" t="str">
        <f>VLOOKUP(D2294,'DETALLE PRECIO INGREDIENTES'!B:B,1,0)</f>
        <v>BOLSA PARA SELLADO AL VACIO 30X40 CM</v>
      </c>
    </row>
    <row r="2295" spans="2:8" hidden="1" x14ac:dyDescent="0.35">
      <c r="B2295" s="80" t="s">
        <v>44</v>
      </c>
      <c r="C2295" s="80" t="s">
        <v>41</v>
      </c>
      <c r="D2295" s="73" t="s">
        <v>690</v>
      </c>
      <c r="E2295" s="74">
        <v>5.0937500000000004E-2</v>
      </c>
      <c r="F2295" s="78" t="s">
        <v>237</v>
      </c>
      <c r="G2295" s="77" t="s">
        <v>621</v>
      </c>
      <c r="H2295" t="str">
        <f>VLOOKUP(D2295,'DETALLE PRECIO INGREDIENTES'!B:B,1,0)</f>
        <v>NARANJA DE JUGO</v>
      </c>
    </row>
    <row r="2296" spans="2:8" hidden="1" x14ac:dyDescent="0.35">
      <c r="B2296" s="80" t="s">
        <v>44</v>
      </c>
      <c r="C2296" s="80" t="s">
        <v>41</v>
      </c>
      <c r="D2296" s="73" t="s">
        <v>627</v>
      </c>
      <c r="E2296" s="74">
        <v>9.375E-2</v>
      </c>
      <c r="F2296" s="78" t="s">
        <v>237</v>
      </c>
      <c r="G2296" s="77" t="s">
        <v>621</v>
      </c>
      <c r="H2296" t="str">
        <f>VLOOKUP(D2296,'DETALLE PRECIO INGREDIENTES'!B:B,1,0)</f>
        <v>AJI VERDE</v>
      </c>
    </row>
    <row r="2297" spans="2:8" hidden="1" x14ac:dyDescent="0.35">
      <c r="B2297" s="80" t="s">
        <v>44</v>
      </c>
      <c r="C2297" s="80" t="s">
        <v>41</v>
      </c>
      <c r="D2297" s="73" t="s">
        <v>500</v>
      </c>
      <c r="E2297" s="74">
        <v>1</v>
      </c>
      <c r="F2297" s="78" t="s">
        <v>259</v>
      </c>
      <c r="G2297" s="77" t="s">
        <v>485</v>
      </c>
      <c r="H2297" t="str">
        <f>VLOOKUP(D2297,'DETALLE PRECIO INGREDIENTES'!B:B,1,0)</f>
        <v>FRASCO DE 1 LITRO CON TAPA</v>
      </c>
    </row>
    <row r="2298" spans="2:8" hidden="1" x14ac:dyDescent="0.35">
      <c r="B2298" s="80" t="s">
        <v>44</v>
      </c>
      <c r="C2298" s="80" t="s">
        <v>41</v>
      </c>
      <c r="D2298" s="73" t="s">
        <v>658</v>
      </c>
      <c r="E2298" s="74">
        <v>0.17499999999999999</v>
      </c>
      <c r="F2298" s="78" t="s">
        <v>259</v>
      </c>
      <c r="G2298" s="77" t="s">
        <v>621</v>
      </c>
      <c r="H2298" t="str">
        <f>VLOOKUP(D2298,'DETALLE PRECIO INGREDIENTES'!B:B,1,0)</f>
        <v>COL CHINA</v>
      </c>
    </row>
    <row r="2299" spans="2:8" hidden="1" x14ac:dyDescent="0.35">
      <c r="B2299" s="80" t="s">
        <v>44</v>
      </c>
      <c r="C2299" s="80" t="s">
        <v>41</v>
      </c>
      <c r="D2299" s="73" t="s">
        <v>628</v>
      </c>
      <c r="E2299" s="74">
        <v>0.39624999999999994</v>
      </c>
      <c r="F2299" s="78" t="s">
        <v>259</v>
      </c>
      <c r="G2299" s="77" t="s">
        <v>621</v>
      </c>
      <c r="H2299" t="str">
        <f>VLOOKUP(D2299,'DETALLE PRECIO INGREDIENTES'!B:B,1,0)</f>
        <v>AJO CABEZA</v>
      </c>
    </row>
    <row r="2300" spans="2:8" hidden="1" x14ac:dyDescent="0.35">
      <c r="B2300" s="80" t="s">
        <v>44</v>
      </c>
      <c r="C2300" s="80" t="s">
        <v>41</v>
      </c>
      <c r="D2300" s="73" t="s">
        <v>675</v>
      </c>
      <c r="E2300" s="74">
        <v>1.2500000000000001E-2</v>
      </c>
      <c r="F2300" s="78" t="s">
        <v>237</v>
      </c>
      <c r="G2300" s="77" t="s">
        <v>621</v>
      </c>
      <c r="H2300" t="str">
        <f>VLOOKUP(D2300,'DETALLE PRECIO INGREDIENTES'!B:B,1,0)</f>
        <v>JENGIBRE</v>
      </c>
    </row>
    <row r="2301" spans="2:8" hidden="1" x14ac:dyDescent="0.35">
      <c r="B2301" s="80" t="s">
        <v>44</v>
      </c>
      <c r="C2301" s="80" t="s">
        <v>41</v>
      </c>
      <c r="D2301" s="73" t="s">
        <v>357</v>
      </c>
      <c r="E2301" s="74">
        <v>3.7499999999999999E-3</v>
      </c>
      <c r="F2301" s="78" t="s">
        <v>237</v>
      </c>
      <c r="G2301" s="77" t="s">
        <v>220</v>
      </c>
      <c r="H2301" t="str">
        <f>VLOOKUP(D2301,'DETALLE PRECIO INGREDIENTES'!B:B,1,0)</f>
        <v>HARINA DE ARROZ SUPER FINA</v>
      </c>
    </row>
    <row r="2302" spans="2:8" hidden="1" x14ac:dyDescent="0.35">
      <c r="B2302" s="80" t="s">
        <v>44</v>
      </c>
      <c r="C2302" s="80" t="s">
        <v>41</v>
      </c>
      <c r="D2302" s="73" t="s">
        <v>277</v>
      </c>
      <c r="E2302" s="74">
        <v>6.8500000000000005E-2</v>
      </c>
      <c r="F2302" s="78" t="s">
        <v>237</v>
      </c>
      <c r="G2302" s="77" t="s">
        <v>220</v>
      </c>
      <c r="H2302" t="str">
        <f>VLOOKUP(D2302,'DETALLE PRECIO INGREDIENTES'!B:B,1,0)</f>
        <v>AZUCAR BLANCA GRANULADA</v>
      </c>
    </row>
    <row r="2303" spans="2:8" hidden="1" x14ac:dyDescent="0.35">
      <c r="B2303" s="80" t="s">
        <v>44</v>
      </c>
      <c r="C2303" s="80" t="s">
        <v>41</v>
      </c>
      <c r="D2303" s="73" t="s">
        <v>444</v>
      </c>
      <c r="E2303" s="74">
        <v>1.7500000000000002E-2</v>
      </c>
      <c r="F2303" s="78" t="s">
        <v>237</v>
      </c>
      <c r="G2303" s="77" t="s">
        <v>220</v>
      </c>
      <c r="H2303" t="str">
        <f>VLOOKUP(D2303,'DETALLE PRECIO INGREDIENTES'!B:B,1,0)</f>
        <v>SAL DE MAR GRUESA</v>
      </c>
    </row>
    <row r="2304" spans="2:8" hidden="1" x14ac:dyDescent="0.35">
      <c r="B2304" s="80" t="s">
        <v>44</v>
      </c>
      <c r="C2304" s="80" t="s">
        <v>41</v>
      </c>
      <c r="D2304" s="73" t="s">
        <v>978</v>
      </c>
      <c r="E2304" s="74">
        <v>1.125E-2</v>
      </c>
      <c r="F2304" s="78" t="s">
        <v>222</v>
      </c>
      <c r="G2304" s="77" t="s">
        <v>220</v>
      </c>
      <c r="H2304" t="str">
        <f>VLOOKUP(D2304,'DETALLE PRECIO INGREDIENTES'!B:B,1,0)</f>
        <v>salsa de pescado</v>
      </c>
    </row>
    <row r="2305" spans="2:8" hidden="1" x14ac:dyDescent="0.35">
      <c r="B2305" s="80" t="s">
        <v>44</v>
      </c>
      <c r="C2305" s="80" t="s">
        <v>41</v>
      </c>
      <c r="D2305" s="73" t="s">
        <v>458</v>
      </c>
      <c r="E2305" s="74">
        <v>1.25E-3</v>
      </c>
      <c r="F2305" s="78" t="s">
        <v>237</v>
      </c>
      <c r="G2305" s="77" t="s">
        <v>220</v>
      </c>
      <c r="H2305" t="str">
        <f>VLOOKUP(D2305,'DETALLE PRECIO INGREDIENTES'!B:B,1,0)</f>
        <v>SEMILLAS DE SESAMO BLANCO</v>
      </c>
    </row>
    <row r="2306" spans="2:8" hidden="1" x14ac:dyDescent="0.35">
      <c r="B2306" s="80" t="s">
        <v>44</v>
      </c>
      <c r="C2306" s="80" t="s">
        <v>41</v>
      </c>
      <c r="D2306" s="73" t="s">
        <v>250</v>
      </c>
      <c r="E2306" s="74">
        <v>6.2500000000000003E-3</v>
      </c>
      <c r="F2306" s="78" t="s">
        <v>237</v>
      </c>
      <c r="G2306" s="77" t="s">
        <v>220</v>
      </c>
      <c r="H2306" t="str">
        <f>VLOOKUP(D2306,'DETALLE PRECIO INGREDIENTES'!B:B,1,0)</f>
        <v>AJI EN PASTA GOCHUJANG</v>
      </c>
    </row>
    <row r="2307" spans="2:8" hidden="1" x14ac:dyDescent="0.35">
      <c r="B2307" s="80" t="s">
        <v>44</v>
      </c>
      <c r="C2307" s="80" t="s">
        <v>41</v>
      </c>
      <c r="D2307" s="73" t="s">
        <v>697</v>
      </c>
      <c r="E2307" s="74">
        <v>0.125</v>
      </c>
      <c r="F2307" s="78" t="s">
        <v>237</v>
      </c>
      <c r="G2307" s="77" t="s">
        <v>621</v>
      </c>
      <c r="H2307" t="str">
        <f>VLOOKUP(D2307,'DETALLE PRECIO INGREDIENTES'!B:B,1,0)</f>
        <v>PERAS</v>
      </c>
    </row>
    <row r="2308" spans="2:8" hidden="1" x14ac:dyDescent="0.35">
      <c r="B2308" s="80" t="s">
        <v>44</v>
      </c>
      <c r="C2308" s="80" t="s">
        <v>41</v>
      </c>
      <c r="D2308" s="73" t="s">
        <v>882</v>
      </c>
      <c r="E2308" s="74">
        <v>0.125</v>
      </c>
      <c r="F2308" s="78" t="s">
        <v>222</v>
      </c>
      <c r="G2308" s="77" t="s">
        <v>876</v>
      </c>
      <c r="H2308" t="str">
        <f>VLOOKUP(D2308,'DETALLE PRECIO INGREDIENTES'!B:B,1,0)</f>
        <v>VINO TINTO TETRA</v>
      </c>
    </row>
    <row r="2309" spans="2:8" hidden="1" x14ac:dyDescent="0.35">
      <c r="B2309" s="80" t="s">
        <v>44</v>
      </c>
      <c r="C2309" s="80" t="s">
        <v>41</v>
      </c>
      <c r="D2309" s="73" t="s">
        <v>490</v>
      </c>
      <c r="E2309" s="74">
        <v>0.25</v>
      </c>
      <c r="F2309" s="78" t="s">
        <v>259</v>
      </c>
      <c r="G2309" s="77" t="s">
        <v>485</v>
      </c>
      <c r="H2309" t="str">
        <f>VLOOKUP(D2309,'DETALLE PRECIO INGREDIENTES'!B:B,1,0)</f>
        <v>BOLSA PARA SELLADO AL VACIO 25X35 CM</v>
      </c>
    </row>
    <row r="2310" spans="2:8" hidden="1" x14ac:dyDescent="0.35">
      <c r="B2310" s="80" t="s">
        <v>44</v>
      </c>
      <c r="C2310" s="80" t="s">
        <v>41</v>
      </c>
      <c r="D2310" s="73" t="s">
        <v>696</v>
      </c>
      <c r="E2310" s="74">
        <v>0.3125</v>
      </c>
      <c r="F2310" s="78" t="s">
        <v>259</v>
      </c>
      <c r="G2310" s="77" t="s">
        <v>621</v>
      </c>
      <c r="H2310" t="str">
        <f>VLOOKUP(D2310,'DETALLE PRECIO INGREDIENTES'!B:B,1,0)</f>
        <v>PEPINO ENSALADA</v>
      </c>
    </row>
    <row r="2311" spans="2:8" hidden="1" x14ac:dyDescent="0.35">
      <c r="B2311" s="80" t="s">
        <v>44</v>
      </c>
      <c r="C2311" s="80" t="s">
        <v>41</v>
      </c>
      <c r="D2311" s="73" t="s">
        <v>472</v>
      </c>
      <c r="E2311" s="74">
        <v>0.1</v>
      </c>
      <c r="F2311" s="78" t="s">
        <v>222</v>
      </c>
      <c r="G2311" s="77" t="s">
        <v>220</v>
      </c>
      <c r="H2311" t="str">
        <f>VLOOKUP(D2311,'DETALLE PRECIO INGREDIENTES'!B:B,1,0)</f>
        <v>VINAGRE BLANCO</v>
      </c>
    </row>
    <row r="2312" spans="2:8" hidden="1" x14ac:dyDescent="0.35">
      <c r="B2312" s="80" t="s">
        <v>44</v>
      </c>
      <c r="C2312" s="80" t="s">
        <v>41</v>
      </c>
      <c r="D2312" s="73" t="s">
        <v>663</v>
      </c>
      <c r="E2312" s="74">
        <v>5.0000000000000001E-4</v>
      </c>
      <c r="F2312" s="78" t="s">
        <v>237</v>
      </c>
      <c r="G2312" s="77" t="s">
        <v>621</v>
      </c>
      <c r="H2312" t="str">
        <f>VLOOKUP(D2312,'DETALLE PRECIO INGREDIENTES'!B:B,1,0)</f>
        <v>ENELDO FRESCO</v>
      </c>
    </row>
    <row r="2313" spans="2:8" hidden="1" x14ac:dyDescent="0.35">
      <c r="B2313" s="80" t="s">
        <v>44</v>
      </c>
      <c r="C2313" s="80" t="s">
        <v>41</v>
      </c>
      <c r="D2313" s="73" t="s">
        <v>427</v>
      </c>
      <c r="E2313" s="74">
        <v>4.1250000000000002E-3</v>
      </c>
      <c r="F2313" s="78" t="s">
        <v>237</v>
      </c>
      <c r="G2313" s="77" t="s">
        <v>220</v>
      </c>
      <c r="H2313" t="str">
        <f>VLOOKUP(D2313,'DETALLE PRECIO INGREDIENTES'!B:B,1,0)</f>
        <v>PIMIENTA NEGRA ENTERA</v>
      </c>
    </row>
    <row r="2314" spans="2:8" hidden="1" x14ac:dyDescent="0.35">
      <c r="B2314" s="80" t="s">
        <v>44</v>
      </c>
      <c r="C2314" s="80" t="s">
        <v>41</v>
      </c>
      <c r="D2314" s="73" t="s">
        <v>720</v>
      </c>
      <c r="E2314" s="74">
        <v>2.5000000000000001E-2</v>
      </c>
      <c r="F2314" s="78" t="s">
        <v>237</v>
      </c>
      <c r="G2314" s="77" t="s">
        <v>621</v>
      </c>
      <c r="H2314" t="str">
        <f>VLOOKUP(D2314,'DETALLE PRECIO INGREDIENTES'!B:B,1,0)</f>
        <v>ZANAHORIA</v>
      </c>
    </row>
    <row r="2315" spans="2:8" hidden="1" x14ac:dyDescent="0.35">
      <c r="B2315" s="80" t="s">
        <v>44</v>
      </c>
      <c r="C2315" s="80" t="s">
        <v>41</v>
      </c>
      <c r="D2315" s="73" t="s">
        <v>457</v>
      </c>
      <c r="E2315" s="74">
        <v>2E-3</v>
      </c>
      <c r="F2315" s="78" t="s">
        <v>237</v>
      </c>
      <c r="G2315" s="77" t="s">
        <v>220</v>
      </c>
      <c r="H2315" t="str">
        <f>VLOOKUP(D2315,'DETALLE PRECIO INGREDIENTES'!B:B,1,0)</f>
        <v>SEMILLAS DE MOSTAZA</v>
      </c>
    </row>
    <row r="2316" spans="2:8" hidden="1" x14ac:dyDescent="0.35">
      <c r="B2316" s="80" t="s">
        <v>44</v>
      </c>
      <c r="C2316" s="80" t="s">
        <v>41</v>
      </c>
      <c r="D2316" s="73" t="s">
        <v>370</v>
      </c>
      <c r="E2316" s="74">
        <v>0.25</v>
      </c>
      <c r="F2316" s="78" t="s">
        <v>237</v>
      </c>
      <c r="G2316" s="77" t="s">
        <v>220</v>
      </c>
      <c r="H2316" t="str">
        <f>VLOOKUP(D2316,'DETALLE PRECIO INGREDIENTES'!B:B,1,0)</f>
        <v>LAUREL</v>
      </c>
    </row>
    <row r="2317" spans="2:8" hidden="1" x14ac:dyDescent="0.35">
      <c r="B2317" s="80" t="s">
        <v>44</v>
      </c>
      <c r="C2317" s="80" t="s">
        <v>41</v>
      </c>
      <c r="D2317" s="73" t="s">
        <v>455</v>
      </c>
      <c r="E2317" s="74">
        <v>7.5000000000000002E-4</v>
      </c>
      <c r="F2317" s="78" t="s">
        <v>237</v>
      </c>
      <c r="G2317" s="77" t="s">
        <v>220</v>
      </c>
      <c r="H2317" t="str">
        <f>VLOOKUP(D2317,'DETALLE PRECIO INGREDIENTES'!B:B,1,0)</f>
        <v>SEMILLAS DE CILANTRO</v>
      </c>
    </row>
    <row r="2318" spans="2:8" hidden="1" x14ac:dyDescent="0.35">
      <c r="B2318" s="80" t="s">
        <v>44</v>
      </c>
      <c r="C2318" s="80" t="s">
        <v>41</v>
      </c>
      <c r="D2318" s="73" t="s">
        <v>407</v>
      </c>
      <c r="E2318" s="74">
        <v>1.875E-4</v>
      </c>
      <c r="F2318" s="78" t="s">
        <v>237</v>
      </c>
      <c r="G2318" s="77" t="s">
        <v>220</v>
      </c>
      <c r="H2318" t="str">
        <f>VLOOKUP(D2318,'DETALLE PRECIO INGREDIENTES'!B:B,1,0)</f>
        <v>OREGANO SECO</v>
      </c>
    </row>
    <row r="2319" spans="2:8" hidden="1" x14ac:dyDescent="0.35">
      <c r="B2319" s="80" t="s">
        <v>44</v>
      </c>
      <c r="C2319" s="80" t="s">
        <v>41</v>
      </c>
      <c r="D2319" s="73" t="s">
        <v>624</v>
      </c>
      <c r="E2319" s="74">
        <v>6.25E-2</v>
      </c>
      <c r="F2319" s="78" t="s">
        <v>259</v>
      </c>
      <c r="G2319" s="77" t="s">
        <v>621</v>
      </c>
      <c r="H2319" t="str">
        <f>VLOOKUP(D2319,'DETALLE PRECIO INGREDIENTES'!B:B,1,0)</f>
        <v>AJI CACHO CABRA AHUMADO</v>
      </c>
    </row>
    <row r="2320" spans="2:8" hidden="1" x14ac:dyDescent="0.35">
      <c r="B2320" s="80" t="s">
        <v>44</v>
      </c>
      <c r="C2320" s="80" t="s">
        <v>41</v>
      </c>
      <c r="D2320" s="73" t="s">
        <v>689</v>
      </c>
      <c r="E2320" s="74">
        <v>3.125E-2</v>
      </c>
      <c r="F2320" s="78" t="s">
        <v>259</v>
      </c>
      <c r="G2320" s="77" t="s">
        <v>621</v>
      </c>
      <c r="H2320" t="str">
        <f>VLOOKUP(D2320,'DETALLE PRECIO INGREDIENTES'!B:B,1,0)</f>
        <v>NABOS DAIKON</v>
      </c>
    </row>
    <row r="2321" spans="2:8" hidden="1" x14ac:dyDescent="0.35">
      <c r="B2321" s="80" t="s">
        <v>44</v>
      </c>
      <c r="C2321" s="80" t="s">
        <v>41</v>
      </c>
      <c r="D2321" s="73" t="s">
        <v>477</v>
      </c>
      <c r="E2321" s="74">
        <v>3.125E-2</v>
      </c>
      <c r="F2321" s="78" t="s">
        <v>222</v>
      </c>
      <c r="G2321" s="77" t="s">
        <v>220</v>
      </c>
      <c r="H2321" t="str">
        <f>VLOOKUP(D2321,'DETALLE PRECIO INGREDIENTES'!B:B,1,0)</f>
        <v>VINAGRE TINTO</v>
      </c>
    </row>
    <row r="2322" spans="2:8" hidden="1" x14ac:dyDescent="0.35">
      <c r="B2322" s="80" t="s">
        <v>44</v>
      </c>
      <c r="C2322" s="80" t="s">
        <v>41</v>
      </c>
      <c r="D2322" s="73" t="s">
        <v>283</v>
      </c>
      <c r="E2322" s="74">
        <v>1.5E-3</v>
      </c>
      <c r="F2322" s="78" t="s">
        <v>237</v>
      </c>
      <c r="G2322" s="77" t="s">
        <v>220</v>
      </c>
      <c r="H2322" t="str">
        <f>VLOOKUP(D2322,'DETALLE PRECIO INGREDIENTES'!B:B,1,0)</f>
        <v>AZUCAR RUBIA</v>
      </c>
    </row>
    <row r="2323" spans="2:8" hidden="1" x14ac:dyDescent="0.35">
      <c r="B2323" s="80" t="s">
        <v>44</v>
      </c>
      <c r="C2323" s="80" t="s">
        <v>41</v>
      </c>
      <c r="D2323" s="73" t="s">
        <v>302</v>
      </c>
      <c r="E2323" s="74">
        <v>1.25E-4</v>
      </c>
      <c r="F2323" s="78" t="s">
        <v>237</v>
      </c>
      <c r="G2323" s="77" t="s">
        <v>220</v>
      </c>
      <c r="H2323" t="str">
        <f>VLOOKUP(D2323,'DETALLE PRECIO INGREDIENTES'!B:B,1,0)</f>
        <v>CLAVO DE OLOR ENTERO</v>
      </c>
    </row>
    <row r="2324" spans="2:8" hidden="1" x14ac:dyDescent="0.35">
      <c r="B2324" s="80" t="s">
        <v>44</v>
      </c>
      <c r="C2324" s="80" t="s">
        <v>41</v>
      </c>
      <c r="D2324" s="73" t="s">
        <v>640</v>
      </c>
      <c r="E2324" s="74">
        <v>9.3749999999999997E-3</v>
      </c>
      <c r="F2324" s="78" t="s">
        <v>259</v>
      </c>
      <c r="G2324" s="77" t="s">
        <v>621</v>
      </c>
      <c r="H2324" t="str">
        <f>VLOOKUP(D2324,'DETALLE PRECIO INGREDIENTES'!B:B,1,0)</f>
        <v>BETARRAGA</v>
      </c>
    </row>
    <row r="2325" spans="2:8" hidden="1" x14ac:dyDescent="0.35">
      <c r="B2325" s="80" t="s">
        <v>44</v>
      </c>
      <c r="C2325" s="80" t="s">
        <v>41</v>
      </c>
      <c r="D2325" s="73" t="s">
        <v>267</v>
      </c>
      <c r="E2325" s="74">
        <v>0.125</v>
      </c>
      <c r="F2325" s="78" t="s">
        <v>237</v>
      </c>
      <c r="G2325" s="77" t="s">
        <v>220</v>
      </c>
      <c r="H2325" t="str">
        <f>VLOOKUP(D2325,'DETALLE PRECIO INGREDIENTES'!B:B,1,0)</f>
        <v>ARROZ GRANO CORTO GRADO 2</v>
      </c>
    </row>
    <row r="2326" spans="2:8" hidden="1" x14ac:dyDescent="0.35">
      <c r="B2326" s="80" t="s">
        <v>44</v>
      </c>
      <c r="C2326" s="80" t="s">
        <v>41</v>
      </c>
      <c r="D2326" s="73" t="s">
        <v>470</v>
      </c>
      <c r="E2326" s="74">
        <v>3.125E-2</v>
      </c>
      <c r="F2326" s="78" t="s">
        <v>237</v>
      </c>
      <c r="G2326" s="77" t="s">
        <v>220</v>
      </c>
      <c r="H2326" t="str">
        <f>VLOOKUP(D2326,'DETALLE PRECIO INGREDIENTES'!B:B,1,0)</f>
        <v>TRIGO MOTE</v>
      </c>
    </row>
    <row r="2327" spans="2:8" hidden="1" x14ac:dyDescent="0.35">
      <c r="B2327" s="80" t="s">
        <v>44</v>
      </c>
      <c r="C2327" s="80" t="s">
        <v>41</v>
      </c>
      <c r="D2327" s="73" t="s">
        <v>342</v>
      </c>
      <c r="E2327" s="74">
        <v>3.125E-2</v>
      </c>
      <c r="F2327" s="78" t="s">
        <v>237</v>
      </c>
      <c r="G2327" s="77" t="s">
        <v>220</v>
      </c>
      <c r="H2327" t="str">
        <f>VLOOKUP(D2327,'DETALLE PRECIO INGREDIENTES'!B:B,1,0)</f>
        <v>GARBANZOS</v>
      </c>
    </row>
    <row r="2328" spans="2:8" hidden="1" x14ac:dyDescent="0.35">
      <c r="B2328" s="80" t="s">
        <v>44</v>
      </c>
      <c r="C2328" s="80" t="s">
        <v>41</v>
      </c>
      <c r="D2328" s="73" t="s">
        <v>961</v>
      </c>
      <c r="E2328" s="74">
        <v>0.01</v>
      </c>
      <c r="F2328" s="78" t="s">
        <v>237</v>
      </c>
      <c r="G2328" s="77" t="s">
        <v>220</v>
      </c>
      <c r="H2328" t="str">
        <f>VLOOKUP(D2328,'DETALLE PRECIO INGREDIENTES'!B:B,1,0)</f>
        <v>miel</v>
      </c>
    </row>
    <row r="2329" spans="2:8" hidden="1" x14ac:dyDescent="0.35">
      <c r="B2329" s="80" t="s">
        <v>44</v>
      </c>
      <c r="C2329" s="80" t="s">
        <v>41</v>
      </c>
      <c r="D2329" s="73" t="s">
        <v>387</v>
      </c>
      <c r="E2329" s="74">
        <v>3.7499999999999999E-3</v>
      </c>
      <c r="F2329" s="78" t="s">
        <v>237</v>
      </c>
      <c r="G2329" s="77" t="s">
        <v>220</v>
      </c>
      <c r="H2329" t="str">
        <f>VLOOKUP(D2329,'DETALLE PRECIO INGREDIENTES'!B:B,1,0)</f>
        <v>MERKEN</v>
      </c>
    </row>
    <row r="2330" spans="2:8" hidden="1" x14ac:dyDescent="0.35">
      <c r="B2330" s="80" t="s">
        <v>44</v>
      </c>
      <c r="C2330" s="80" t="s">
        <v>41</v>
      </c>
      <c r="D2330" s="73" t="s">
        <v>873</v>
      </c>
      <c r="E2330" s="74">
        <v>0.1125</v>
      </c>
      <c r="F2330" s="78" t="s">
        <v>237</v>
      </c>
      <c r="G2330" s="77" t="s">
        <v>852</v>
      </c>
      <c r="H2330" t="str">
        <f>VLOOKUP(D2330,'DETALLE PRECIO INGREDIENTES'!B:B,1,0)</f>
        <v>VACUNO POSTA ROSADA</v>
      </c>
    </row>
    <row r="2331" spans="2:8" hidden="1" x14ac:dyDescent="0.35">
      <c r="B2331" s="80" t="s">
        <v>44</v>
      </c>
      <c r="C2331" s="80" t="s">
        <v>41</v>
      </c>
      <c r="D2331" s="73" t="s">
        <v>851</v>
      </c>
      <c r="E2331" s="74">
        <v>3.7499999999999999E-3</v>
      </c>
      <c r="F2331" s="78" t="s">
        <v>237</v>
      </c>
      <c r="G2331" s="77" t="s">
        <v>847</v>
      </c>
      <c r="H2331" t="str">
        <f>VLOOKUP(D2331,'DETALLE PRECIO INGREDIENTES'!B:B,1,0)</f>
        <v>TE NEGRO EN HOJA</v>
      </c>
    </row>
    <row r="2332" spans="2:8" hidden="1" x14ac:dyDescent="0.35">
      <c r="B2332" s="80" t="s">
        <v>44</v>
      </c>
      <c r="C2332" s="80" t="s">
        <v>41</v>
      </c>
      <c r="D2332" s="73" t="s">
        <v>593</v>
      </c>
      <c r="E2332" s="74">
        <v>3.125E-2</v>
      </c>
      <c r="F2332" s="78" t="s">
        <v>237</v>
      </c>
      <c r="G2332" s="77" t="s">
        <v>587</v>
      </c>
      <c r="H2332" t="str">
        <f>VLOOKUP(D2332,'DETALLE PRECIO INGREDIENTES'!B:B,1,0)</f>
        <v>PULPA DE FRAMBUESA S/AZUCAR</v>
      </c>
    </row>
    <row r="2333" spans="2:8" hidden="1" x14ac:dyDescent="0.35">
      <c r="B2333" s="80" t="s">
        <v>44</v>
      </c>
      <c r="C2333" s="80" t="s">
        <v>39</v>
      </c>
      <c r="D2333" s="73" t="s">
        <v>838</v>
      </c>
      <c r="E2333" s="74">
        <v>0.1</v>
      </c>
      <c r="F2333" s="78" t="s">
        <v>237</v>
      </c>
      <c r="G2333" s="77" t="s">
        <v>806</v>
      </c>
      <c r="H2333" t="str">
        <f>VLOOKUP(D2333,'DETALLE PRECIO INGREDIENTES'!B:B,1,0)</f>
        <v>SALMON FRESCO FILETE C/PIEL</v>
      </c>
    </row>
    <row r="2334" spans="2:8" hidden="1" x14ac:dyDescent="0.35">
      <c r="B2334" s="80" t="s">
        <v>44</v>
      </c>
      <c r="C2334" s="80" t="s">
        <v>39</v>
      </c>
      <c r="D2334" s="73" t="s">
        <v>443</v>
      </c>
      <c r="E2334" s="74">
        <v>2.6062499999999999E-2</v>
      </c>
      <c r="F2334" s="78" t="s">
        <v>237</v>
      </c>
      <c r="G2334" s="77" t="s">
        <v>220</v>
      </c>
      <c r="H2334" t="str">
        <f>VLOOKUP(D2334,'DETALLE PRECIO INGREDIENTES'!B:B,1,0)</f>
        <v>SAL DE MAR FINA</v>
      </c>
    </row>
    <row r="2335" spans="2:8" hidden="1" x14ac:dyDescent="0.35">
      <c r="B2335" s="80" t="s">
        <v>44</v>
      </c>
      <c r="C2335" s="80" t="s">
        <v>39</v>
      </c>
      <c r="D2335" s="73" t="s">
        <v>277</v>
      </c>
      <c r="E2335" s="74">
        <v>9.5000000000000015E-3</v>
      </c>
      <c r="F2335" s="78" t="s">
        <v>237</v>
      </c>
      <c r="G2335" s="77" t="s">
        <v>220</v>
      </c>
      <c r="H2335" t="str">
        <f>VLOOKUP(D2335,'DETALLE PRECIO INGREDIENTES'!B:B,1,0)</f>
        <v>AZUCAR BLANCA GRANULADA</v>
      </c>
    </row>
    <row r="2336" spans="2:8" hidden="1" x14ac:dyDescent="0.35">
      <c r="B2336" s="80" t="s">
        <v>44</v>
      </c>
      <c r="C2336" s="80" t="s">
        <v>39</v>
      </c>
      <c r="D2336" s="73" t="s">
        <v>486</v>
      </c>
      <c r="E2336" s="74">
        <v>4.3749999999999997E-2</v>
      </c>
      <c r="F2336" s="78" t="s">
        <v>237</v>
      </c>
      <c r="G2336" s="77" t="s">
        <v>485</v>
      </c>
      <c r="H2336" t="str">
        <f>VLOOKUP(D2336,'DETALLE PRECIO INGREDIENTES'!B:B,1,0)</f>
        <v>ASTILLAS PARA AHUMAR</v>
      </c>
    </row>
    <row r="2337" spans="2:8" hidden="1" x14ac:dyDescent="0.35">
      <c r="B2337" s="80" t="s">
        <v>44</v>
      </c>
      <c r="C2337" s="80" t="s">
        <v>39</v>
      </c>
      <c r="D2337" s="73" t="s">
        <v>455</v>
      </c>
      <c r="E2337" s="74">
        <v>1.6250000000000001E-3</v>
      </c>
      <c r="F2337" s="78" t="s">
        <v>237</v>
      </c>
      <c r="G2337" s="77" t="s">
        <v>220</v>
      </c>
      <c r="H2337" t="str">
        <f>VLOOKUP(D2337,'DETALLE PRECIO INGREDIENTES'!B:B,1,0)</f>
        <v>SEMILLAS DE CILANTRO</v>
      </c>
    </row>
    <row r="2338" spans="2:8" hidden="1" x14ac:dyDescent="0.35">
      <c r="B2338" s="80" t="s">
        <v>44</v>
      </c>
      <c r="C2338" s="80" t="s">
        <v>39</v>
      </c>
      <c r="D2338" s="73" t="s">
        <v>427</v>
      </c>
      <c r="E2338" s="74">
        <v>1.1250000000000001E-3</v>
      </c>
      <c r="F2338" s="78" t="s">
        <v>237</v>
      </c>
      <c r="G2338" s="77" t="s">
        <v>220</v>
      </c>
      <c r="H2338" t="str">
        <f>VLOOKUP(D2338,'DETALLE PRECIO INGREDIENTES'!B:B,1,0)</f>
        <v>PIMIENTA NEGRA ENTERA</v>
      </c>
    </row>
    <row r="2339" spans="2:8" hidden="1" x14ac:dyDescent="0.35">
      <c r="B2339" s="80" t="s">
        <v>44</v>
      </c>
      <c r="C2339" s="80" t="s">
        <v>39</v>
      </c>
      <c r="D2339" s="73" t="s">
        <v>713</v>
      </c>
      <c r="E2339" s="74">
        <v>7.5000000000000002E-4</v>
      </c>
      <c r="F2339" s="78" t="s">
        <v>237</v>
      </c>
      <c r="G2339" s="77" t="s">
        <v>621</v>
      </c>
      <c r="H2339" t="str">
        <f>VLOOKUP(D2339,'DETALLE PRECIO INGREDIENTES'!B:B,1,0)</f>
        <v>SALVIA FRESCA</v>
      </c>
    </row>
    <row r="2340" spans="2:8" hidden="1" x14ac:dyDescent="0.35">
      <c r="B2340" s="80" t="s">
        <v>44</v>
      </c>
      <c r="C2340" s="80" t="s">
        <v>39</v>
      </c>
      <c r="D2340" s="73" t="s">
        <v>406</v>
      </c>
      <c r="E2340" s="74">
        <v>6.2500000000000001E-4</v>
      </c>
      <c r="F2340" s="78" t="s">
        <v>237</v>
      </c>
      <c r="G2340" s="77" t="s">
        <v>220</v>
      </c>
      <c r="H2340" t="str">
        <f>VLOOKUP(D2340,'DETALLE PRECIO INGREDIENTES'!B:B,1,0)</f>
        <v>OREGANO FRESCO</v>
      </c>
    </row>
    <row r="2341" spans="2:8" hidden="1" x14ac:dyDescent="0.35">
      <c r="B2341" s="80" t="s">
        <v>44</v>
      </c>
      <c r="C2341" s="80" t="s">
        <v>39</v>
      </c>
      <c r="D2341" s="73" t="s">
        <v>640</v>
      </c>
      <c r="E2341" s="74">
        <v>1.2500000000000001E-2</v>
      </c>
      <c r="F2341" s="78" t="s">
        <v>259</v>
      </c>
      <c r="G2341" s="77" t="s">
        <v>621</v>
      </c>
      <c r="H2341" t="str">
        <f>VLOOKUP(D2341,'DETALLE PRECIO INGREDIENTES'!B:B,1,0)</f>
        <v>BETARRAGA</v>
      </c>
    </row>
    <row r="2342" spans="2:8" hidden="1" x14ac:dyDescent="0.35">
      <c r="B2342" s="80" t="s">
        <v>44</v>
      </c>
      <c r="C2342" s="80" t="s">
        <v>39</v>
      </c>
      <c r="D2342" s="73" t="s">
        <v>680</v>
      </c>
      <c r="E2342" s="74">
        <v>6.2500000000000001E-4</v>
      </c>
      <c r="F2342" s="78" t="s">
        <v>237</v>
      </c>
      <c r="G2342" s="77" t="s">
        <v>621</v>
      </c>
      <c r="H2342" t="str">
        <f>VLOOKUP(D2342,'DETALLE PRECIO INGREDIENTES'!B:B,1,0)</f>
        <v>LIMON DE JUGO</v>
      </c>
    </row>
    <row r="2343" spans="2:8" hidden="1" x14ac:dyDescent="0.35">
      <c r="B2343" s="80" t="s">
        <v>44</v>
      </c>
      <c r="C2343" s="80" t="s">
        <v>39</v>
      </c>
      <c r="D2343" s="73" t="s">
        <v>961</v>
      </c>
      <c r="E2343" s="74">
        <v>1.8749999999999999E-3</v>
      </c>
      <c r="F2343" s="78" t="s">
        <v>237</v>
      </c>
      <c r="G2343" s="77" t="s">
        <v>220</v>
      </c>
      <c r="H2343" t="str">
        <f>VLOOKUP(D2343,'DETALLE PRECIO INGREDIENTES'!B:B,1,0)</f>
        <v>miel</v>
      </c>
    </row>
    <row r="2344" spans="2:8" hidden="1" x14ac:dyDescent="0.35">
      <c r="B2344" s="80" t="s">
        <v>44</v>
      </c>
      <c r="C2344" s="80" t="s">
        <v>39</v>
      </c>
      <c r="D2344" s="73" t="s">
        <v>789</v>
      </c>
      <c r="E2344" s="74">
        <v>2.5000000000000001E-3</v>
      </c>
      <c r="F2344" s="78" t="s">
        <v>259</v>
      </c>
      <c r="G2344" s="77" t="s">
        <v>776</v>
      </c>
      <c r="H2344" t="str">
        <f>VLOOKUP(D2344,'DETALLE PRECIO INGREDIENTES'!B:B,1,0)</f>
        <v>VODKA STOLICHNAYA</v>
      </c>
    </row>
    <row r="2345" spans="2:8" hidden="1" x14ac:dyDescent="0.35">
      <c r="B2345" s="80" t="s">
        <v>44</v>
      </c>
      <c r="C2345" s="80" t="s">
        <v>39</v>
      </c>
      <c r="D2345" s="73" t="s">
        <v>663</v>
      </c>
      <c r="E2345" s="74">
        <v>1.5E-3</v>
      </c>
      <c r="F2345" s="78" t="s">
        <v>237</v>
      </c>
      <c r="G2345" s="77" t="s">
        <v>621</v>
      </c>
      <c r="H2345" t="str">
        <f>VLOOKUP(D2345,'DETALLE PRECIO INGREDIENTES'!B:B,1,0)</f>
        <v>ENELDO FRESCO</v>
      </c>
    </row>
    <row r="2346" spans="2:8" hidden="1" x14ac:dyDescent="0.35">
      <c r="B2346" s="80" t="s">
        <v>44</v>
      </c>
      <c r="C2346" s="80" t="s">
        <v>39</v>
      </c>
      <c r="D2346" s="73" t="s">
        <v>533</v>
      </c>
      <c r="E2346" s="74">
        <v>0.125</v>
      </c>
      <c r="F2346" s="78" t="s">
        <v>237</v>
      </c>
      <c r="G2346" s="77" t="s">
        <v>525</v>
      </c>
      <c r="H2346" t="str">
        <f>VLOOKUP(D2346,'DETALLE PRECIO INGREDIENTES'!B:B,1,0)</f>
        <v>CERDO LOMO CENTRO</v>
      </c>
    </row>
    <row r="2347" spans="2:8" x14ac:dyDescent="0.35">
      <c r="B2347" s="80" t="s">
        <v>44</v>
      </c>
      <c r="C2347" s="80" t="s">
        <v>39</v>
      </c>
      <c r="D2347" s="73" t="s">
        <v>979</v>
      </c>
      <c r="E2347" s="74">
        <v>7.5000000000000002E-4</v>
      </c>
      <c r="F2347" s="78" t="s">
        <v>237</v>
      </c>
      <c r="G2347" s="77" t="s">
        <v>220</v>
      </c>
      <c r="H2347" t="e">
        <f>VLOOKUP(D2347,'DETALLE PRECIO INGREDIENTES'!B:B,1,0)</f>
        <v>#N/A</v>
      </c>
    </row>
    <row r="2348" spans="2:8" hidden="1" x14ac:dyDescent="0.35">
      <c r="B2348" s="80" t="s">
        <v>44</v>
      </c>
      <c r="C2348" s="80" t="s">
        <v>39</v>
      </c>
      <c r="D2348" s="73" t="s">
        <v>637</v>
      </c>
      <c r="E2348" s="74">
        <v>2.5000000000000001E-4</v>
      </c>
      <c r="F2348" s="78" t="s">
        <v>237</v>
      </c>
      <c r="G2348" s="77" t="s">
        <v>621</v>
      </c>
      <c r="H2348" t="str">
        <f>VLOOKUP(D2348,'DETALLE PRECIO INGREDIENTES'!B:B,1,0)</f>
        <v>BAYAS DE ENEBRO</v>
      </c>
    </row>
    <row r="2349" spans="2:8" hidden="1" x14ac:dyDescent="0.35">
      <c r="B2349" s="80" t="s">
        <v>44</v>
      </c>
      <c r="C2349" s="80" t="s">
        <v>39</v>
      </c>
      <c r="D2349" s="73" t="s">
        <v>718</v>
      </c>
      <c r="E2349" s="74">
        <v>1.25E-4</v>
      </c>
      <c r="F2349" s="78" t="s">
        <v>237</v>
      </c>
      <c r="G2349" s="77" t="s">
        <v>621</v>
      </c>
      <c r="H2349" t="str">
        <f>VLOOKUP(D2349,'DETALLE PRECIO INGREDIENTES'!B:B,1,0)</f>
        <v>TOMILLO FRESCO</v>
      </c>
    </row>
    <row r="2350" spans="2:8" hidden="1" x14ac:dyDescent="0.35">
      <c r="B2350" s="80" t="s">
        <v>44</v>
      </c>
      <c r="C2350" s="80" t="s">
        <v>39</v>
      </c>
      <c r="D2350" s="73" t="s">
        <v>370</v>
      </c>
      <c r="E2350" s="74">
        <v>1.875E-4</v>
      </c>
      <c r="F2350" s="78" t="s">
        <v>237</v>
      </c>
      <c r="G2350" s="77" t="s">
        <v>220</v>
      </c>
      <c r="H2350" t="str">
        <f>VLOOKUP(D2350,'DETALLE PRECIO INGREDIENTES'!B:B,1,0)</f>
        <v>LAUREL</v>
      </c>
    </row>
    <row r="2351" spans="2:8" hidden="1" x14ac:dyDescent="0.35">
      <c r="B2351" s="80" t="s">
        <v>44</v>
      </c>
      <c r="C2351" s="80" t="s">
        <v>39</v>
      </c>
      <c r="D2351" s="73" t="s">
        <v>628</v>
      </c>
      <c r="E2351" s="74">
        <v>1.5625000000000001E-3</v>
      </c>
      <c r="F2351" s="78" t="s">
        <v>259</v>
      </c>
      <c r="G2351" s="77" t="s">
        <v>621</v>
      </c>
      <c r="H2351" t="str">
        <f>VLOOKUP(D2351,'DETALLE PRECIO INGREDIENTES'!B:B,1,0)</f>
        <v>AJO CABEZA</v>
      </c>
    </row>
    <row r="2352" spans="2:8" hidden="1" x14ac:dyDescent="0.35">
      <c r="B2352" s="80" t="s">
        <v>44</v>
      </c>
      <c r="C2352" s="80" t="s">
        <v>39</v>
      </c>
      <c r="D2352" s="73" t="s">
        <v>294</v>
      </c>
      <c r="E2352" s="74">
        <v>3.125E-2</v>
      </c>
      <c r="F2352" s="78" t="s">
        <v>237</v>
      </c>
      <c r="G2352" s="77" t="s">
        <v>220</v>
      </c>
      <c r="H2352" t="str">
        <f>VLOOKUP(D2352,'DETALLE PRECIO INGREDIENTES'!B:B,1,0)</f>
        <v>CARBON DE ESPINO</v>
      </c>
    </row>
    <row r="2353" spans="2:8" hidden="1" x14ac:dyDescent="0.35">
      <c r="B2353" s="80" t="s">
        <v>44</v>
      </c>
      <c r="C2353" s="80" t="s">
        <v>39</v>
      </c>
      <c r="D2353" s="73" t="s">
        <v>540</v>
      </c>
      <c r="E2353" s="74">
        <v>7.4999999999999997E-2</v>
      </c>
      <c r="F2353" s="78" t="s">
        <v>237</v>
      </c>
      <c r="G2353" s="77" t="s">
        <v>525</v>
      </c>
      <c r="H2353" t="str">
        <f>VLOOKUP(D2353,'DETALLE PRECIO INGREDIENTES'!B:B,1,0)</f>
        <v>CERDO SOLOMILLO</v>
      </c>
    </row>
    <row r="2354" spans="2:8" hidden="1" x14ac:dyDescent="0.35">
      <c r="B2354" s="80" t="s">
        <v>44</v>
      </c>
      <c r="C2354" s="80" t="s">
        <v>39</v>
      </c>
      <c r="D2354" s="73" t="s">
        <v>532</v>
      </c>
      <c r="E2354" s="74">
        <v>0.11562500000000001</v>
      </c>
      <c r="F2354" s="78" t="s">
        <v>237</v>
      </c>
      <c r="G2354" s="77" t="s">
        <v>525</v>
      </c>
      <c r="H2354" t="str">
        <f>VLOOKUP(D2354,'DETALLE PRECIO INGREDIENTES'!B:B,1,0)</f>
        <v>CERDO GRASA/TOCINO BLANCO</v>
      </c>
    </row>
    <row r="2355" spans="2:8" hidden="1" x14ac:dyDescent="0.35">
      <c r="B2355" s="80" t="s">
        <v>44</v>
      </c>
      <c r="C2355" s="80" t="s">
        <v>39</v>
      </c>
      <c r="D2355" s="73" t="s">
        <v>873</v>
      </c>
      <c r="E2355" s="74">
        <v>4.4374999999999998E-2</v>
      </c>
      <c r="F2355" s="78" t="s">
        <v>237</v>
      </c>
      <c r="G2355" s="77" t="s">
        <v>852</v>
      </c>
      <c r="H2355" t="str">
        <f>VLOOKUP(D2355,'DETALLE PRECIO INGREDIENTES'!B:B,1,0)</f>
        <v>VACUNO POSTA ROSADA</v>
      </c>
    </row>
    <row r="2356" spans="2:8" hidden="1" x14ac:dyDescent="0.35">
      <c r="B2356" s="80" t="s">
        <v>44</v>
      </c>
      <c r="C2356" s="80" t="s">
        <v>39</v>
      </c>
      <c r="D2356" s="73" t="s">
        <v>248</v>
      </c>
      <c r="E2356" s="74">
        <v>6.2500000000000001E-4</v>
      </c>
      <c r="F2356" s="78" t="s">
        <v>237</v>
      </c>
      <c r="G2356" s="77" t="s">
        <v>220</v>
      </c>
      <c r="H2356" t="str">
        <f>VLOOKUP(D2356,'DETALLE PRECIO INGREDIENTES'!B:B,1,0)</f>
        <v>AJI DE COLOR</v>
      </c>
    </row>
    <row r="2357" spans="2:8" hidden="1" x14ac:dyDescent="0.35">
      <c r="B2357" s="80" t="s">
        <v>44</v>
      </c>
      <c r="C2357" s="80" t="s">
        <v>39</v>
      </c>
      <c r="D2357" s="73" t="s">
        <v>428</v>
      </c>
      <c r="E2357" s="74">
        <v>2.5000000000000001E-4</v>
      </c>
      <c r="F2357" s="78" t="s">
        <v>237</v>
      </c>
      <c r="G2357" s="77" t="s">
        <v>220</v>
      </c>
      <c r="H2357" t="str">
        <f>VLOOKUP(D2357,'DETALLE PRECIO INGREDIENTES'!B:B,1,0)</f>
        <v>PIMIENTA NEGRA MOLIDA</v>
      </c>
    </row>
    <row r="2358" spans="2:8" hidden="1" x14ac:dyDescent="0.35">
      <c r="B2358" s="80" t="s">
        <v>44</v>
      </c>
      <c r="C2358" s="80" t="s">
        <v>39</v>
      </c>
      <c r="D2358" s="73" t="s">
        <v>309</v>
      </c>
      <c r="E2358" s="74">
        <v>2.5000000000000001E-4</v>
      </c>
      <c r="F2358" s="78" t="s">
        <v>237</v>
      </c>
      <c r="G2358" s="77" t="s">
        <v>220</v>
      </c>
      <c r="H2358" t="str">
        <f>VLOOKUP(D2358,'DETALLE PRECIO INGREDIENTES'!B:B,1,0)</f>
        <v>COMINO MOLIDO</v>
      </c>
    </row>
    <row r="2359" spans="2:8" hidden="1" x14ac:dyDescent="0.35">
      <c r="B2359" s="80" t="s">
        <v>44</v>
      </c>
      <c r="C2359" s="80" t="s">
        <v>39</v>
      </c>
      <c r="D2359" s="73" t="s">
        <v>254</v>
      </c>
      <c r="E2359" s="74">
        <v>1.5875E-2</v>
      </c>
      <c r="F2359" s="78" t="s">
        <v>237</v>
      </c>
      <c r="G2359" s="77" t="s">
        <v>220</v>
      </c>
      <c r="H2359" t="str">
        <f>VLOOKUP(D2359,'DETALLE PRECIO INGREDIENTES'!B:B,1,0)</f>
        <v>AJO EN POLVO</v>
      </c>
    </row>
    <row r="2360" spans="2:8" hidden="1" x14ac:dyDescent="0.35">
      <c r="B2360" s="80" t="s">
        <v>44</v>
      </c>
      <c r="C2360" s="80" t="s">
        <v>39</v>
      </c>
      <c r="D2360" s="73" t="s">
        <v>407</v>
      </c>
      <c r="E2360" s="74">
        <v>2.5000000000000001E-4</v>
      </c>
      <c r="F2360" s="78" t="s">
        <v>237</v>
      </c>
      <c r="G2360" s="77" t="s">
        <v>220</v>
      </c>
      <c r="H2360" t="str">
        <f>VLOOKUP(D2360,'DETALLE PRECIO INGREDIENTES'!B:B,1,0)</f>
        <v>OREGANO SECO</v>
      </c>
    </row>
    <row r="2361" spans="2:8" hidden="1" x14ac:dyDescent="0.35">
      <c r="B2361" s="80" t="s">
        <v>44</v>
      </c>
      <c r="C2361" s="80" t="s">
        <v>39</v>
      </c>
      <c r="D2361" s="73" t="s">
        <v>547</v>
      </c>
      <c r="E2361" s="74">
        <v>3.3750000000000002E-2</v>
      </c>
      <c r="F2361" s="78" t="s">
        <v>237</v>
      </c>
      <c r="G2361" s="77" t="s">
        <v>525</v>
      </c>
      <c r="H2361" t="str">
        <f>VLOOKUP(D2361,'DETALLE PRECIO INGREDIENTES'!B:B,1,0)</f>
        <v>TRIPAS DE CERDO FRESCA</v>
      </c>
    </row>
    <row r="2362" spans="2:8" hidden="1" x14ac:dyDescent="0.35">
      <c r="B2362" s="80" t="s">
        <v>44</v>
      </c>
      <c r="C2362" s="80" t="s">
        <v>39</v>
      </c>
      <c r="D2362" s="73" t="s">
        <v>536</v>
      </c>
      <c r="E2362" s="74">
        <v>8.4375000000000006E-2</v>
      </c>
      <c r="F2362" s="78" t="s">
        <v>237</v>
      </c>
      <c r="G2362" s="77" t="s">
        <v>525</v>
      </c>
      <c r="H2362" t="str">
        <f>VLOOKUP(D2362,'DETALLE PRECIO INGREDIENTES'!B:B,1,0)</f>
        <v>CERDO PALETA DESHUESADA</v>
      </c>
    </row>
    <row r="2363" spans="2:8" hidden="1" x14ac:dyDescent="0.35">
      <c r="B2363" s="80" t="s">
        <v>44</v>
      </c>
      <c r="C2363" s="80" t="s">
        <v>39</v>
      </c>
      <c r="D2363" s="73" t="s">
        <v>425</v>
      </c>
      <c r="E2363" s="74">
        <v>6.2500000000000001E-4</v>
      </c>
      <c r="F2363" s="78" t="s">
        <v>237</v>
      </c>
      <c r="G2363" s="77" t="s">
        <v>220</v>
      </c>
      <c r="H2363" t="str">
        <f>VLOOKUP(D2363,'DETALLE PRECIO INGREDIENTES'!B:B,1,0)</f>
        <v>PIMIENTA BLANCA MOLIDA</v>
      </c>
    </row>
    <row r="2364" spans="2:8" hidden="1" x14ac:dyDescent="0.35">
      <c r="B2364" s="80" t="s">
        <v>44</v>
      </c>
      <c r="C2364" s="80" t="s">
        <v>39</v>
      </c>
      <c r="D2364" s="73" t="s">
        <v>368</v>
      </c>
      <c r="E2364" s="74">
        <v>3.1250000000000001E-4</v>
      </c>
      <c r="F2364" s="78" t="s">
        <v>237</v>
      </c>
      <c r="G2364" s="77" t="s">
        <v>220</v>
      </c>
      <c r="H2364" t="str">
        <f>VLOOKUP(D2364,'DETALLE PRECIO INGREDIENTES'!B:B,1,0)</f>
        <v>JENGIBRE MOLIDO</v>
      </c>
    </row>
    <row r="2365" spans="2:8" hidden="1" x14ac:dyDescent="0.35">
      <c r="B2365" s="80" t="s">
        <v>44</v>
      </c>
      <c r="C2365" s="80" t="s">
        <v>39</v>
      </c>
      <c r="D2365" s="73" t="s">
        <v>405</v>
      </c>
      <c r="E2365" s="74">
        <v>4.3750000000000001E-4</v>
      </c>
      <c r="F2365" s="78" t="s">
        <v>237</v>
      </c>
      <c r="G2365" s="77" t="s">
        <v>220</v>
      </c>
      <c r="H2365" t="str">
        <f>VLOOKUP(D2365,'DETALLE PRECIO INGREDIENTES'!B:B,1,0)</f>
        <v>NUEZ MOSCADA MOLIDA</v>
      </c>
    </row>
    <row r="2366" spans="2:8" hidden="1" x14ac:dyDescent="0.35">
      <c r="B2366" s="80" t="s">
        <v>44</v>
      </c>
      <c r="C2366" s="80" t="s">
        <v>39</v>
      </c>
      <c r="D2366" s="73" t="s">
        <v>729</v>
      </c>
      <c r="E2366" s="74">
        <v>0.5625</v>
      </c>
      <c r="F2366" s="78" t="s">
        <v>259</v>
      </c>
      <c r="G2366" s="77" t="s">
        <v>728</v>
      </c>
      <c r="H2366" t="str">
        <f>VLOOKUP(D2366,'DETALLE PRECIO INGREDIENTES'!B:B,1,0)</f>
        <v>HUEVO EXTRA BLANCO</v>
      </c>
    </row>
    <row r="2367" spans="2:8" hidden="1" x14ac:dyDescent="0.35">
      <c r="B2367" s="80" t="s">
        <v>44</v>
      </c>
      <c r="C2367" s="80" t="s">
        <v>39</v>
      </c>
      <c r="D2367" s="73" t="s">
        <v>739</v>
      </c>
      <c r="E2367" s="74">
        <v>1.9375E-2</v>
      </c>
      <c r="F2367" s="78" t="s">
        <v>222</v>
      </c>
      <c r="G2367" s="77" t="s">
        <v>736</v>
      </c>
      <c r="H2367" t="str">
        <f>VLOOKUP(D2367,'DETALLE PRECIO INGREDIENTES'!B:B,1,0)</f>
        <v>CREMA DE LECHE</v>
      </c>
    </row>
    <row r="2368" spans="2:8" hidden="1" x14ac:dyDescent="0.35">
      <c r="B2368" s="80" t="s">
        <v>44</v>
      </c>
      <c r="C2368" s="80" t="s">
        <v>39</v>
      </c>
      <c r="D2368" s="73" t="s">
        <v>843</v>
      </c>
      <c r="E2368" s="74">
        <v>0.05</v>
      </c>
      <c r="F2368" s="78" t="s">
        <v>237</v>
      </c>
      <c r="G2368" s="77" t="s">
        <v>839</v>
      </c>
      <c r="H2368" t="str">
        <f>VLOOKUP(D2368,'DETALLE PRECIO INGREDIENTES'!B:B,1,0)</f>
        <v>POLLO PECHUGA S/HUESO</v>
      </c>
    </row>
    <row r="2369" spans="2:8" hidden="1" x14ac:dyDescent="0.35">
      <c r="B2369" s="80" t="s">
        <v>44</v>
      </c>
      <c r="C2369" s="80" t="s">
        <v>39</v>
      </c>
      <c r="D2369" s="73" t="s">
        <v>539</v>
      </c>
      <c r="E2369" s="74">
        <v>0.05</v>
      </c>
      <c r="F2369" s="78" t="s">
        <v>237</v>
      </c>
      <c r="G2369" s="77" t="s">
        <v>525</v>
      </c>
      <c r="H2369" t="str">
        <f>VLOOKUP(D2369,'DETALLE PRECIO INGREDIENTES'!B:B,1,0)</f>
        <v>CERDO PULPA SIN HUESO</v>
      </c>
    </row>
    <row r="2370" spans="2:8" hidden="1" x14ac:dyDescent="0.35">
      <c r="B2370" s="80" t="s">
        <v>44</v>
      </c>
      <c r="C2370" s="80" t="s">
        <v>39</v>
      </c>
      <c r="D2370" s="73" t="s">
        <v>295</v>
      </c>
      <c r="E2370" s="74">
        <v>3.7500000000000001E-4</v>
      </c>
      <c r="F2370" s="78" t="s">
        <v>237</v>
      </c>
      <c r="G2370" s="77" t="s">
        <v>220</v>
      </c>
      <c r="H2370" t="str">
        <f>VLOOKUP(D2370,'DETALLE PRECIO INGREDIENTES'!B:B,1,0)</f>
        <v>CEBOLLA EN POLVO</v>
      </c>
    </row>
    <row r="2371" spans="2:8" hidden="1" x14ac:dyDescent="0.35">
      <c r="B2371" s="80" t="s">
        <v>44</v>
      </c>
      <c r="C2371" s="80" t="s">
        <v>39</v>
      </c>
      <c r="D2371" s="73" t="s">
        <v>698</v>
      </c>
      <c r="E2371" s="74">
        <v>1.25E-4</v>
      </c>
      <c r="F2371" s="78" t="s">
        <v>237</v>
      </c>
      <c r="G2371" s="77" t="s">
        <v>621</v>
      </c>
      <c r="H2371" t="str">
        <f>VLOOKUP(D2371,'DETALLE PRECIO INGREDIENTES'!B:B,1,0)</f>
        <v>PEREJIL</v>
      </c>
    </row>
    <row r="2372" spans="2:8" hidden="1" x14ac:dyDescent="0.35">
      <c r="B2372" s="80" t="s">
        <v>44</v>
      </c>
      <c r="C2372" s="80" t="s">
        <v>39</v>
      </c>
      <c r="D2372" s="73" t="s">
        <v>744</v>
      </c>
      <c r="E2372" s="74">
        <v>1.875E-4</v>
      </c>
      <c r="F2372" s="78" t="s">
        <v>222</v>
      </c>
      <c r="G2372" s="77" t="s">
        <v>736</v>
      </c>
      <c r="H2372" t="str">
        <f>VLOOKUP(D2372,'DETALLE PRECIO INGREDIENTES'!B:B,1,0)</f>
        <v>LECHE DESCREMADA</v>
      </c>
    </row>
    <row r="2373" spans="2:8" hidden="1" x14ac:dyDescent="0.35">
      <c r="B2373" s="80" t="s">
        <v>44</v>
      </c>
      <c r="C2373" s="80" t="s">
        <v>39</v>
      </c>
      <c r="D2373" s="73" t="s">
        <v>398</v>
      </c>
      <c r="E2373" s="74">
        <v>1.3749999999999999E-3</v>
      </c>
      <c r="F2373" s="78" t="s">
        <v>237</v>
      </c>
      <c r="G2373" s="77" t="s">
        <v>220</v>
      </c>
      <c r="H2373" t="str">
        <f>VLOOKUP(D2373,'DETALLE PRECIO INGREDIENTES'!B:B,1,0)</f>
        <v>MOSTAZA DIJON</v>
      </c>
    </row>
    <row r="2374" spans="2:8" hidden="1" x14ac:dyDescent="0.35">
      <c r="B2374" s="80" t="s">
        <v>44</v>
      </c>
      <c r="C2374" s="80" t="s">
        <v>39</v>
      </c>
      <c r="D2374" s="73" t="s">
        <v>680</v>
      </c>
      <c r="E2374" s="74">
        <v>1.25E-3</v>
      </c>
      <c r="F2374" s="78" t="s">
        <v>237</v>
      </c>
      <c r="G2374" s="77" t="s">
        <v>621</v>
      </c>
      <c r="H2374" t="str">
        <f>VLOOKUP(D2374,'DETALLE PRECIO INGREDIENTES'!B:B,1,0)</f>
        <v>LIMON DE JUGO</v>
      </c>
    </row>
    <row r="2375" spans="2:8" hidden="1" x14ac:dyDescent="0.35">
      <c r="B2375" s="80" t="s">
        <v>44</v>
      </c>
      <c r="C2375" s="80" t="s">
        <v>39</v>
      </c>
      <c r="D2375" s="73" t="s">
        <v>235</v>
      </c>
      <c r="E2375" s="74">
        <v>2.8750000000000001E-2</v>
      </c>
      <c r="F2375" s="78" t="s">
        <v>222</v>
      </c>
      <c r="G2375" s="77" t="s">
        <v>220</v>
      </c>
      <c r="H2375" t="str">
        <f>VLOOKUP(D2375,'DETALLE PRECIO INGREDIENTES'!B:B,1,0)</f>
        <v>ACEITE VEGETAL</v>
      </c>
    </row>
    <row r="2376" spans="2:8" hidden="1" x14ac:dyDescent="0.35">
      <c r="B2376" s="80" t="s">
        <v>44</v>
      </c>
      <c r="C2376" s="80" t="s">
        <v>39</v>
      </c>
      <c r="D2376" s="73" t="s">
        <v>230</v>
      </c>
      <c r="E2376" s="74">
        <v>3.1250000000000002E-3</v>
      </c>
      <c r="F2376" s="78" t="s">
        <v>222</v>
      </c>
      <c r="G2376" s="77" t="s">
        <v>220</v>
      </c>
      <c r="H2376" t="str">
        <f>VLOOKUP(D2376,'DETALLE PRECIO INGREDIENTES'!B:B,1,0)</f>
        <v>ACEITE DE OLIVA</v>
      </c>
    </row>
    <row r="2377" spans="2:8" hidden="1" x14ac:dyDescent="0.35">
      <c r="B2377" s="80" t="s">
        <v>44</v>
      </c>
      <c r="C2377" s="80" t="s">
        <v>39</v>
      </c>
      <c r="D2377" s="73" t="s">
        <v>656</v>
      </c>
      <c r="E2377" s="74">
        <v>1.25E-3</v>
      </c>
      <c r="F2377" s="78" t="s">
        <v>259</v>
      </c>
      <c r="G2377" s="77" t="s">
        <v>621</v>
      </c>
      <c r="H2377" t="str">
        <f>VLOOKUP(D2377,'DETALLE PRECIO INGREDIENTES'!B:B,1,0)</f>
        <v>CIBOULETTE ATADO</v>
      </c>
    </row>
    <row r="2378" spans="2:8" hidden="1" x14ac:dyDescent="0.35">
      <c r="B2378" s="80" t="s">
        <v>44</v>
      </c>
      <c r="C2378" s="80" t="s">
        <v>39</v>
      </c>
      <c r="D2378" s="73" t="s">
        <v>716</v>
      </c>
      <c r="E2378" s="74">
        <v>6.25E-2</v>
      </c>
      <c r="F2378" s="78" t="s">
        <v>237</v>
      </c>
      <c r="G2378" s="77" t="s">
        <v>621</v>
      </c>
      <c r="H2378" t="str">
        <f>VLOOKUP(D2378,'DETALLE PRECIO INGREDIENTES'!B:B,1,0)</f>
        <v>TOMATE LARGA VIDA</v>
      </c>
    </row>
    <row r="2379" spans="2:8" hidden="1" x14ac:dyDescent="0.35">
      <c r="B2379" s="80" t="s">
        <v>44</v>
      </c>
      <c r="C2379" s="80" t="s">
        <v>39</v>
      </c>
      <c r="D2379" s="73" t="s">
        <v>644</v>
      </c>
      <c r="E2379" s="74">
        <v>1.5625E-2</v>
      </c>
      <c r="F2379" s="78" t="s">
        <v>237</v>
      </c>
      <c r="G2379" s="77" t="s">
        <v>621</v>
      </c>
      <c r="H2379" t="str">
        <f>VLOOKUP(D2379,'DETALLE PRECIO INGREDIENTES'!B:B,1,0)</f>
        <v>CEBOLLA BLANCA</v>
      </c>
    </row>
    <row r="2380" spans="2:8" hidden="1" x14ac:dyDescent="0.35">
      <c r="B2380" s="80" t="s">
        <v>44</v>
      </c>
      <c r="C2380" s="80" t="s">
        <v>39</v>
      </c>
      <c r="D2380" s="73" t="s">
        <v>657</v>
      </c>
      <c r="E2380" s="74">
        <v>6.2500000000000003E-3</v>
      </c>
      <c r="F2380" s="78" t="s">
        <v>237</v>
      </c>
      <c r="G2380" s="77" t="s">
        <v>621</v>
      </c>
      <c r="H2380" t="str">
        <f>VLOOKUP(D2380,'DETALLE PRECIO INGREDIENTES'!B:B,1,0)</f>
        <v>CILANTRO</v>
      </c>
    </row>
    <row r="2381" spans="2:8" hidden="1" x14ac:dyDescent="0.35">
      <c r="B2381" s="80" t="s">
        <v>44</v>
      </c>
      <c r="C2381" s="80" t="s">
        <v>39</v>
      </c>
      <c r="D2381" s="73" t="s">
        <v>627</v>
      </c>
      <c r="E2381" s="74">
        <v>6.2500000000000003E-3</v>
      </c>
      <c r="F2381" s="78" t="s">
        <v>237</v>
      </c>
      <c r="G2381" s="77" t="s">
        <v>621</v>
      </c>
      <c r="H2381" t="str">
        <f>VLOOKUP(D2381,'DETALLE PRECIO INGREDIENTES'!B:B,1,0)</f>
        <v>AJI VERDE</v>
      </c>
    </row>
    <row r="2382" spans="2:8" hidden="1" x14ac:dyDescent="0.35">
      <c r="B2382" s="80" t="s">
        <v>44</v>
      </c>
      <c r="C2382" s="80" t="s">
        <v>39</v>
      </c>
      <c r="D2382" s="73" t="s">
        <v>801</v>
      </c>
      <c r="E2382" s="74">
        <v>0.5</v>
      </c>
      <c r="F2382" s="78" t="s">
        <v>259</v>
      </c>
      <c r="G2382" s="77" t="s">
        <v>795</v>
      </c>
      <c r="H2382" t="str">
        <f>VLOOKUP(D2382,'DETALLE PRECIO INGREDIENTES'!B:B,1,0)</f>
        <v>PAN MARRAQUETA</v>
      </c>
    </row>
    <row r="2383" spans="2:8" hidden="1" x14ac:dyDescent="0.35">
      <c r="B2383" s="80" t="s">
        <v>44</v>
      </c>
      <c r="C2383" s="80" t="s">
        <v>38</v>
      </c>
      <c r="D2383" s="73" t="s">
        <v>842</v>
      </c>
      <c r="E2383" s="74">
        <v>3.7499999999999999E-2</v>
      </c>
      <c r="F2383" s="78" t="s">
        <v>237</v>
      </c>
      <c r="G2383" s="77" t="s">
        <v>839</v>
      </c>
      <c r="H2383" t="str">
        <f>VLOOKUP(D2383,'DETALLE PRECIO INGREDIENTES'!B:B,1,0)</f>
        <v>POLLO PECHUGA ENTERA</v>
      </c>
    </row>
    <row r="2384" spans="2:8" hidden="1" x14ac:dyDescent="0.35">
      <c r="B2384" s="80" t="s">
        <v>44</v>
      </c>
      <c r="C2384" s="80" t="s">
        <v>38</v>
      </c>
      <c r="D2384" s="73" t="s">
        <v>820</v>
      </c>
      <c r="E2384" s="74">
        <v>4.3749999999999997E-2</v>
      </c>
      <c r="F2384" s="78" t="s">
        <v>237</v>
      </c>
      <c r="G2384" s="77" t="s">
        <v>806</v>
      </c>
      <c r="H2384" t="str">
        <f>VLOOKUP(D2384,'DETALLE PRECIO INGREDIENTES'!B:B,1,0)</f>
        <v>CONGRIO FRESCO FILETE</v>
      </c>
    </row>
    <row r="2385" spans="2:8" hidden="1" x14ac:dyDescent="0.35">
      <c r="B2385" s="80" t="s">
        <v>44</v>
      </c>
      <c r="C2385" s="80" t="s">
        <v>38</v>
      </c>
      <c r="D2385" s="73" t="s">
        <v>865</v>
      </c>
      <c r="E2385" s="74">
        <v>7.4999999999999997E-2</v>
      </c>
      <c r="F2385" s="78" t="s">
        <v>237</v>
      </c>
      <c r="G2385" s="77" t="s">
        <v>852</v>
      </c>
      <c r="H2385" t="str">
        <f>VLOOKUP(D2385,'DETALLE PRECIO INGREDIENTES'!B:B,1,0)</f>
        <v>VACUNO LENGUA</v>
      </c>
    </row>
    <row r="2386" spans="2:8" hidden="1" x14ac:dyDescent="0.35">
      <c r="B2386" s="80" t="s">
        <v>44</v>
      </c>
      <c r="C2386" s="80" t="s">
        <v>38</v>
      </c>
      <c r="D2386" s="73" t="s">
        <v>490</v>
      </c>
      <c r="E2386" s="74">
        <v>1.875</v>
      </c>
      <c r="F2386" s="78" t="s">
        <v>259</v>
      </c>
      <c r="G2386" s="77" t="s">
        <v>485</v>
      </c>
      <c r="H2386" t="str">
        <f>VLOOKUP(D2386,'DETALLE PRECIO INGREDIENTES'!B:B,1,0)</f>
        <v>BOLSA PARA SELLADO AL VACIO 25X35 CM</v>
      </c>
    </row>
    <row r="2387" spans="2:8" hidden="1" x14ac:dyDescent="0.35">
      <c r="B2387" s="80" t="s">
        <v>44</v>
      </c>
      <c r="C2387" s="80" t="s">
        <v>38</v>
      </c>
      <c r="D2387" s="73" t="s">
        <v>751</v>
      </c>
      <c r="E2387" s="74">
        <v>7.8750000000000014E-2</v>
      </c>
      <c r="F2387" s="78" t="s">
        <v>237</v>
      </c>
      <c r="G2387" s="77" t="s">
        <v>736</v>
      </c>
      <c r="H2387" t="str">
        <f>VLOOKUP(D2387,'DETALLE PRECIO INGREDIENTES'!B:B,1,0)</f>
        <v>MANTEQUILLA SIN SAL</v>
      </c>
    </row>
    <row r="2388" spans="2:8" hidden="1" x14ac:dyDescent="0.35">
      <c r="B2388" s="80" t="s">
        <v>44</v>
      </c>
      <c r="C2388" s="80" t="s">
        <v>38</v>
      </c>
      <c r="D2388" s="73" t="s">
        <v>443</v>
      </c>
      <c r="E2388" s="74">
        <v>5.6874999999999998E-3</v>
      </c>
      <c r="F2388" s="78" t="s">
        <v>237</v>
      </c>
      <c r="G2388" s="77" t="s">
        <v>220</v>
      </c>
      <c r="H2388" t="str">
        <f>VLOOKUP(D2388,'DETALLE PRECIO INGREDIENTES'!B:B,1,0)</f>
        <v>SAL DE MAR FINA</v>
      </c>
    </row>
    <row r="2389" spans="2:8" hidden="1" x14ac:dyDescent="0.35">
      <c r="B2389" s="80" t="s">
        <v>44</v>
      </c>
      <c r="C2389" s="80" t="s">
        <v>38</v>
      </c>
      <c r="D2389" s="73" t="s">
        <v>428</v>
      </c>
      <c r="E2389" s="74">
        <v>8.7500000000000002E-4</v>
      </c>
      <c r="F2389" s="78" t="s">
        <v>237</v>
      </c>
      <c r="G2389" s="77" t="s">
        <v>220</v>
      </c>
      <c r="H2389" t="str">
        <f>VLOOKUP(D2389,'DETALLE PRECIO INGREDIENTES'!B:B,1,0)</f>
        <v>PIMIENTA NEGRA MOLIDA</v>
      </c>
    </row>
    <row r="2390" spans="2:8" hidden="1" x14ac:dyDescent="0.35">
      <c r="B2390" s="80" t="s">
        <v>44</v>
      </c>
      <c r="C2390" s="80" t="s">
        <v>38</v>
      </c>
      <c r="D2390" s="73" t="s">
        <v>680</v>
      </c>
      <c r="E2390" s="74">
        <v>2E-3</v>
      </c>
      <c r="F2390" s="78" t="s">
        <v>237</v>
      </c>
      <c r="G2390" s="77" t="s">
        <v>621</v>
      </c>
      <c r="H2390" t="str">
        <f>VLOOKUP(D2390,'DETALLE PRECIO INGREDIENTES'!B:B,1,0)</f>
        <v>LIMON DE JUGO</v>
      </c>
    </row>
    <row r="2391" spans="2:8" hidden="1" x14ac:dyDescent="0.35">
      <c r="B2391" s="80" t="s">
        <v>44</v>
      </c>
      <c r="C2391" s="80" t="s">
        <v>38</v>
      </c>
      <c r="D2391" s="73" t="s">
        <v>406</v>
      </c>
      <c r="E2391" s="74">
        <v>6.2500000000000001E-5</v>
      </c>
      <c r="F2391" s="78" t="s">
        <v>237</v>
      </c>
      <c r="G2391" s="77" t="s">
        <v>220</v>
      </c>
      <c r="H2391" t="str">
        <f>VLOOKUP(D2391,'DETALLE PRECIO INGREDIENTES'!B:B,1,0)</f>
        <v>OREGANO FRESCO</v>
      </c>
    </row>
    <row r="2392" spans="2:8" hidden="1" x14ac:dyDescent="0.35">
      <c r="B2392" s="80" t="s">
        <v>44</v>
      </c>
      <c r="C2392" s="80" t="s">
        <v>38</v>
      </c>
      <c r="D2392" s="73" t="s">
        <v>718</v>
      </c>
      <c r="E2392" s="74">
        <v>3.1875000000000002E-3</v>
      </c>
      <c r="F2392" s="78" t="s">
        <v>237</v>
      </c>
      <c r="G2392" s="77" t="s">
        <v>621</v>
      </c>
      <c r="H2392" t="str">
        <f>VLOOKUP(D2392,'DETALLE PRECIO INGREDIENTES'!B:B,1,0)</f>
        <v>TOMILLO FRESCO</v>
      </c>
    </row>
    <row r="2393" spans="2:8" hidden="1" x14ac:dyDescent="0.35">
      <c r="B2393" s="80" t="s">
        <v>44</v>
      </c>
      <c r="C2393" s="80" t="s">
        <v>38</v>
      </c>
      <c r="D2393" s="73" t="s">
        <v>713</v>
      </c>
      <c r="E2393" s="74">
        <v>6.2500000000000001E-5</v>
      </c>
      <c r="F2393" s="78" t="s">
        <v>237</v>
      </c>
      <c r="G2393" s="77" t="s">
        <v>621</v>
      </c>
      <c r="H2393" t="str">
        <f>VLOOKUP(D2393,'DETALLE PRECIO INGREDIENTES'!B:B,1,0)</f>
        <v>SALVIA FRESCA</v>
      </c>
    </row>
    <row r="2394" spans="2:8" hidden="1" x14ac:dyDescent="0.35">
      <c r="B2394" s="80" t="s">
        <v>44</v>
      </c>
      <c r="C2394" s="80" t="s">
        <v>38</v>
      </c>
      <c r="D2394" s="73" t="s">
        <v>711</v>
      </c>
      <c r="E2394" s="74">
        <v>8.8124999999999992E-3</v>
      </c>
      <c r="F2394" s="78" t="s">
        <v>237</v>
      </c>
      <c r="G2394" s="77" t="s">
        <v>621</v>
      </c>
      <c r="H2394" t="str">
        <f>VLOOKUP(D2394,'DETALLE PRECIO INGREDIENTES'!B:B,1,0)</f>
        <v>ROMERO FRESCO EN RAMA</v>
      </c>
    </row>
    <row r="2395" spans="2:8" hidden="1" x14ac:dyDescent="0.35">
      <c r="B2395" s="80" t="s">
        <v>44</v>
      </c>
      <c r="C2395" s="80" t="s">
        <v>38</v>
      </c>
      <c r="D2395" s="73" t="s">
        <v>628</v>
      </c>
      <c r="E2395" s="74">
        <v>0.51749999999999996</v>
      </c>
      <c r="F2395" s="78" t="s">
        <v>259</v>
      </c>
      <c r="G2395" s="77" t="s">
        <v>621</v>
      </c>
      <c r="H2395" t="str">
        <f>VLOOKUP(D2395,'DETALLE PRECIO INGREDIENTES'!B:B,1,0)</f>
        <v>AJO CABEZA</v>
      </c>
    </row>
    <row r="2396" spans="2:8" hidden="1" x14ac:dyDescent="0.35">
      <c r="B2396" s="80" t="s">
        <v>44</v>
      </c>
      <c r="C2396" s="80" t="s">
        <v>38</v>
      </c>
      <c r="D2396" s="73" t="s">
        <v>882</v>
      </c>
      <c r="E2396" s="74">
        <v>0.05</v>
      </c>
      <c r="F2396" s="78" t="s">
        <v>222</v>
      </c>
      <c r="G2396" s="77" t="s">
        <v>876</v>
      </c>
      <c r="H2396" t="str">
        <f>VLOOKUP(D2396,'DETALLE PRECIO INGREDIENTES'!B:B,1,0)</f>
        <v>VINO TINTO TETRA</v>
      </c>
    </row>
    <row r="2397" spans="2:8" hidden="1" x14ac:dyDescent="0.35">
      <c r="B2397" s="80" t="s">
        <v>44</v>
      </c>
      <c r="C2397" s="80" t="s">
        <v>38</v>
      </c>
      <c r="D2397" s="73" t="s">
        <v>835</v>
      </c>
      <c r="E2397" s="74">
        <v>3.125E-2</v>
      </c>
      <c r="F2397" s="78" t="s">
        <v>259</v>
      </c>
      <c r="G2397" s="77" t="s">
        <v>806</v>
      </c>
      <c r="H2397" t="str">
        <f>VLOOKUP(D2397,'DETALLE PRECIO INGREDIENTES'!B:B,1,0)</f>
        <v>PULPO ENTERO</v>
      </c>
    </row>
    <row r="2398" spans="2:8" hidden="1" x14ac:dyDescent="0.35">
      <c r="B2398" s="80" t="s">
        <v>44</v>
      </c>
      <c r="C2398" s="80" t="s">
        <v>38</v>
      </c>
      <c r="D2398" s="73" t="s">
        <v>230</v>
      </c>
      <c r="E2398" s="74">
        <v>1.125E-2</v>
      </c>
      <c r="F2398" s="78" t="s">
        <v>222</v>
      </c>
      <c r="G2398" s="77" t="s">
        <v>220</v>
      </c>
      <c r="H2398" t="str">
        <f>VLOOKUP(D2398,'DETALLE PRECIO INGREDIENTES'!B:B,1,0)</f>
        <v>ACEITE DE OLIVA</v>
      </c>
    </row>
    <row r="2399" spans="2:8" hidden="1" x14ac:dyDescent="0.35">
      <c r="B2399" s="80" t="s">
        <v>44</v>
      </c>
      <c r="C2399" s="80" t="s">
        <v>38</v>
      </c>
      <c r="D2399" s="73" t="s">
        <v>413</v>
      </c>
      <c r="E2399" s="74">
        <v>1.5E-3</v>
      </c>
      <c r="F2399" s="78" t="s">
        <v>237</v>
      </c>
      <c r="G2399" s="77" t="s">
        <v>220</v>
      </c>
      <c r="H2399" t="str">
        <f>VLOOKUP(D2399,'DETALLE PRECIO INGREDIENTES'!B:B,1,0)</f>
        <v>PAPRIKA</v>
      </c>
    </row>
    <row r="2400" spans="2:8" hidden="1" x14ac:dyDescent="0.35">
      <c r="B2400" s="80" t="s">
        <v>44</v>
      </c>
      <c r="C2400" s="80" t="s">
        <v>38</v>
      </c>
      <c r="D2400" s="73" t="s">
        <v>235</v>
      </c>
      <c r="E2400" s="74">
        <v>0.14749999999999999</v>
      </c>
      <c r="F2400" s="78" t="s">
        <v>222</v>
      </c>
      <c r="G2400" s="77" t="s">
        <v>220</v>
      </c>
      <c r="H2400" t="str">
        <f>VLOOKUP(D2400,'DETALLE PRECIO INGREDIENTES'!B:B,1,0)</f>
        <v>ACEITE VEGETAL</v>
      </c>
    </row>
    <row r="2401" spans="2:8" hidden="1" x14ac:dyDescent="0.35">
      <c r="B2401" s="80" t="s">
        <v>44</v>
      </c>
      <c r="C2401" s="80" t="s">
        <v>38</v>
      </c>
      <c r="D2401" s="73" t="s">
        <v>370</v>
      </c>
      <c r="E2401" s="74">
        <v>1.8124999999999999E-3</v>
      </c>
      <c r="F2401" s="78" t="s">
        <v>237</v>
      </c>
      <c r="G2401" s="77" t="s">
        <v>220</v>
      </c>
      <c r="H2401" t="str">
        <f>VLOOKUP(D2401,'DETALLE PRECIO INGREDIENTES'!B:B,1,0)</f>
        <v>LAUREL</v>
      </c>
    </row>
    <row r="2402" spans="2:8" hidden="1" x14ac:dyDescent="0.35">
      <c r="B2402" s="80" t="s">
        <v>44</v>
      </c>
      <c r="C2402" s="80" t="s">
        <v>38</v>
      </c>
      <c r="D2402" s="73" t="s">
        <v>692</v>
      </c>
      <c r="E2402" s="74">
        <v>0.05</v>
      </c>
      <c r="F2402" s="78" t="s">
        <v>237</v>
      </c>
      <c r="G2402" s="77" t="s">
        <v>621</v>
      </c>
      <c r="H2402" t="str">
        <f>VLOOKUP(D2402,'DETALLE PRECIO INGREDIENTES'!B:B,1,0)</f>
        <v>PAPA CAMOTE</v>
      </c>
    </row>
    <row r="2403" spans="2:8" hidden="1" x14ac:dyDescent="0.35">
      <c r="B2403" s="80" t="s">
        <v>44</v>
      </c>
      <c r="C2403" s="80" t="s">
        <v>38</v>
      </c>
      <c r="D2403" s="73" t="s">
        <v>961</v>
      </c>
      <c r="E2403" s="74">
        <v>1.5E-3</v>
      </c>
      <c r="F2403" s="78" t="s">
        <v>237</v>
      </c>
      <c r="G2403" s="77" t="s">
        <v>220</v>
      </c>
      <c r="H2403" t="str">
        <f>VLOOKUP(D2403,'DETALLE PRECIO INGREDIENTES'!B:B,1,0)</f>
        <v>miel</v>
      </c>
    </row>
    <row r="2404" spans="2:8" hidden="1" x14ac:dyDescent="0.35">
      <c r="B2404" s="80" t="s">
        <v>44</v>
      </c>
      <c r="C2404" s="80" t="s">
        <v>38</v>
      </c>
      <c r="D2404" s="73" t="s">
        <v>293</v>
      </c>
      <c r="E2404" s="74">
        <v>1E-3</v>
      </c>
      <c r="F2404" s="78" t="s">
        <v>237</v>
      </c>
      <c r="G2404" s="77" t="s">
        <v>220</v>
      </c>
      <c r="H2404" t="str">
        <f>VLOOKUP(D2404,'DETALLE PRECIO INGREDIENTES'!B:B,1,0)</f>
        <v>CANELA ENTERA</v>
      </c>
    </row>
    <row r="2405" spans="2:8" hidden="1" x14ac:dyDescent="0.35">
      <c r="B2405" s="80" t="s">
        <v>44</v>
      </c>
      <c r="C2405" s="80" t="s">
        <v>38</v>
      </c>
      <c r="D2405" s="73" t="s">
        <v>331</v>
      </c>
      <c r="E2405" s="74">
        <v>1E-3</v>
      </c>
      <c r="F2405" s="78" t="s">
        <v>237</v>
      </c>
      <c r="G2405" s="77" t="s">
        <v>220</v>
      </c>
      <c r="H2405" t="str">
        <f>VLOOKUP(D2405,'DETALLE PRECIO INGREDIENTES'!B:B,1,0)</f>
        <v>ESTRELLA DE ANIS</v>
      </c>
    </row>
    <row r="2406" spans="2:8" hidden="1" x14ac:dyDescent="0.35">
      <c r="B2406" s="80" t="s">
        <v>44</v>
      </c>
      <c r="C2406" s="80" t="s">
        <v>38</v>
      </c>
      <c r="D2406" s="73" t="s">
        <v>425</v>
      </c>
      <c r="E2406" s="74">
        <v>3.7500000000000001E-4</v>
      </c>
      <c r="F2406" s="78" t="s">
        <v>237</v>
      </c>
      <c r="G2406" s="77" t="s">
        <v>220</v>
      </c>
      <c r="H2406" t="str">
        <f>VLOOKUP(D2406,'DETALLE PRECIO INGREDIENTES'!B:B,1,0)</f>
        <v>PIMIENTA BLANCA MOLIDA</v>
      </c>
    </row>
    <row r="2407" spans="2:8" hidden="1" x14ac:dyDescent="0.35">
      <c r="B2407" s="80" t="s">
        <v>44</v>
      </c>
      <c r="C2407" s="80" t="s">
        <v>38</v>
      </c>
      <c r="D2407" s="73" t="s">
        <v>690</v>
      </c>
      <c r="E2407" s="74">
        <v>6.2500000000000001E-4</v>
      </c>
      <c r="F2407" s="78" t="s">
        <v>237</v>
      </c>
      <c r="G2407" s="77" t="s">
        <v>621</v>
      </c>
      <c r="H2407" t="str">
        <f>VLOOKUP(D2407,'DETALLE PRECIO INGREDIENTES'!B:B,1,0)</f>
        <v>NARANJA DE JUGO</v>
      </c>
    </row>
    <row r="2408" spans="2:8" hidden="1" x14ac:dyDescent="0.35">
      <c r="B2408" s="80" t="s">
        <v>44</v>
      </c>
      <c r="C2408" s="80" t="s">
        <v>38</v>
      </c>
      <c r="D2408" s="73" t="s">
        <v>477</v>
      </c>
      <c r="E2408" s="74">
        <v>3.7500000000000003E-3</v>
      </c>
      <c r="F2408" s="78" t="s">
        <v>222</v>
      </c>
      <c r="G2408" s="77" t="s">
        <v>220</v>
      </c>
      <c r="H2408" t="str">
        <f>VLOOKUP(D2408,'DETALLE PRECIO INGREDIENTES'!B:B,1,0)</f>
        <v>VINAGRE TINTO</v>
      </c>
    </row>
    <row r="2409" spans="2:8" hidden="1" x14ac:dyDescent="0.35">
      <c r="B2409" s="80" t="s">
        <v>44</v>
      </c>
      <c r="C2409" s="80" t="s">
        <v>38</v>
      </c>
      <c r="D2409" s="73" t="s">
        <v>693</v>
      </c>
      <c r="E2409" s="74">
        <v>0.05</v>
      </c>
      <c r="F2409" s="78" t="s">
        <v>237</v>
      </c>
      <c r="G2409" s="77" t="s">
        <v>621</v>
      </c>
      <c r="H2409" t="str">
        <f>VLOOKUP(D2409,'DETALLE PRECIO INGREDIENTES'!B:B,1,0)</f>
        <v>PAPA TOPINAMBOUR</v>
      </c>
    </row>
    <row r="2410" spans="2:8" hidden="1" x14ac:dyDescent="0.35">
      <c r="B2410" s="80" t="s">
        <v>44</v>
      </c>
      <c r="C2410" s="80" t="s">
        <v>38</v>
      </c>
      <c r="D2410" s="73" t="s">
        <v>277</v>
      </c>
      <c r="E2410" s="74">
        <v>4.1250000000000002E-3</v>
      </c>
      <c r="F2410" s="78" t="s">
        <v>237</v>
      </c>
      <c r="G2410" s="77" t="s">
        <v>220</v>
      </c>
      <c r="H2410" t="str">
        <f>VLOOKUP(D2410,'DETALLE PRECIO INGREDIENTES'!B:B,1,0)</f>
        <v>AZUCAR BLANCA GRANULADA</v>
      </c>
    </row>
    <row r="2411" spans="2:8" hidden="1" x14ac:dyDescent="0.35">
      <c r="B2411" s="80" t="s">
        <v>44</v>
      </c>
      <c r="C2411" s="80" t="s">
        <v>38</v>
      </c>
      <c r="D2411" s="73" t="s">
        <v>784</v>
      </c>
      <c r="E2411" s="74">
        <v>6.2500000000000001E-4</v>
      </c>
      <c r="F2411" s="78" t="s">
        <v>222</v>
      </c>
      <c r="G2411" s="77" t="s">
        <v>776</v>
      </c>
      <c r="H2411" t="str">
        <f>VLOOKUP(D2411,'DETALLE PRECIO INGREDIENTES'!B:B,1,0)</f>
        <v>MIRIN/LICOR DE ARROZ DULCE</v>
      </c>
    </row>
    <row r="2412" spans="2:8" hidden="1" x14ac:dyDescent="0.35">
      <c r="B2412" s="80" t="s">
        <v>44</v>
      </c>
      <c r="C2412" s="80" t="s">
        <v>38</v>
      </c>
      <c r="D2412" s="73" t="s">
        <v>371</v>
      </c>
      <c r="E2412" s="74">
        <v>1.25E-4</v>
      </c>
      <c r="F2412" s="78" t="s">
        <v>237</v>
      </c>
      <c r="G2412" s="77" t="s">
        <v>220</v>
      </c>
      <c r="H2412" t="str">
        <f>VLOOKUP(D2412,'DETALLE PRECIO INGREDIENTES'!B:B,1,0)</f>
        <v>LECITINA DE SOYA</v>
      </c>
    </row>
    <row r="2413" spans="2:8" hidden="1" x14ac:dyDescent="0.35">
      <c r="B2413" s="80" t="s">
        <v>44</v>
      </c>
      <c r="C2413" s="80" t="s">
        <v>38</v>
      </c>
      <c r="D2413" s="73" t="s">
        <v>878</v>
      </c>
      <c r="E2413" s="74">
        <v>3.125E-2</v>
      </c>
      <c r="F2413" s="78" t="s">
        <v>222</v>
      </c>
      <c r="G2413" s="77" t="s">
        <v>876</v>
      </c>
      <c r="H2413" t="str">
        <f>VLOOKUP(D2413,'DETALLE PRECIO INGREDIENTES'!B:B,1,0)</f>
        <v>VINO BLANCO TETRA PACK</v>
      </c>
    </row>
    <row r="2414" spans="2:8" hidden="1" x14ac:dyDescent="0.35">
      <c r="B2414" s="80" t="s">
        <v>44</v>
      </c>
      <c r="C2414" s="80" t="s">
        <v>38</v>
      </c>
      <c r="D2414" s="73" t="s">
        <v>472</v>
      </c>
      <c r="E2414" s="74">
        <v>3.1250000000000002E-3</v>
      </c>
      <c r="F2414" s="78" t="s">
        <v>222</v>
      </c>
      <c r="G2414" s="77" t="s">
        <v>220</v>
      </c>
      <c r="H2414" t="str">
        <f>VLOOKUP(D2414,'DETALLE PRECIO INGREDIENTES'!B:B,1,0)</f>
        <v>VINAGRE BLANCO</v>
      </c>
    </row>
    <row r="2415" spans="2:8" hidden="1" x14ac:dyDescent="0.35">
      <c r="B2415" s="80" t="s">
        <v>44</v>
      </c>
      <c r="C2415" s="80" t="s">
        <v>38</v>
      </c>
      <c r="D2415" s="73" t="s">
        <v>649</v>
      </c>
      <c r="E2415" s="74">
        <v>7.4999999999999997E-3</v>
      </c>
      <c r="F2415" s="78" t="s">
        <v>259</v>
      </c>
      <c r="G2415" s="77" t="s">
        <v>621</v>
      </c>
      <c r="H2415" t="str">
        <f>VLOOKUP(D2415,'DETALLE PRECIO INGREDIENTES'!B:B,1,0)</f>
        <v>CHALOTA</v>
      </c>
    </row>
    <row r="2416" spans="2:8" hidden="1" x14ac:dyDescent="0.35">
      <c r="B2416" s="80" t="s">
        <v>44</v>
      </c>
      <c r="C2416" s="80" t="s">
        <v>38</v>
      </c>
      <c r="D2416" s="73" t="s">
        <v>427</v>
      </c>
      <c r="E2416" s="74">
        <v>5.0000000000000001E-4</v>
      </c>
      <c r="F2416" s="78" t="s">
        <v>237</v>
      </c>
      <c r="G2416" s="77" t="s">
        <v>220</v>
      </c>
      <c r="H2416" t="str">
        <f>VLOOKUP(D2416,'DETALLE PRECIO INGREDIENTES'!B:B,1,0)</f>
        <v>PIMIENTA NEGRA ENTERA</v>
      </c>
    </row>
    <row r="2417" spans="2:8" hidden="1" x14ac:dyDescent="0.35">
      <c r="B2417" s="80" t="s">
        <v>44</v>
      </c>
      <c r="C2417" s="80" t="s">
        <v>38</v>
      </c>
      <c r="D2417" s="73" t="s">
        <v>638</v>
      </c>
      <c r="E2417" s="74">
        <v>7.4999999999999997E-2</v>
      </c>
      <c r="F2417" s="78" t="s">
        <v>259</v>
      </c>
      <c r="G2417" s="77" t="s">
        <v>621</v>
      </c>
      <c r="H2417" t="str">
        <f>VLOOKUP(D2417,'DETALLE PRECIO INGREDIENTES'!B:B,1,0)</f>
        <v>BERENJENA</v>
      </c>
    </row>
    <row r="2418" spans="2:8" hidden="1" x14ac:dyDescent="0.35">
      <c r="B2418" s="80" t="s">
        <v>44</v>
      </c>
      <c r="C2418" s="80" t="s">
        <v>38</v>
      </c>
      <c r="D2418" s="73" t="s">
        <v>309</v>
      </c>
      <c r="E2418" s="74">
        <v>1.25E-4</v>
      </c>
      <c r="F2418" s="78" t="s">
        <v>237</v>
      </c>
      <c r="G2418" s="77" t="s">
        <v>220</v>
      </c>
      <c r="H2418" t="str">
        <f>VLOOKUP(D2418,'DETALLE PRECIO INGREDIENTES'!B:B,1,0)</f>
        <v>COMINO MOLIDO</v>
      </c>
    </row>
    <row r="2419" spans="2:8" hidden="1" x14ac:dyDescent="0.35">
      <c r="B2419" s="80" t="s">
        <v>44</v>
      </c>
      <c r="C2419" s="80" t="s">
        <v>38</v>
      </c>
      <c r="D2419" s="73" t="s">
        <v>707</v>
      </c>
      <c r="E2419" s="74">
        <v>7.4999999999999997E-2</v>
      </c>
      <c r="F2419" s="78" t="s">
        <v>259</v>
      </c>
      <c r="G2419" s="77" t="s">
        <v>621</v>
      </c>
      <c r="H2419" t="str">
        <f>VLOOKUP(D2419,'DETALLE PRECIO INGREDIENTES'!B:B,1,0)</f>
        <v>PUERROS</v>
      </c>
    </row>
    <row r="2420" spans="2:8" hidden="1" x14ac:dyDescent="0.35">
      <c r="B2420" s="80" t="s">
        <v>44</v>
      </c>
      <c r="C2420" s="80" t="s">
        <v>38</v>
      </c>
      <c r="D2420" s="73" t="s">
        <v>387</v>
      </c>
      <c r="E2420" s="74">
        <v>2.5000000000000001E-4</v>
      </c>
      <c r="F2420" s="78" t="s">
        <v>237</v>
      </c>
      <c r="G2420" s="77" t="s">
        <v>220</v>
      </c>
      <c r="H2420" t="str">
        <f>VLOOKUP(D2420,'DETALLE PRECIO INGREDIENTES'!B:B,1,0)</f>
        <v>MERKEN</v>
      </c>
    </row>
    <row r="2421" spans="2:8" hidden="1" x14ac:dyDescent="0.35">
      <c r="B2421" s="80" t="s">
        <v>44</v>
      </c>
      <c r="C2421" s="80" t="s">
        <v>38</v>
      </c>
      <c r="D2421" s="73" t="s">
        <v>411</v>
      </c>
      <c r="E2421" s="74">
        <v>4.3749999999999997E-2</v>
      </c>
      <c r="F2421" s="78" t="s">
        <v>237</v>
      </c>
      <c r="G2421" s="77" t="s">
        <v>621</v>
      </c>
      <c r="H2421" t="str">
        <f>VLOOKUP(D2421,'DETALLE PRECIO INGREDIENTES'!B:B,1,0)</f>
        <v>PAPAS</v>
      </c>
    </row>
    <row r="2422" spans="2:8" hidden="1" x14ac:dyDescent="0.35">
      <c r="B2422" s="80" t="s">
        <v>44</v>
      </c>
      <c r="C2422" s="80" t="s">
        <v>38</v>
      </c>
      <c r="D2422" s="73" t="s">
        <v>635</v>
      </c>
      <c r="E2422" s="74">
        <v>0.03</v>
      </c>
      <c r="F2422" s="78" t="s">
        <v>237</v>
      </c>
      <c r="G2422" s="77" t="s">
        <v>621</v>
      </c>
      <c r="H2422" t="str">
        <f>VLOOKUP(D2422,'DETALLE PRECIO INGREDIENTES'!B:B,1,0)</f>
        <v>ARVEJAS CONGELADAS</v>
      </c>
    </row>
    <row r="2423" spans="2:8" hidden="1" x14ac:dyDescent="0.35">
      <c r="B2423" s="80" t="s">
        <v>44</v>
      </c>
      <c r="C2423" s="80" t="s">
        <v>38</v>
      </c>
      <c r="D2423" s="73" t="s">
        <v>748</v>
      </c>
      <c r="E2423" s="74">
        <v>1.2500000000000001E-2</v>
      </c>
      <c r="F2423" s="78" t="s">
        <v>222</v>
      </c>
      <c r="G2423" s="77" t="s">
        <v>736</v>
      </c>
      <c r="H2423" t="str">
        <f>VLOOKUP(D2423,'DETALLE PRECIO INGREDIENTES'!B:B,1,0)</f>
        <v>LECHE ENTERA</v>
      </c>
    </row>
    <row r="2424" spans="2:8" hidden="1" x14ac:dyDescent="0.35">
      <c r="B2424" s="80" t="s">
        <v>44</v>
      </c>
      <c r="C2424" s="80" t="s">
        <v>38</v>
      </c>
      <c r="D2424" s="73" t="s">
        <v>659</v>
      </c>
      <c r="E2424" s="74">
        <v>0.1125</v>
      </c>
      <c r="F2424" s="78" t="s">
        <v>259</v>
      </c>
      <c r="G2424" s="77" t="s">
        <v>621</v>
      </c>
      <c r="H2424" t="str">
        <f>VLOOKUP(D2424,'DETALLE PRECIO INGREDIENTES'!B:B,1,0)</f>
        <v>COLIFLOR</v>
      </c>
    </row>
    <row r="2425" spans="2:8" hidden="1" x14ac:dyDescent="0.35">
      <c r="B2425" s="80" t="s">
        <v>44</v>
      </c>
      <c r="C2425" s="80" t="s">
        <v>38</v>
      </c>
      <c r="D2425" s="73" t="s">
        <v>739</v>
      </c>
      <c r="E2425" s="74">
        <v>0.01</v>
      </c>
      <c r="F2425" s="78" t="s">
        <v>222</v>
      </c>
      <c r="G2425" s="77" t="s">
        <v>736</v>
      </c>
      <c r="H2425" t="str">
        <f>VLOOKUP(D2425,'DETALLE PRECIO INGREDIENTES'!B:B,1,0)</f>
        <v>CREMA DE LECHE</v>
      </c>
    </row>
    <row r="2426" spans="2:8" hidden="1" x14ac:dyDescent="0.35">
      <c r="B2426" s="80" t="s">
        <v>44</v>
      </c>
      <c r="C2426" s="80" t="s">
        <v>38</v>
      </c>
      <c r="D2426" s="73" t="s">
        <v>665</v>
      </c>
      <c r="E2426" s="74">
        <v>9.375E-2</v>
      </c>
      <c r="F2426" s="78" t="s">
        <v>237</v>
      </c>
      <c r="G2426" s="77" t="s">
        <v>621</v>
      </c>
      <c r="H2426" t="str">
        <f>VLOOKUP(D2426,'DETALLE PRECIO INGREDIENTES'!B:B,1,0)</f>
        <v>ESPINACA</v>
      </c>
    </row>
    <row r="2427" spans="2:8" hidden="1" x14ac:dyDescent="0.35">
      <c r="B2427" s="80" t="s">
        <v>44</v>
      </c>
      <c r="C2427" s="80" t="s">
        <v>38</v>
      </c>
      <c r="D2427" s="73" t="s">
        <v>657</v>
      </c>
      <c r="E2427" s="74">
        <v>9.3749999999999997E-3</v>
      </c>
      <c r="F2427" s="78" t="s">
        <v>237</v>
      </c>
      <c r="G2427" s="77" t="s">
        <v>621</v>
      </c>
      <c r="H2427" t="str">
        <f>VLOOKUP(D2427,'DETALLE PRECIO INGREDIENTES'!B:B,1,0)</f>
        <v>CILANTRO</v>
      </c>
    </row>
    <row r="2428" spans="2:8" hidden="1" x14ac:dyDescent="0.35">
      <c r="B2428" s="80" t="s">
        <v>44</v>
      </c>
      <c r="C2428" s="80" t="s">
        <v>38</v>
      </c>
      <c r="D2428" s="73" t="s">
        <v>629</v>
      </c>
      <c r="E2428" s="74">
        <v>9.3749999999999997E-3</v>
      </c>
      <c r="F2428" s="78" t="s">
        <v>237</v>
      </c>
      <c r="G2428" s="77" t="s">
        <v>621</v>
      </c>
      <c r="H2428" t="str">
        <f>VLOOKUP(D2428,'DETALLE PRECIO INGREDIENTES'!B:B,1,0)</f>
        <v>ALBAHACA FRESCA</v>
      </c>
    </row>
    <row r="2429" spans="2:8" hidden="1" x14ac:dyDescent="0.35">
      <c r="B2429" s="80" t="s">
        <v>44</v>
      </c>
      <c r="C2429" s="80" t="s">
        <v>38</v>
      </c>
      <c r="D2429" s="73" t="s">
        <v>625</v>
      </c>
      <c r="E2429" s="74">
        <v>1.5625E-2</v>
      </c>
      <c r="F2429" s="78" t="s">
        <v>259</v>
      </c>
      <c r="G2429" s="77" t="s">
        <v>621</v>
      </c>
      <c r="H2429" t="str">
        <f>VLOOKUP(D2429,'DETALLE PRECIO INGREDIENTES'!B:B,1,0)</f>
        <v>AJI CACHO DE CABRA FRESCO</v>
      </c>
    </row>
    <row r="2430" spans="2:8" hidden="1" x14ac:dyDescent="0.35">
      <c r="B2430" s="80" t="s">
        <v>44</v>
      </c>
      <c r="C2430" s="80" t="s">
        <v>38</v>
      </c>
      <c r="D2430" s="73" t="s">
        <v>675</v>
      </c>
      <c r="E2430" s="74">
        <v>1E-3</v>
      </c>
      <c r="F2430" s="78" t="s">
        <v>237</v>
      </c>
      <c r="G2430" s="77" t="s">
        <v>621</v>
      </c>
      <c r="H2430" t="str">
        <f>VLOOKUP(D2430,'DETALLE PRECIO INGREDIENTES'!B:B,1,0)</f>
        <v>JENGIBRE</v>
      </c>
    </row>
    <row r="2431" spans="2:8" hidden="1" x14ac:dyDescent="0.35">
      <c r="B2431" s="80" t="s">
        <v>44</v>
      </c>
      <c r="C2431" s="80" t="s">
        <v>38</v>
      </c>
      <c r="D2431" s="73" t="s">
        <v>241</v>
      </c>
      <c r="E2431" s="74">
        <v>6.2500000000000001E-5</v>
      </c>
      <c r="F2431" s="78" t="s">
        <v>237</v>
      </c>
      <c r="G2431" s="77" t="s">
        <v>220</v>
      </c>
      <c r="H2431" t="str">
        <f>VLOOKUP(D2431,'DETALLE PRECIO INGREDIENTES'!B:B,1,0)</f>
        <v>ACIDO ASCORBICO</v>
      </c>
    </row>
    <row r="2432" spans="2:8" hidden="1" x14ac:dyDescent="0.35">
      <c r="B2432" s="80" t="s">
        <v>44</v>
      </c>
      <c r="C2432" s="80" t="s">
        <v>38</v>
      </c>
      <c r="D2432" s="73" t="s">
        <v>683</v>
      </c>
      <c r="E2432" s="74">
        <v>6.25E-2</v>
      </c>
      <c r="F2432" s="78" t="s">
        <v>237</v>
      </c>
      <c r="G2432" s="77" t="s">
        <v>621</v>
      </c>
      <c r="H2432" t="str">
        <f>VLOOKUP(D2432,'DETALLE PRECIO INGREDIENTES'!B:B,1,0)</f>
        <v>MANZANA ROJA</v>
      </c>
    </row>
    <row r="2433" spans="2:8" hidden="1" x14ac:dyDescent="0.35">
      <c r="B2433" s="80" t="s">
        <v>44</v>
      </c>
      <c r="C2433" s="80" t="s">
        <v>40</v>
      </c>
      <c r="D2433" s="73" t="s">
        <v>644</v>
      </c>
      <c r="E2433" s="74">
        <v>1.8375000000000002E-2</v>
      </c>
      <c r="F2433" s="78" t="s">
        <v>237</v>
      </c>
      <c r="G2433" s="77" t="s">
        <v>621</v>
      </c>
      <c r="H2433" t="str">
        <f>VLOOKUP(D2433,'DETALLE PRECIO INGREDIENTES'!B:B,1,0)</f>
        <v>CEBOLLA BLANCA</v>
      </c>
    </row>
    <row r="2434" spans="2:8" hidden="1" x14ac:dyDescent="0.35">
      <c r="B2434" s="80" t="s">
        <v>44</v>
      </c>
      <c r="C2434" s="80" t="s">
        <v>40</v>
      </c>
      <c r="D2434" s="73" t="s">
        <v>651</v>
      </c>
      <c r="E2434" s="74">
        <v>1.6750000000000001E-2</v>
      </c>
      <c r="F2434" s="78" t="s">
        <v>237</v>
      </c>
      <c r="G2434" s="77" t="s">
        <v>621</v>
      </c>
      <c r="H2434" t="str">
        <f>VLOOKUP(D2434,'DETALLE PRECIO INGREDIENTES'!B:B,1,0)</f>
        <v>CHAMPIÑON PARIS</v>
      </c>
    </row>
    <row r="2435" spans="2:8" hidden="1" x14ac:dyDescent="0.35">
      <c r="B2435" s="80" t="s">
        <v>44</v>
      </c>
      <c r="C2435" s="80" t="s">
        <v>40</v>
      </c>
      <c r="D2435" s="73" t="s">
        <v>230</v>
      </c>
      <c r="E2435" s="74">
        <v>1.35E-2</v>
      </c>
      <c r="F2435" s="78" t="s">
        <v>222</v>
      </c>
      <c r="G2435" s="77" t="s">
        <v>220</v>
      </c>
      <c r="H2435" t="str">
        <f>VLOOKUP(D2435,'DETALLE PRECIO INGREDIENTES'!B:B,1,0)</f>
        <v>ACEITE DE OLIVA</v>
      </c>
    </row>
    <row r="2436" spans="2:8" hidden="1" x14ac:dyDescent="0.35">
      <c r="B2436" s="80" t="s">
        <v>44</v>
      </c>
      <c r="C2436" s="80" t="s">
        <v>40</v>
      </c>
      <c r="D2436" s="73" t="s">
        <v>878</v>
      </c>
      <c r="E2436" s="74">
        <v>8.3750000000000005E-3</v>
      </c>
      <c r="F2436" s="78" t="s">
        <v>222</v>
      </c>
      <c r="G2436" s="77" t="s">
        <v>876</v>
      </c>
      <c r="H2436" t="str">
        <f>VLOOKUP(D2436,'DETALLE PRECIO INGREDIENTES'!B:B,1,0)</f>
        <v>VINO BLANCO TETRA PACK</v>
      </c>
    </row>
    <row r="2437" spans="2:8" hidden="1" x14ac:dyDescent="0.35">
      <c r="B2437" s="80" t="s">
        <v>44</v>
      </c>
      <c r="C2437" s="80" t="s">
        <v>40</v>
      </c>
      <c r="D2437" s="73" t="s">
        <v>739</v>
      </c>
      <c r="E2437" s="74">
        <v>0.10050000000000001</v>
      </c>
      <c r="F2437" s="78" t="s">
        <v>222</v>
      </c>
      <c r="G2437" s="77" t="s">
        <v>736</v>
      </c>
      <c r="H2437" t="str">
        <f>VLOOKUP(D2437,'DETALLE PRECIO INGREDIENTES'!B:B,1,0)</f>
        <v>CREMA DE LECHE</v>
      </c>
    </row>
    <row r="2438" spans="2:8" hidden="1" x14ac:dyDescent="0.35">
      <c r="B2438" s="80" t="s">
        <v>44</v>
      </c>
      <c r="C2438" s="80" t="s">
        <v>40</v>
      </c>
      <c r="D2438" s="73" t="s">
        <v>443</v>
      </c>
      <c r="E2438" s="74">
        <v>8.6250000000000025E-3</v>
      </c>
      <c r="F2438" s="78" t="s">
        <v>237</v>
      </c>
      <c r="G2438" s="77" t="s">
        <v>220</v>
      </c>
      <c r="H2438" t="str">
        <f>VLOOKUP(D2438,'DETALLE PRECIO INGREDIENTES'!B:B,1,0)</f>
        <v>SAL DE MAR FINA</v>
      </c>
    </row>
    <row r="2439" spans="2:8" hidden="1" x14ac:dyDescent="0.35">
      <c r="B2439" s="80" t="s">
        <v>44</v>
      </c>
      <c r="C2439" s="80" t="s">
        <v>40</v>
      </c>
      <c r="D2439" s="73" t="s">
        <v>428</v>
      </c>
      <c r="E2439" s="74">
        <v>1.5E-3</v>
      </c>
      <c r="F2439" s="78" t="s">
        <v>237</v>
      </c>
      <c r="G2439" s="77" t="s">
        <v>220</v>
      </c>
      <c r="H2439" t="str">
        <f>VLOOKUP(D2439,'DETALLE PRECIO INGREDIENTES'!B:B,1,0)</f>
        <v>PIMIENTA NEGRA MOLIDA</v>
      </c>
    </row>
    <row r="2440" spans="2:8" hidden="1" x14ac:dyDescent="0.35">
      <c r="B2440" s="80" t="s">
        <v>44</v>
      </c>
      <c r="C2440" s="80" t="s">
        <v>40</v>
      </c>
      <c r="D2440" s="73" t="s">
        <v>497</v>
      </c>
      <c r="E2440" s="74">
        <v>1</v>
      </c>
      <c r="F2440" s="78" t="s">
        <v>259</v>
      </c>
      <c r="G2440" s="77" t="s">
        <v>485</v>
      </c>
      <c r="H2440" t="str">
        <f>VLOOKUP(D2440,'DETALLE PRECIO INGREDIENTES'!B:B,1,0)</f>
        <v>CARGA DE SIFON</v>
      </c>
    </row>
    <row r="2441" spans="2:8" hidden="1" x14ac:dyDescent="0.35">
      <c r="B2441" s="80" t="s">
        <v>44</v>
      </c>
      <c r="C2441" s="80" t="s">
        <v>40</v>
      </c>
      <c r="D2441" s="73" t="s">
        <v>411</v>
      </c>
      <c r="E2441" s="74">
        <v>0.1125</v>
      </c>
      <c r="F2441" s="78" t="s">
        <v>237</v>
      </c>
      <c r="G2441" s="77" t="s">
        <v>621</v>
      </c>
      <c r="H2441" t="str">
        <f>VLOOKUP(D2441,'DETALLE PRECIO INGREDIENTES'!B:B,1,0)</f>
        <v>PAPAS</v>
      </c>
    </row>
    <row r="2442" spans="2:8" hidden="1" x14ac:dyDescent="0.35">
      <c r="B2442" s="80" t="s">
        <v>44</v>
      </c>
      <c r="C2442" s="80" t="s">
        <v>40</v>
      </c>
      <c r="D2442" s="73" t="s">
        <v>748</v>
      </c>
      <c r="E2442" s="74">
        <v>0.12625</v>
      </c>
      <c r="F2442" s="78" t="s">
        <v>222</v>
      </c>
      <c r="G2442" s="77" t="s">
        <v>736</v>
      </c>
      <c r="H2442" t="str">
        <f>VLOOKUP(D2442,'DETALLE PRECIO INGREDIENTES'!B:B,1,0)</f>
        <v>LECHE ENTERA</v>
      </c>
    </row>
    <row r="2443" spans="2:8" hidden="1" x14ac:dyDescent="0.35">
      <c r="B2443" s="80" t="s">
        <v>44</v>
      </c>
      <c r="C2443" s="80" t="s">
        <v>40</v>
      </c>
      <c r="D2443" s="73" t="s">
        <v>769</v>
      </c>
      <c r="E2443" s="74">
        <v>1.375E-2</v>
      </c>
      <c r="F2443" s="78" t="s">
        <v>237</v>
      </c>
      <c r="G2443" s="77" t="s">
        <v>736</v>
      </c>
      <c r="H2443" t="str">
        <f>VLOOKUP(D2443,'DETALLE PRECIO INGREDIENTES'!B:B,1,0)</f>
        <v>QUESO PARMESANO</v>
      </c>
    </row>
    <row r="2444" spans="2:8" hidden="1" x14ac:dyDescent="0.35">
      <c r="B2444" s="80" t="s">
        <v>44</v>
      </c>
      <c r="C2444" s="80" t="s">
        <v>40</v>
      </c>
      <c r="D2444" s="73" t="s">
        <v>680</v>
      </c>
      <c r="E2444" s="74">
        <v>6.5000000000000006E-3</v>
      </c>
      <c r="F2444" s="78" t="s">
        <v>237</v>
      </c>
      <c r="G2444" s="77" t="s">
        <v>621</v>
      </c>
      <c r="H2444" t="str">
        <f>VLOOKUP(D2444,'DETALLE PRECIO INGREDIENTES'!B:B,1,0)</f>
        <v>LIMON DE JUGO</v>
      </c>
    </row>
    <row r="2445" spans="2:8" hidden="1" x14ac:dyDescent="0.35">
      <c r="B2445" s="80" t="s">
        <v>44</v>
      </c>
      <c r="C2445" s="80" t="s">
        <v>40</v>
      </c>
      <c r="D2445" s="73" t="s">
        <v>729</v>
      </c>
      <c r="E2445" s="74">
        <v>2.125</v>
      </c>
      <c r="F2445" s="78" t="s">
        <v>259</v>
      </c>
      <c r="G2445" s="77" t="s">
        <v>728</v>
      </c>
      <c r="H2445" t="str">
        <f>VLOOKUP(D2445,'DETALLE PRECIO INGREDIENTES'!B:B,1,0)</f>
        <v>HUEVO EXTRA BLANCO</v>
      </c>
    </row>
    <row r="2446" spans="2:8" hidden="1" x14ac:dyDescent="0.35">
      <c r="B2446" s="80" t="s">
        <v>44</v>
      </c>
      <c r="C2446" s="80" t="s">
        <v>40</v>
      </c>
      <c r="D2446" s="73" t="s">
        <v>751</v>
      </c>
      <c r="E2446" s="74">
        <v>2.1250000000000002E-2</v>
      </c>
      <c r="F2446" s="78" t="s">
        <v>237</v>
      </c>
      <c r="G2446" s="77" t="s">
        <v>736</v>
      </c>
      <c r="H2446" t="str">
        <f>VLOOKUP(D2446,'DETALLE PRECIO INGREDIENTES'!B:B,1,0)</f>
        <v>MANTEQUILLA SIN SAL</v>
      </c>
    </row>
    <row r="2447" spans="2:8" hidden="1" x14ac:dyDescent="0.35">
      <c r="B2447" s="80" t="s">
        <v>44</v>
      </c>
      <c r="C2447" s="80" t="s">
        <v>40</v>
      </c>
      <c r="D2447" s="73" t="s">
        <v>371</v>
      </c>
      <c r="E2447" s="74">
        <v>1.25E-4</v>
      </c>
      <c r="F2447" s="78" t="s">
        <v>237</v>
      </c>
      <c r="G2447" s="77" t="s">
        <v>220</v>
      </c>
      <c r="H2447" t="str">
        <f>VLOOKUP(D2447,'DETALLE PRECIO INGREDIENTES'!B:B,1,0)</f>
        <v>LECITINA DE SOYA</v>
      </c>
    </row>
    <row r="2448" spans="2:8" hidden="1" x14ac:dyDescent="0.35">
      <c r="B2448" s="80" t="s">
        <v>44</v>
      </c>
      <c r="C2448" s="80" t="s">
        <v>40</v>
      </c>
      <c r="D2448" s="73" t="s">
        <v>291</v>
      </c>
      <c r="E2448" s="74">
        <v>3.7499999999999999E-3</v>
      </c>
      <c r="F2448" s="78" t="s">
        <v>237</v>
      </c>
      <c r="G2448" s="77" t="s">
        <v>220</v>
      </c>
      <c r="H2448" t="str">
        <f>VLOOKUP(D2448,'DETALLE PRECIO INGREDIENTES'!B:B,1,0)</f>
        <v>CALLAMPAS SECAS</v>
      </c>
    </row>
    <row r="2449" spans="2:8" hidden="1" x14ac:dyDescent="0.35">
      <c r="B2449" s="80" t="s">
        <v>44</v>
      </c>
      <c r="C2449" s="80" t="s">
        <v>40</v>
      </c>
      <c r="D2449" s="73" t="s">
        <v>615</v>
      </c>
      <c r="E2449" s="74">
        <v>5.0000000000000001E-4</v>
      </c>
      <c r="F2449" s="78" t="s">
        <v>259</v>
      </c>
      <c r="G2449" s="77" t="s">
        <v>612</v>
      </c>
      <c r="H2449" t="str">
        <f>VLOOKUP(D2449,'DETALLE PRECIO INGREDIENTES'!B:B,1,0)</f>
        <v>SUCRO EMUL</v>
      </c>
    </row>
    <row r="2450" spans="2:8" hidden="1" x14ac:dyDescent="0.35">
      <c r="B2450" s="80" t="s">
        <v>44</v>
      </c>
      <c r="C2450" s="80" t="s">
        <v>40</v>
      </c>
      <c r="D2450" s="73" t="s">
        <v>449</v>
      </c>
      <c r="E2450" s="74">
        <v>3.7499999999999999E-2</v>
      </c>
      <c r="F2450" s="78" t="s">
        <v>222</v>
      </c>
      <c r="G2450" s="77" t="s">
        <v>220</v>
      </c>
      <c r="H2450" t="str">
        <f>VLOOKUP(D2450,'DETALLE PRECIO INGREDIENTES'!B:B,1,0)</f>
        <v>SALSA DE SOYA</v>
      </c>
    </row>
    <row r="2451" spans="2:8" hidden="1" x14ac:dyDescent="0.35">
      <c r="B2451" s="80" t="s">
        <v>44</v>
      </c>
      <c r="C2451" s="80" t="s">
        <v>40</v>
      </c>
      <c r="D2451" s="73" t="s">
        <v>784</v>
      </c>
      <c r="E2451" s="74">
        <v>6.2500000000000001E-4</v>
      </c>
      <c r="F2451" s="78" t="s">
        <v>222</v>
      </c>
      <c r="G2451" s="77" t="s">
        <v>776</v>
      </c>
      <c r="H2451" t="str">
        <f>VLOOKUP(D2451,'DETALLE PRECIO INGREDIENTES'!B:B,1,0)</f>
        <v>MIRIN/LICOR DE ARROZ DULCE</v>
      </c>
    </row>
    <row r="2452" spans="2:8" hidden="1" x14ac:dyDescent="0.35">
      <c r="B2452" s="80" t="s">
        <v>44</v>
      </c>
      <c r="C2452" s="80" t="s">
        <v>40</v>
      </c>
      <c r="D2452" s="73" t="s">
        <v>675</v>
      </c>
      <c r="E2452" s="74">
        <v>6.2500000000000001E-4</v>
      </c>
      <c r="F2452" s="78" t="s">
        <v>237</v>
      </c>
      <c r="G2452" s="77" t="s">
        <v>621</v>
      </c>
      <c r="H2452" t="str">
        <f>VLOOKUP(D2452,'DETALLE PRECIO INGREDIENTES'!B:B,1,0)</f>
        <v>JENGIBRE</v>
      </c>
    </row>
    <row r="2453" spans="2:8" hidden="1" x14ac:dyDescent="0.35">
      <c r="B2453" s="80" t="s">
        <v>44</v>
      </c>
      <c r="C2453" s="80" t="s">
        <v>40</v>
      </c>
      <c r="D2453" s="73" t="s">
        <v>437</v>
      </c>
      <c r="E2453" s="74">
        <v>1.8749999999999999E-2</v>
      </c>
      <c r="F2453" s="78" t="s">
        <v>237</v>
      </c>
      <c r="G2453" s="77" t="s">
        <v>220</v>
      </c>
      <c r="H2453" t="str">
        <f>VLOOKUP(D2453,'DETALLE PRECIO INGREDIENTES'!B:B,1,0)</f>
        <v>QUINOA</v>
      </c>
    </row>
    <row r="2454" spans="2:8" hidden="1" x14ac:dyDescent="0.35">
      <c r="B2454" s="80" t="s">
        <v>44</v>
      </c>
      <c r="C2454" s="80" t="s">
        <v>40</v>
      </c>
      <c r="D2454" s="73" t="s">
        <v>235</v>
      </c>
      <c r="E2454" s="74">
        <v>8.1250000000000003E-2</v>
      </c>
      <c r="F2454" s="78" t="s">
        <v>222</v>
      </c>
      <c r="G2454" s="77" t="s">
        <v>220</v>
      </c>
      <c r="H2454" t="str">
        <f>VLOOKUP(D2454,'DETALLE PRECIO INGREDIENTES'!B:B,1,0)</f>
        <v>ACEITE VEGETAL</v>
      </c>
    </row>
    <row r="2455" spans="2:8" hidden="1" x14ac:dyDescent="0.35">
      <c r="B2455" s="80" t="s">
        <v>44</v>
      </c>
      <c r="C2455" s="80" t="s">
        <v>40</v>
      </c>
      <c r="D2455" s="73" t="s">
        <v>470</v>
      </c>
      <c r="E2455" s="74">
        <v>1.8749999999999999E-2</v>
      </c>
      <c r="F2455" s="78" t="s">
        <v>237</v>
      </c>
      <c r="G2455" s="77" t="s">
        <v>220</v>
      </c>
      <c r="H2455" t="str">
        <f>VLOOKUP(D2455,'DETALLE PRECIO INGREDIENTES'!B:B,1,0)</f>
        <v>TRIGO MOTE</v>
      </c>
    </row>
    <row r="2456" spans="2:8" hidden="1" x14ac:dyDescent="0.35">
      <c r="B2456" s="80" t="s">
        <v>44</v>
      </c>
      <c r="C2456" s="80" t="s">
        <v>40</v>
      </c>
      <c r="D2456" s="73" t="s">
        <v>284</v>
      </c>
      <c r="E2456" s="74">
        <v>1.25E-4</v>
      </c>
      <c r="F2456" s="78" t="s">
        <v>237</v>
      </c>
      <c r="G2456" s="77" t="s">
        <v>220</v>
      </c>
      <c r="H2456" t="str">
        <f>VLOOKUP(D2456,'DETALLE PRECIO INGREDIENTES'!B:B,1,0)</f>
        <v>BICARBONATO DE SODIO</v>
      </c>
    </row>
    <row r="2457" spans="2:8" hidden="1" x14ac:dyDescent="0.35">
      <c r="B2457" s="80" t="s">
        <v>44</v>
      </c>
      <c r="C2457" s="80" t="s">
        <v>40</v>
      </c>
      <c r="D2457" s="73" t="s">
        <v>640</v>
      </c>
      <c r="E2457" s="74">
        <v>0.05</v>
      </c>
      <c r="F2457" s="78" t="s">
        <v>259</v>
      </c>
      <c r="G2457" s="77" t="s">
        <v>621</v>
      </c>
      <c r="H2457" t="str">
        <f>VLOOKUP(D2457,'DETALLE PRECIO INGREDIENTES'!B:B,1,0)</f>
        <v>BETARRAGA</v>
      </c>
    </row>
    <row r="2458" spans="2:8" hidden="1" x14ac:dyDescent="0.35">
      <c r="B2458" s="80" t="s">
        <v>44</v>
      </c>
      <c r="C2458" s="80" t="s">
        <v>40</v>
      </c>
      <c r="D2458" s="73" t="s">
        <v>375</v>
      </c>
      <c r="E2458" s="74">
        <v>7.5000000000000002E-4</v>
      </c>
      <c r="F2458" s="78" t="s">
        <v>237</v>
      </c>
      <c r="G2458" s="77" t="s">
        <v>220</v>
      </c>
      <c r="H2458" t="str">
        <f>VLOOKUP(D2458,'DETALLE PRECIO INGREDIENTES'!B:B,1,0)</f>
        <v>MAICENA</v>
      </c>
    </row>
    <row r="2459" spans="2:8" hidden="1" x14ac:dyDescent="0.35">
      <c r="B2459" s="80" t="s">
        <v>44</v>
      </c>
      <c r="C2459" s="80" t="s">
        <v>40</v>
      </c>
      <c r="D2459" s="73" t="s">
        <v>720</v>
      </c>
      <c r="E2459" s="74">
        <v>4.8750000000000002E-2</v>
      </c>
      <c r="F2459" s="78" t="s">
        <v>237</v>
      </c>
      <c r="G2459" s="77" t="s">
        <v>621</v>
      </c>
      <c r="H2459" t="str">
        <f>VLOOKUP(D2459,'DETALLE PRECIO INGREDIENTES'!B:B,1,0)</f>
        <v>ZANAHORIA</v>
      </c>
    </row>
    <row r="2460" spans="2:8" hidden="1" x14ac:dyDescent="0.35">
      <c r="B2460" s="80" t="s">
        <v>44</v>
      </c>
      <c r="C2460" s="80" t="s">
        <v>40</v>
      </c>
      <c r="D2460" s="73" t="s">
        <v>424</v>
      </c>
      <c r="E2460" s="74">
        <v>6.2500000000000003E-3</v>
      </c>
      <c r="F2460" s="78" t="s">
        <v>237</v>
      </c>
      <c r="G2460" s="77" t="s">
        <v>220</v>
      </c>
      <c r="H2460" t="str">
        <f>VLOOKUP(D2460,'DETALLE PRECIO INGREDIENTES'!B:B,1,0)</f>
        <v>PERLAS DE TAPIOCA</v>
      </c>
    </row>
    <row r="2461" spans="2:8" hidden="1" x14ac:dyDescent="0.35">
      <c r="B2461" s="80" t="s">
        <v>44</v>
      </c>
      <c r="C2461" s="80" t="s">
        <v>40</v>
      </c>
      <c r="D2461" s="73" t="s">
        <v>464</v>
      </c>
      <c r="E2461" s="74">
        <v>1.25E-4</v>
      </c>
      <c r="F2461" s="78" t="s">
        <v>259</v>
      </c>
      <c r="G2461" s="77" t="s">
        <v>220</v>
      </c>
      <c r="H2461" t="str">
        <f>VLOOKUP(D2461,'DETALLE PRECIO INGREDIENTES'!B:B,1,0)</f>
        <v>TINTA DE SEPIA O CALAMAR</v>
      </c>
    </row>
    <row r="2462" spans="2:8" hidden="1" x14ac:dyDescent="0.35">
      <c r="B2462" s="80" t="s">
        <v>44</v>
      </c>
      <c r="C2462" s="80" t="s">
        <v>40</v>
      </c>
      <c r="D2462" s="73" t="s">
        <v>490</v>
      </c>
      <c r="E2462" s="74">
        <v>0.125</v>
      </c>
      <c r="F2462" s="78" t="s">
        <v>259</v>
      </c>
      <c r="G2462" s="77" t="s">
        <v>485</v>
      </c>
      <c r="H2462" t="str">
        <f>VLOOKUP(D2462,'DETALLE PRECIO INGREDIENTES'!B:B,1,0)</f>
        <v>BOLSA PARA SELLADO AL VACIO 25X35 CM</v>
      </c>
    </row>
    <row r="2463" spans="2:8" hidden="1" x14ac:dyDescent="0.35">
      <c r="B2463" s="80" t="s">
        <v>44</v>
      </c>
      <c r="C2463" s="80" t="s">
        <v>40</v>
      </c>
      <c r="D2463" s="73" t="s">
        <v>716</v>
      </c>
      <c r="E2463" s="74">
        <v>4.6249999999999999E-2</v>
      </c>
      <c r="F2463" s="78" t="s">
        <v>237</v>
      </c>
      <c r="G2463" s="77" t="s">
        <v>621</v>
      </c>
      <c r="H2463" t="str">
        <f>VLOOKUP(D2463,'DETALLE PRECIO INGREDIENTES'!B:B,1,0)</f>
        <v>TOMATE LARGA VIDA</v>
      </c>
    </row>
    <row r="2464" spans="2:8" hidden="1" x14ac:dyDescent="0.35">
      <c r="B2464" s="80" t="s">
        <v>44</v>
      </c>
      <c r="C2464" s="80" t="s">
        <v>40</v>
      </c>
      <c r="D2464" s="73" t="s">
        <v>980</v>
      </c>
      <c r="E2464" s="74">
        <v>3.1250000000000002E-3</v>
      </c>
      <c r="F2464" s="78" t="s">
        <v>237</v>
      </c>
      <c r="G2464" s="77" t="s">
        <v>220</v>
      </c>
      <c r="H2464" t="str">
        <f>VLOOKUP(D2464,'DETALLE PRECIO INGREDIENTES'!B:B,1,0)</f>
        <v>chuño</v>
      </c>
    </row>
    <row r="2465" spans="2:8" hidden="1" x14ac:dyDescent="0.35">
      <c r="B2465" s="80" t="s">
        <v>44</v>
      </c>
      <c r="C2465" s="80" t="s">
        <v>40</v>
      </c>
      <c r="D2465" s="73" t="s">
        <v>244</v>
      </c>
      <c r="E2465" s="74">
        <v>8.7500000000000002E-4</v>
      </c>
      <c r="F2465" s="78" t="s">
        <v>237</v>
      </c>
      <c r="G2465" s="77" t="s">
        <v>220</v>
      </c>
      <c r="H2465" t="str">
        <f>VLOOKUP(D2465,'DETALLE PRECIO INGREDIENTES'!B:B,1,0)</f>
        <v>AGAR-AGAR</v>
      </c>
    </row>
    <row r="2466" spans="2:8" hidden="1" x14ac:dyDescent="0.35">
      <c r="B2466" s="80" t="s">
        <v>44</v>
      </c>
      <c r="C2466" s="80" t="s">
        <v>40</v>
      </c>
      <c r="D2466" s="73" t="s">
        <v>307</v>
      </c>
      <c r="E2466" s="74">
        <v>0.3125</v>
      </c>
      <c r="F2466" s="78" t="s">
        <v>259</v>
      </c>
      <c r="G2466" s="77" t="s">
        <v>220</v>
      </c>
      <c r="H2466" t="str">
        <f>VLOOKUP(D2466,'DETALLE PRECIO INGREDIENTES'!B:B,1,0)</f>
        <v>COLAPEZ POR HOJA</v>
      </c>
    </row>
    <row r="2467" spans="2:8" hidden="1" x14ac:dyDescent="0.35">
      <c r="B2467" s="80" t="s">
        <v>44</v>
      </c>
      <c r="C2467" s="80" t="s">
        <v>40</v>
      </c>
      <c r="D2467" s="73" t="s">
        <v>627</v>
      </c>
      <c r="E2467" s="74">
        <v>1.8749999999999999E-2</v>
      </c>
      <c r="F2467" s="78" t="s">
        <v>237</v>
      </c>
      <c r="G2467" s="77" t="s">
        <v>621</v>
      </c>
      <c r="H2467" t="str">
        <f>VLOOKUP(D2467,'DETALLE PRECIO INGREDIENTES'!B:B,1,0)</f>
        <v>AJI VERDE</v>
      </c>
    </row>
    <row r="2468" spans="2:8" hidden="1" x14ac:dyDescent="0.35">
      <c r="B2468" s="80" t="s">
        <v>44</v>
      </c>
      <c r="C2468" s="80" t="s">
        <v>40</v>
      </c>
      <c r="D2468" s="73" t="s">
        <v>657</v>
      </c>
      <c r="E2468" s="74">
        <v>6.2500000000000001E-4</v>
      </c>
      <c r="F2468" s="78" t="s">
        <v>237</v>
      </c>
      <c r="G2468" s="77" t="s">
        <v>621</v>
      </c>
      <c r="H2468" t="str">
        <f>VLOOKUP(D2468,'DETALLE PRECIO INGREDIENTES'!B:B,1,0)</f>
        <v>CILANTRO</v>
      </c>
    </row>
    <row r="2469" spans="2:8" hidden="1" x14ac:dyDescent="0.35">
      <c r="B2469" s="80" t="s">
        <v>44</v>
      </c>
      <c r="C2469" s="80" t="s">
        <v>40</v>
      </c>
      <c r="D2469" s="73" t="s">
        <v>628</v>
      </c>
      <c r="E2469" s="74">
        <v>1.5625E-2</v>
      </c>
      <c r="F2469" s="78" t="s">
        <v>259</v>
      </c>
      <c r="G2469" s="77" t="s">
        <v>621</v>
      </c>
      <c r="H2469" t="str">
        <f>VLOOKUP(D2469,'DETALLE PRECIO INGREDIENTES'!B:B,1,0)</f>
        <v>AJO CABEZA</v>
      </c>
    </row>
    <row r="2470" spans="2:8" hidden="1" x14ac:dyDescent="0.35">
      <c r="B2470" s="80" t="s">
        <v>44</v>
      </c>
      <c r="C2470" s="80" t="s">
        <v>40</v>
      </c>
      <c r="D2470" s="73" t="s">
        <v>289</v>
      </c>
      <c r="E2470" s="74">
        <v>7.5000000000000002E-4</v>
      </c>
      <c r="F2470" s="78" t="s">
        <v>237</v>
      </c>
      <c r="G2470" s="77" t="s">
        <v>220</v>
      </c>
      <c r="H2470" t="str">
        <f>VLOOKUP(D2470,'DETALLE PRECIO INGREDIENTES'!B:B,1,0)</f>
        <v>CALCIC/CITRATO DE CALCIO</v>
      </c>
    </row>
    <row r="2471" spans="2:8" hidden="1" x14ac:dyDescent="0.35">
      <c r="B2471" s="80" t="s">
        <v>44</v>
      </c>
      <c r="C2471" s="80" t="s">
        <v>40</v>
      </c>
      <c r="D2471" s="73" t="s">
        <v>597</v>
      </c>
      <c r="E2471" s="74">
        <v>1.4999999999999999E-2</v>
      </c>
      <c r="F2471" s="78" t="s">
        <v>237</v>
      </c>
      <c r="G2471" s="77" t="s">
        <v>587</v>
      </c>
      <c r="H2471" t="str">
        <f>VLOOKUP(D2471,'DETALLE PRECIO INGREDIENTES'!B:B,1,0)</f>
        <v>PULPA DE MANGO S/AZUCAR</v>
      </c>
    </row>
    <row r="2472" spans="2:8" hidden="1" x14ac:dyDescent="0.35">
      <c r="B2472" s="80" t="s">
        <v>44</v>
      </c>
      <c r="C2472" s="80" t="s">
        <v>40</v>
      </c>
      <c r="D2472" s="73" t="s">
        <v>961</v>
      </c>
      <c r="E2472" s="74">
        <v>7.5000000000000006E-3</v>
      </c>
      <c r="F2472" s="78" t="s">
        <v>237</v>
      </c>
      <c r="G2472" s="77" t="s">
        <v>220</v>
      </c>
      <c r="H2472" t="str">
        <f>VLOOKUP(D2472,'DETALLE PRECIO INGREDIENTES'!B:B,1,0)</f>
        <v>miel</v>
      </c>
    </row>
    <row r="2473" spans="2:8" hidden="1" x14ac:dyDescent="0.35">
      <c r="B2473" s="80" t="s">
        <v>44</v>
      </c>
      <c r="C2473" s="80" t="s">
        <v>40</v>
      </c>
      <c r="D2473" s="73" t="s">
        <v>593</v>
      </c>
      <c r="E2473" s="74">
        <v>6.25E-2</v>
      </c>
      <c r="F2473" s="78" t="s">
        <v>237</v>
      </c>
      <c r="G2473" s="77" t="s">
        <v>587</v>
      </c>
      <c r="H2473" t="str">
        <f>VLOOKUP(D2473,'DETALLE PRECIO INGREDIENTES'!B:B,1,0)</f>
        <v>PULPA DE FRAMBUESA S/AZUCAR</v>
      </c>
    </row>
    <row r="2474" spans="2:8" hidden="1" x14ac:dyDescent="0.35">
      <c r="B2474" s="80" t="s">
        <v>44</v>
      </c>
      <c r="C2474" s="80" t="s">
        <v>40</v>
      </c>
      <c r="D2474" s="73" t="s">
        <v>304</v>
      </c>
      <c r="E2474" s="74">
        <v>1.25E-3</v>
      </c>
      <c r="F2474" s="78" t="s">
        <v>237</v>
      </c>
      <c r="G2474" s="77" t="s">
        <v>220</v>
      </c>
      <c r="H2474" t="str">
        <f>VLOOKUP(D2474,'DETALLE PRECIO INGREDIENTES'!B:B,1,0)</f>
        <v>CLORURO DE CALCIO</v>
      </c>
    </row>
    <row r="2475" spans="2:8" hidden="1" x14ac:dyDescent="0.35">
      <c r="B2475" s="80" t="s">
        <v>44</v>
      </c>
      <c r="C2475" s="80" t="s">
        <v>40</v>
      </c>
      <c r="D2475" s="73" t="s">
        <v>260</v>
      </c>
      <c r="E2475" s="74">
        <v>1.8749999999999999E-3</v>
      </c>
      <c r="F2475" s="78" t="s">
        <v>237</v>
      </c>
      <c r="G2475" s="77" t="s">
        <v>220</v>
      </c>
      <c r="H2475" t="str">
        <f>VLOOKUP(D2475,'DETALLE PRECIO INGREDIENTES'!B:B,1,0)</f>
        <v>ALGINATO DE SODIO</v>
      </c>
    </row>
    <row r="2476" spans="2:8" hidden="1" x14ac:dyDescent="0.35">
      <c r="B2476" s="80" t="s">
        <v>44</v>
      </c>
      <c r="C2476" s="80" t="s">
        <v>40</v>
      </c>
      <c r="D2476" s="73" t="s">
        <v>387</v>
      </c>
      <c r="E2476" s="74">
        <v>6.2500000000000001E-4</v>
      </c>
      <c r="F2476" s="78" t="s">
        <v>237</v>
      </c>
      <c r="G2476" s="77" t="s">
        <v>220</v>
      </c>
      <c r="H2476" t="str">
        <f>VLOOKUP(D2476,'DETALLE PRECIO INGREDIENTES'!B:B,1,0)</f>
        <v>MERKEN</v>
      </c>
    </row>
    <row r="2477" spans="2:8" hidden="1" x14ac:dyDescent="0.35">
      <c r="B2477" s="80" t="s">
        <v>44</v>
      </c>
      <c r="C2477" s="80" t="s">
        <v>40</v>
      </c>
      <c r="D2477" s="73" t="s">
        <v>967</v>
      </c>
      <c r="E2477" s="74">
        <v>6.25E-2</v>
      </c>
      <c r="F2477" s="78" t="s">
        <v>237</v>
      </c>
      <c r="G2477" s="77" t="s">
        <v>884</v>
      </c>
      <c r="H2477" t="str">
        <f>VLOOKUP(D2477,'DETALLE PRECIO INGREDIENTES'!B:B,1,0)</f>
        <v>yogurt natural</v>
      </c>
    </row>
    <row r="2478" spans="2:8" hidden="1" x14ac:dyDescent="0.35">
      <c r="B2478" s="80" t="s">
        <v>44</v>
      </c>
      <c r="C2478" s="80" t="s">
        <v>40</v>
      </c>
      <c r="D2478" s="73" t="s">
        <v>838</v>
      </c>
      <c r="E2478" s="74">
        <v>2.5000000000000001E-2</v>
      </c>
      <c r="F2478" s="78" t="s">
        <v>237</v>
      </c>
      <c r="G2478" s="77" t="s">
        <v>806</v>
      </c>
      <c r="H2478" t="str">
        <f>VLOOKUP(D2478,'DETALLE PRECIO INGREDIENTES'!B:B,1,0)</f>
        <v>SALMON FRESCO FILETE C/PIEL</v>
      </c>
    </row>
    <row r="2479" spans="2:8" hidden="1" x14ac:dyDescent="0.35">
      <c r="B2479" s="80" t="s">
        <v>44</v>
      </c>
      <c r="C2479" s="80" t="s">
        <v>40</v>
      </c>
      <c r="D2479" s="73" t="s">
        <v>837</v>
      </c>
      <c r="E2479" s="74">
        <v>2.5000000000000001E-2</v>
      </c>
      <c r="F2479" s="78" t="s">
        <v>237</v>
      </c>
      <c r="G2479" s="77" t="s">
        <v>806</v>
      </c>
      <c r="H2479" t="str">
        <f>VLOOKUP(D2479,'DETALLE PRECIO INGREDIENTES'!B:B,1,0)</f>
        <v>REINETA FILETE FRESCA</v>
      </c>
    </row>
    <row r="2480" spans="2:8" hidden="1" x14ac:dyDescent="0.35">
      <c r="B2480" s="80" t="s">
        <v>44</v>
      </c>
      <c r="C2480" s="80" t="s">
        <v>40</v>
      </c>
      <c r="D2480" s="73" t="s">
        <v>468</v>
      </c>
      <c r="E2480" s="74">
        <v>7.5000000000000002E-4</v>
      </c>
      <c r="F2480" s="78" t="s">
        <v>237</v>
      </c>
      <c r="G2480" s="77" t="s">
        <v>220</v>
      </c>
      <c r="H2480" t="str">
        <f>VLOOKUP(D2480,'DETALLE PRECIO INGREDIENTES'!B:B,1,0)</f>
        <v>TRANSGLUTAMINASA</v>
      </c>
    </row>
    <row r="2481" spans="2:8" hidden="1" x14ac:dyDescent="0.35">
      <c r="B2481" s="80" t="s">
        <v>44</v>
      </c>
      <c r="C2481" s="80" t="s">
        <v>40</v>
      </c>
      <c r="D2481" s="73" t="s">
        <v>870</v>
      </c>
      <c r="E2481" s="74">
        <v>0.05</v>
      </c>
      <c r="F2481" s="78" t="s">
        <v>237</v>
      </c>
      <c r="G2481" s="77" t="s">
        <v>852</v>
      </c>
      <c r="H2481" t="str">
        <f>VLOOKUP(D2481,'DETALLE PRECIO INGREDIENTES'!B:B,1,0)</f>
        <v>VACUNO PALANCA</v>
      </c>
    </row>
    <row r="2482" spans="2:8" hidden="1" x14ac:dyDescent="0.35">
      <c r="B2482" s="80" t="s">
        <v>44</v>
      </c>
      <c r="C2482" s="80" t="s">
        <v>40</v>
      </c>
      <c r="D2482" s="73" t="s">
        <v>981</v>
      </c>
      <c r="E2482" s="74">
        <v>7.5000000000000002E-4</v>
      </c>
      <c r="F2482" s="78" t="s">
        <v>259</v>
      </c>
      <c r="G2482" s="77" t="s">
        <v>220</v>
      </c>
      <c r="H2482" t="str">
        <f>VLOOKUP(D2482,'DETALLE PRECIO INGREDIENTES'!B:B,1,0)</f>
        <v>alga nori</v>
      </c>
    </row>
    <row r="2483" spans="2:8" hidden="1" x14ac:dyDescent="0.35">
      <c r="B2483" s="80" t="s">
        <v>44</v>
      </c>
      <c r="C2483" s="80" t="s">
        <v>40</v>
      </c>
      <c r="D2483" s="73" t="s">
        <v>638</v>
      </c>
      <c r="E2483" s="74">
        <v>1.375E-2</v>
      </c>
      <c r="F2483" s="78" t="s">
        <v>259</v>
      </c>
      <c r="G2483" s="77" t="s">
        <v>621</v>
      </c>
      <c r="H2483" t="str">
        <f>VLOOKUP(D2483,'DETALLE PRECIO INGREDIENTES'!B:B,1,0)</f>
        <v>BERENJENA</v>
      </c>
    </row>
    <row r="2484" spans="2:8" hidden="1" x14ac:dyDescent="0.35">
      <c r="B2484" s="80" t="s">
        <v>44</v>
      </c>
      <c r="C2484" s="80" t="s">
        <v>40</v>
      </c>
      <c r="D2484" s="73" t="s">
        <v>723</v>
      </c>
      <c r="E2484" s="74">
        <v>1.375E-2</v>
      </c>
      <c r="F2484" s="78" t="s">
        <v>259</v>
      </c>
      <c r="G2484" s="77" t="s">
        <v>621</v>
      </c>
      <c r="H2484" t="str">
        <f>VLOOKUP(D2484,'DETALLE PRECIO INGREDIENTES'!B:B,1,0)</f>
        <v>ZAPALLO ITALIANO</v>
      </c>
    </row>
    <row r="2485" spans="2:8" hidden="1" x14ac:dyDescent="0.35">
      <c r="B2485" s="80" t="s">
        <v>44</v>
      </c>
      <c r="C2485" s="80" t="s">
        <v>40</v>
      </c>
      <c r="D2485" s="73" t="s">
        <v>702</v>
      </c>
      <c r="E2485" s="74">
        <v>0.01</v>
      </c>
      <c r="F2485" s="78" t="s">
        <v>259</v>
      </c>
      <c r="G2485" s="77" t="s">
        <v>621</v>
      </c>
      <c r="H2485" t="str">
        <f>VLOOKUP(D2485,'DETALLE PRECIO INGREDIENTES'!B:B,1,0)</f>
        <v>PIMIENTO ROJO</v>
      </c>
    </row>
    <row r="2486" spans="2:8" hidden="1" x14ac:dyDescent="0.35">
      <c r="B2486" s="80" t="s">
        <v>44</v>
      </c>
      <c r="C2486" s="80" t="s">
        <v>40</v>
      </c>
      <c r="D2486" s="73" t="s">
        <v>310</v>
      </c>
      <c r="E2486" s="74">
        <v>9.3749999999999997E-3</v>
      </c>
      <c r="F2486" s="78" t="s">
        <v>237</v>
      </c>
      <c r="G2486" s="77" t="s">
        <v>220</v>
      </c>
      <c r="H2486" t="str">
        <f>VLOOKUP(D2486,'DETALLE PRECIO INGREDIENTES'!B:B,1,0)</f>
        <v>CONCENTRADO DE TOMATE</v>
      </c>
    </row>
    <row r="2487" spans="2:8" hidden="1" x14ac:dyDescent="0.35">
      <c r="B2487" s="80" t="s">
        <v>44</v>
      </c>
      <c r="C2487" s="80" t="s">
        <v>40</v>
      </c>
      <c r="D2487" s="73" t="s">
        <v>718</v>
      </c>
      <c r="E2487" s="74">
        <v>2.5000000000000001E-4</v>
      </c>
      <c r="F2487" s="78" t="s">
        <v>237</v>
      </c>
      <c r="G2487" s="77" t="s">
        <v>621</v>
      </c>
      <c r="H2487" t="str">
        <f>VLOOKUP(D2487,'DETALLE PRECIO INGREDIENTES'!B:B,1,0)</f>
        <v>TOMILLO FRESCO</v>
      </c>
    </row>
    <row r="2488" spans="2:8" hidden="1" x14ac:dyDescent="0.35">
      <c r="B2488" s="80" t="s">
        <v>44</v>
      </c>
      <c r="C2488" s="80" t="s">
        <v>40</v>
      </c>
      <c r="D2488" s="73" t="s">
        <v>370</v>
      </c>
      <c r="E2488" s="74">
        <v>3.7500000000000001E-4</v>
      </c>
      <c r="F2488" s="78" t="s">
        <v>237</v>
      </c>
      <c r="G2488" s="77" t="s">
        <v>220</v>
      </c>
      <c r="H2488" t="str">
        <f>VLOOKUP(D2488,'DETALLE PRECIO INGREDIENTES'!B:B,1,0)</f>
        <v>LAUREL</v>
      </c>
    </row>
    <row r="2489" spans="2:8" hidden="1" x14ac:dyDescent="0.35">
      <c r="B2489" s="80" t="s">
        <v>44</v>
      </c>
      <c r="C2489" s="80" t="s">
        <v>40</v>
      </c>
      <c r="D2489" s="73" t="s">
        <v>344</v>
      </c>
      <c r="E2489" s="74">
        <v>8.7500000000000002E-4</v>
      </c>
      <c r="F2489" s="78" t="s">
        <v>237</v>
      </c>
      <c r="G2489" s="77" t="s">
        <v>220</v>
      </c>
      <c r="H2489" t="str">
        <f>VLOOKUP(D2489,'DETALLE PRECIO INGREDIENTES'!B:B,1,0)</f>
        <v>GEL BINDER TRANSGLUTAMINASA</v>
      </c>
    </row>
    <row r="2490" spans="2:8" hidden="1" x14ac:dyDescent="0.35">
      <c r="B2490" s="80" t="s">
        <v>44</v>
      </c>
      <c r="C2490" s="80" t="s">
        <v>40</v>
      </c>
      <c r="D2490" s="73" t="s">
        <v>322</v>
      </c>
      <c r="E2490" s="74">
        <v>2.5000000000000001E-2</v>
      </c>
      <c r="F2490" s="78" t="s">
        <v>237</v>
      </c>
      <c r="G2490" s="77" t="s">
        <v>220</v>
      </c>
      <c r="H2490" t="str">
        <f>VLOOKUP(D2490,'DETALLE PRECIO INGREDIENTES'!B:B,1,0)</f>
        <v>DEXTROSA</v>
      </c>
    </row>
    <row r="2491" spans="2:8" hidden="1" x14ac:dyDescent="0.35">
      <c r="B2491" s="80" t="s">
        <v>44</v>
      </c>
      <c r="C2491" s="80" t="s">
        <v>40</v>
      </c>
      <c r="D2491" s="73" t="s">
        <v>398</v>
      </c>
      <c r="E2491" s="74">
        <v>1.575E-2</v>
      </c>
      <c r="F2491" s="78" t="s">
        <v>237</v>
      </c>
      <c r="G2491" s="77" t="s">
        <v>220</v>
      </c>
      <c r="H2491" t="str">
        <f>VLOOKUP(D2491,'DETALLE PRECIO INGREDIENTES'!B:B,1,0)</f>
        <v>MOSTAZA DIJON</v>
      </c>
    </row>
    <row r="2492" spans="2:8" hidden="1" x14ac:dyDescent="0.35">
      <c r="B2492" s="80" t="s">
        <v>44</v>
      </c>
      <c r="C2492" s="80" t="s">
        <v>40</v>
      </c>
      <c r="D2492" s="73" t="s">
        <v>399</v>
      </c>
      <c r="E2492" s="74">
        <v>8.0000000000000002E-3</v>
      </c>
      <c r="F2492" s="78" t="s">
        <v>237</v>
      </c>
      <c r="G2492" s="77" t="s">
        <v>220</v>
      </c>
      <c r="H2492" t="str">
        <f>VLOOKUP(D2492,'DETALLE PRECIO INGREDIENTES'!B:B,1,0)</f>
        <v>MOSTAZA DIJON ANTIGUA-GRANO</v>
      </c>
    </row>
    <row r="2493" spans="2:8" hidden="1" x14ac:dyDescent="0.35">
      <c r="B2493" s="80" t="s">
        <v>44</v>
      </c>
      <c r="C2493" s="80" t="s">
        <v>40</v>
      </c>
      <c r="D2493" s="73" t="s">
        <v>971</v>
      </c>
      <c r="E2493" s="74">
        <v>3.3124999999999999E-3</v>
      </c>
      <c r="F2493" s="78" t="s">
        <v>222</v>
      </c>
      <c r="G2493" s="77" t="s">
        <v>220</v>
      </c>
      <c r="H2493" t="str">
        <f>VLOOKUP(D2493,'DETALLE PRECIO INGREDIENTES'!B:B,1,0)</f>
        <v>vinagre de jerez</v>
      </c>
    </row>
    <row r="2494" spans="2:8" hidden="1" x14ac:dyDescent="0.35">
      <c r="B2494" s="80" t="s">
        <v>36</v>
      </c>
      <c r="C2494" s="80" t="s">
        <v>31</v>
      </c>
      <c r="D2494" s="73" t="s">
        <v>225</v>
      </c>
      <c r="E2494" s="74">
        <v>5.4999999999999997E-3</v>
      </c>
      <c r="F2494" s="78" t="s">
        <v>222</v>
      </c>
      <c r="G2494" s="77" t="s">
        <v>220</v>
      </c>
      <c r="H2494" t="str">
        <f>VLOOKUP(D2494,'DETALLE PRECIO INGREDIENTES'!B:B,1,0)</f>
        <v>ACEITE DE COCO</v>
      </c>
    </row>
    <row r="2495" spans="2:8" hidden="1" x14ac:dyDescent="0.35">
      <c r="B2495" s="80" t="s">
        <v>36</v>
      </c>
      <c r="C2495" s="80" t="s">
        <v>31</v>
      </c>
      <c r="D2495" s="73" t="s">
        <v>235</v>
      </c>
      <c r="E2495" s="74">
        <v>1.575E-2</v>
      </c>
      <c r="F2495" s="78" t="s">
        <v>222</v>
      </c>
      <c r="G2495" s="77" t="s">
        <v>220</v>
      </c>
      <c r="H2495" t="str">
        <f>VLOOKUP(D2495,'DETALLE PRECIO INGREDIENTES'!B:B,1,0)</f>
        <v>ACEITE VEGETAL</v>
      </c>
    </row>
    <row r="2496" spans="2:8" hidden="1" x14ac:dyDescent="0.35">
      <c r="B2496" s="80" t="s">
        <v>36</v>
      </c>
      <c r="C2496" s="80" t="s">
        <v>31</v>
      </c>
      <c r="D2496" s="73" t="s">
        <v>244</v>
      </c>
      <c r="E2496" s="74">
        <v>5.0000000000000001E-4</v>
      </c>
      <c r="F2496" s="78" t="s">
        <v>237</v>
      </c>
      <c r="G2496" s="77" t="s">
        <v>220</v>
      </c>
      <c r="H2496" t="str">
        <f>VLOOKUP(D2496,'DETALLE PRECIO INGREDIENTES'!B:B,1,0)</f>
        <v>AGAR-AGAR</v>
      </c>
    </row>
    <row r="2497" spans="2:8" hidden="1" x14ac:dyDescent="0.35">
      <c r="B2497" s="80" t="s">
        <v>36</v>
      </c>
      <c r="C2497" s="80" t="s">
        <v>31</v>
      </c>
      <c r="D2497" s="73" t="s">
        <v>261</v>
      </c>
      <c r="E2497" s="74">
        <v>8.2500000000000004E-2</v>
      </c>
      <c r="F2497" s="78" t="s">
        <v>237</v>
      </c>
      <c r="G2497" s="77" t="s">
        <v>220</v>
      </c>
      <c r="H2497" t="str">
        <f>VLOOKUP(D2497,'DETALLE PRECIO INGREDIENTES'!B:B,1,0)</f>
        <v>ALMENDRAS ENTERAS</v>
      </c>
    </row>
    <row r="2498" spans="2:8" hidden="1" x14ac:dyDescent="0.35">
      <c r="B2498" s="80" t="s">
        <v>36</v>
      </c>
      <c r="C2498" s="80" t="s">
        <v>31</v>
      </c>
      <c r="D2498" s="73" t="s">
        <v>375</v>
      </c>
      <c r="E2498" s="74">
        <v>9.2999999999999999E-2</v>
      </c>
      <c r="F2498" s="78" t="s">
        <v>237</v>
      </c>
      <c r="G2498" s="77" t="s">
        <v>220</v>
      </c>
      <c r="H2498" t="str">
        <f>VLOOKUP(D2498,'DETALLE PRECIO INGREDIENTES'!B:B,1,0)</f>
        <v>MAICENA</v>
      </c>
    </row>
    <row r="2499" spans="2:8" hidden="1" x14ac:dyDescent="0.35">
      <c r="B2499" s="80" t="s">
        <v>36</v>
      </c>
      <c r="C2499" s="80" t="s">
        <v>31</v>
      </c>
      <c r="D2499" s="73" t="s">
        <v>262</v>
      </c>
      <c r="E2499" s="74">
        <v>1.55E-2</v>
      </c>
      <c r="F2499" s="78" t="s">
        <v>237</v>
      </c>
      <c r="G2499" s="77" t="s">
        <v>220</v>
      </c>
      <c r="H2499" t="str">
        <f>VLOOKUP(D2499,'DETALLE PRECIO INGREDIENTES'!B:B,1,0)</f>
        <v>ALULOSA</v>
      </c>
    </row>
    <row r="2500" spans="2:8" hidden="1" x14ac:dyDescent="0.35">
      <c r="B2500" s="80" t="s">
        <v>36</v>
      </c>
      <c r="C2500" s="80" t="s">
        <v>31</v>
      </c>
      <c r="D2500" s="73" t="s">
        <v>634</v>
      </c>
      <c r="E2500" s="74">
        <v>1.4999999999999999E-2</v>
      </c>
      <c r="F2500" s="78" t="s">
        <v>237</v>
      </c>
      <c r="G2500" s="77" t="s">
        <v>621</v>
      </c>
      <c r="H2500" t="str">
        <f>VLOOKUP(D2500,'DETALLE PRECIO INGREDIENTES'!B:B,1,0)</f>
        <v>ARANDANOS FRESCOS</v>
      </c>
    </row>
    <row r="2501" spans="2:8" hidden="1" x14ac:dyDescent="0.35">
      <c r="B2501" s="80" t="s">
        <v>36</v>
      </c>
      <c r="C2501" s="80" t="s">
        <v>31</v>
      </c>
      <c r="D2501" s="73" t="s">
        <v>274</v>
      </c>
      <c r="E2501" s="74">
        <v>3.875E-2</v>
      </c>
      <c r="F2501" s="78" t="s">
        <v>986</v>
      </c>
      <c r="G2501" s="77" t="s">
        <v>220</v>
      </c>
      <c r="H2501" t="str">
        <f>VLOOKUP(D2501,'DETALLE PRECIO INGREDIENTES'!B:B,1,0)</f>
        <v>AVENA SIN GLUTEN</v>
      </c>
    </row>
    <row r="2502" spans="2:8" hidden="1" x14ac:dyDescent="0.35">
      <c r="B2502" s="80" t="s">
        <v>36</v>
      </c>
      <c r="C2502" s="80" t="s">
        <v>31</v>
      </c>
      <c r="D2502" s="73" t="s">
        <v>278</v>
      </c>
      <c r="E2502" s="74">
        <v>6.8249999999999991E-2</v>
      </c>
      <c r="F2502" s="78" t="s">
        <v>237</v>
      </c>
      <c r="G2502" s="77" t="s">
        <v>220</v>
      </c>
      <c r="H2502" t="str">
        <f>VLOOKUP(D2502,'DETALLE PRECIO INGREDIENTES'!B:B,1,0)</f>
        <v>AZUCAR FLOR</v>
      </c>
    </row>
    <row r="2503" spans="2:8" hidden="1" x14ac:dyDescent="0.35">
      <c r="B2503" s="80" t="s">
        <v>36</v>
      </c>
      <c r="C2503" s="80" t="s">
        <v>31</v>
      </c>
      <c r="D2503" s="73" t="s">
        <v>277</v>
      </c>
      <c r="E2503" s="74">
        <v>0.14125000000000001</v>
      </c>
      <c r="F2503" s="78" t="s">
        <v>237</v>
      </c>
      <c r="G2503" s="77" t="s">
        <v>220</v>
      </c>
      <c r="H2503" t="str">
        <f>VLOOKUP(D2503,'DETALLE PRECIO INGREDIENTES'!B:B,1,0)</f>
        <v>AZUCAR BLANCA GRANULADA</v>
      </c>
    </row>
    <row r="2504" spans="2:8" hidden="1" x14ac:dyDescent="0.35">
      <c r="B2504" s="80" t="s">
        <v>36</v>
      </c>
      <c r="C2504" s="80" t="s">
        <v>31</v>
      </c>
      <c r="D2504" s="73" t="s">
        <v>282</v>
      </c>
      <c r="E2504" s="74">
        <v>0.01</v>
      </c>
      <c r="F2504" s="78" t="s">
        <v>986</v>
      </c>
      <c r="G2504" s="77" t="s">
        <v>220</v>
      </c>
      <c r="H2504" t="str">
        <f>VLOOKUP(D2504,'DETALLE PRECIO INGREDIENTES'!B:B,1,0)</f>
        <v>AZUCAR MORENA</v>
      </c>
    </row>
    <row r="2505" spans="2:8" hidden="1" x14ac:dyDescent="0.35">
      <c r="B2505" s="80" t="s">
        <v>36</v>
      </c>
      <c r="C2505" s="80" t="s">
        <v>31</v>
      </c>
      <c r="D2505" s="73" t="s">
        <v>284</v>
      </c>
      <c r="E2505" s="74">
        <v>5.0000000000000001E-4</v>
      </c>
      <c r="F2505" s="78" t="s">
        <v>237</v>
      </c>
      <c r="G2505" s="77" t="s">
        <v>220</v>
      </c>
      <c r="H2505" t="str">
        <f>VLOOKUP(D2505,'DETALLE PRECIO INGREDIENTES'!B:B,1,0)</f>
        <v>BICARBONATO DE SODIO</v>
      </c>
    </row>
    <row r="2506" spans="2:8" hidden="1" x14ac:dyDescent="0.35">
      <c r="B2506" s="80" t="s">
        <v>36</v>
      </c>
      <c r="C2506" s="80" t="s">
        <v>31</v>
      </c>
      <c r="D2506" s="73" t="s">
        <v>554</v>
      </c>
      <c r="E2506" s="74">
        <v>3.2500000000000001E-2</v>
      </c>
      <c r="F2506" s="78" t="s">
        <v>237</v>
      </c>
      <c r="G2506" s="77" t="s">
        <v>551</v>
      </c>
      <c r="H2506" t="str">
        <f>VLOOKUP(D2506,'DETALLE PRECIO INGREDIENTES'!B:B,1,0)</f>
        <v>CACAO EN POLVO AMARGO</v>
      </c>
    </row>
    <row r="2507" spans="2:8" hidden="1" x14ac:dyDescent="0.35">
      <c r="B2507" s="80" t="s">
        <v>36</v>
      </c>
      <c r="C2507" s="80" t="s">
        <v>31</v>
      </c>
      <c r="D2507" s="73" t="s">
        <v>559</v>
      </c>
      <c r="E2507" s="74">
        <v>8.5749999999999993E-2</v>
      </c>
      <c r="F2507" s="78" t="s">
        <v>237</v>
      </c>
      <c r="G2507" s="77" t="s">
        <v>551</v>
      </c>
      <c r="H2507" t="str">
        <f>VLOOKUP(D2507,'DETALLE PRECIO INGREDIENTES'!B:B,1,0)</f>
        <v>CHOCOLATE AMARGO 70%</v>
      </c>
    </row>
    <row r="2508" spans="2:8" hidden="1" x14ac:dyDescent="0.35">
      <c r="B2508" s="80" t="s">
        <v>36</v>
      </c>
      <c r="C2508" s="80" t="s">
        <v>31</v>
      </c>
      <c r="D2508" s="73" t="s">
        <v>560</v>
      </c>
      <c r="E2508" s="74">
        <v>5.6250000000000001E-2</v>
      </c>
      <c r="F2508" s="78" t="s">
        <v>237</v>
      </c>
      <c r="G2508" s="77" t="s">
        <v>551</v>
      </c>
      <c r="H2508" t="str">
        <f>VLOOKUP(D2508,'DETALLE PRECIO INGREDIENTES'!B:B,1,0)</f>
        <v>CHOCOLATE CALLEBAUT BLANCO 28%</v>
      </c>
    </row>
    <row r="2509" spans="2:8" hidden="1" x14ac:dyDescent="0.35">
      <c r="B2509" s="80" t="s">
        <v>36</v>
      </c>
      <c r="C2509" s="80" t="s">
        <v>31</v>
      </c>
      <c r="D2509" s="73" t="s">
        <v>306</v>
      </c>
      <c r="E2509" s="74">
        <v>2.5000000000000001E-2</v>
      </c>
      <c r="F2509" s="78" t="s">
        <v>237</v>
      </c>
      <c r="G2509" s="77" t="s">
        <v>220</v>
      </c>
      <c r="H2509" t="str">
        <f>VLOOKUP(D2509,'DETALLE PRECIO INGREDIENTES'!B:B,1,0)</f>
        <v>COCO RALLADO</v>
      </c>
    </row>
    <row r="2510" spans="2:8" hidden="1" x14ac:dyDescent="0.35">
      <c r="B2510" s="80" t="s">
        <v>36</v>
      </c>
      <c r="C2510" s="80" t="s">
        <v>31</v>
      </c>
      <c r="D2510" s="73" t="s">
        <v>576</v>
      </c>
      <c r="E2510" s="74">
        <v>0.03</v>
      </c>
      <c r="F2510" s="78" t="s">
        <v>259</v>
      </c>
      <c r="G2510" s="77" t="s">
        <v>573</v>
      </c>
      <c r="H2510" t="str">
        <f>VLOOKUP(D2510,'DETALLE PRECIO INGREDIENTES'!B:B,1,0)</f>
        <v>COLORANTE HIDROSOLUBLE POLVO AMARILLO</v>
      </c>
    </row>
    <row r="2511" spans="2:8" hidden="1" x14ac:dyDescent="0.35">
      <c r="B2511" s="80" t="s">
        <v>36</v>
      </c>
      <c r="C2511" s="80" t="s">
        <v>31</v>
      </c>
      <c r="D2511" s="73" t="s">
        <v>577</v>
      </c>
      <c r="E2511" s="74">
        <v>0.03</v>
      </c>
      <c r="F2511" s="78" t="s">
        <v>259</v>
      </c>
      <c r="G2511" s="77" t="s">
        <v>573</v>
      </c>
      <c r="H2511" t="str">
        <f>VLOOKUP(D2511,'DETALLE PRECIO INGREDIENTES'!B:B,1,0)</f>
        <v>COLORANTE HIDROSOLUBLE POLVO ROJO</v>
      </c>
    </row>
    <row r="2512" spans="2:8" hidden="1" x14ac:dyDescent="0.35">
      <c r="B2512" s="80" t="s">
        <v>36</v>
      </c>
      <c r="C2512" s="80" t="s">
        <v>31</v>
      </c>
      <c r="D2512" s="73" t="s">
        <v>578</v>
      </c>
      <c r="E2512" s="74">
        <v>0.03</v>
      </c>
      <c r="F2512" s="78" t="s">
        <v>259</v>
      </c>
      <c r="G2512" s="77" t="s">
        <v>573</v>
      </c>
      <c r="H2512" t="str">
        <f>VLOOKUP(D2512,'DETALLE PRECIO INGREDIENTES'!B:B,1,0)</f>
        <v>COLORANTE HIDROSOLUBLE POLVO VERDE PISTACHO</v>
      </c>
    </row>
    <row r="2513" spans="2:8" hidden="1" x14ac:dyDescent="0.35">
      <c r="B2513" s="80" t="s">
        <v>36</v>
      </c>
      <c r="C2513" s="80" t="s">
        <v>31</v>
      </c>
      <c r="D2513" s="73" t="s">
        <v>660</v>
      </c>
      <c r="E2513" s="74">
        <v>1.2500000000000001E-2</v>
      </c>
      <c r="F2513" s="78" t="s">
        <v>237</v>
      </c>
      <c r="G2513" s="77" t="s">
        <v>621</v>
      </c>
      <c r="H2513" t="str">
        <f>VLOOKUP(D2513,'DETALLE PRECIO INGREDIENTES'!B:B,1,0)</f>
        <v>CRANBERRIES</v>
      </c>
    </row>
    <row r="2514" spans="2:8" hidden="1" x14ac:dyDescent="0.35">
      <c r="B2514" s="80" t="s">
        <v>36</v>
      </c>
      <c r="C2514" s="80" t="s">
        <v>31</v>
      </c>
      <c r="D2514" s="73" t="s">
        <v>738</v>
      </c>
      <c r="E2514" s="74">
        <v>2.5000000000000001E-2</v>
      </c>
      <c r="F2514" s="78" t="s">
        <v>222</v>
      </c>
      <c r="G2514" s="77" t="s">
        <v>736</v>
      </c>
      <c r="H2514" t="str">
        <f>VLOOKUP(D2514,'DETALLE PRECIO INGREDIENTES'!B:B,1,0)</f>
        <v>CREMA DE COCO</v>
      </c>
    </row>
    <row r="2515" spans="2:8" hidden="1" x14ac:dyDescent="0.35">
      <c r="B2515" s="80" t="s">
        <v>36</v>
      </c>
      <c r="C2515" s="80" t="s">
        <v>31</v>
      </c>
      <c r="D2515" s="73" t="s">
        <v>312</v>
      </c>
      <c r="E2515" s="74">
        <v>1.7500000000000002E-2</v>
      </c>
      <c r="F2515" s="78" t="s">
        <v>259</v>
      </c>
      <c r="G2515" s="77" t="s">
        <v>220</v>
      </c>
      <c r="H2515" t="str">
        <f>VLOOKUP(D2515,'DETALLE PRECIO INGREDIENTES'!B:B,1,0)</f>
        <v>CREMA DE COCO S/AZUCAR</v>
      </c>
    </row>
    <row r="2516" spans="2:8" hidden="1" x14ac:dyDescent="0.35">
      <c r="B2516" s="80" t="s">
        <v>36</v>
      </c>
      <c r="C2516" s="80" t="s">
        <v>31</v>
      </c>
      <c r="D2516" s="73" t="s">
        <v>313</v>
      </c>
      <c r="E2516" s="74">
        <v>6.5750000000000003E-2</v>
      </c>
      <c r="F2516" s="78" t="s">
        <v>222</v>
      </c>
      <c r="G2516" s="77" t="s">
        <v>220</v>
      </c>
      <c r="H2516" t="str">
        <f>VLOOKUP(D2516,'DETALLE PRECIO INGREDIENTES'!B:B,1,0)</f>
        <v>CREMA MIX VEGETAL</v>
      </c>
    </row>
    <row r="2517" spans="2:8" hidden="1" x14ac:dyDescent="0.35">
      <c r="B2517" s="80" t="s">
        <v>36</v>
      </c>
      <c r="C2517" s="80" t="s">
        <v>31</v>
      </c>
      <c r="D2517" s="73" t="s">
        <v>316</v>
      </c>
      <c r="E2517" s="74">
        <v>5.0000000000000001E-4</v>
      </c>
      <c r="F2517" s="78" t="s">
        <v>237</v>
      </c>
      <c r="G2517" s="77" t="s">
        <v>220</v>
      </c>
      <c r="H2517" t="str">
        <f>VLOOKUP(D2517,'DETALLE PRECIO INGREDIENTES'!B:B,1,0)</f>
        <v>CREMOR TARTARO</v>
      </c>
    </row>
    <row r="2518" spans="2:8" hidden="1" x14ac:dyDescent="0.35">
      <c r="B2518" s="80" t="s">
        <v>36</v>
      </c>
      <c r="C2518" s="80" t="s">
        <v>31</v>
      </c>
      <c r="D2518" s="73" t="s">
        <v>661</v>
      </c>
      <c r="E2518" s="74">
        <v>3.7499999999999999E-2</v>
      </c>
      <c r="F2518" s="78" t="s">
        <v>237</v>
      </c>
      <c r="G2518" s="77" t="s">
        <v>621</v>
      </c>
      <c r="H2518" t="str">
        <f>VLOOKUP(D2518,'DETALLE PRECIO INGREDIENTES'!B:B,1,0)</f>
        <v>DAMASCOS TURCOS</v>
      </c>
    </row>
    <row r="2519" spans="2:8" hidden="1" x14ac:dyDescent="0.35">
      <c r="B2519" s="80" t="s">
        <v>36</v>
      </c>
      <c r="C2519" s="80" t="s">
        <v>31</v>
      </c>
      <c r="D2519" s="73" t="s">
        <v>662</v>
      </c>
      <c r="E2519" s="74">
        <v>4.3499999999999997E-2</v>
      </c>
      <c r="F2519" s="78" t="s">
        <v>237</v>
      </c>
      <c r="G2519" s="77" t="s">
        <v>621</v>
      </c>
      <c r="H2519" t="str">
        <f>VLOOKUP(D2519,'DETALLE PRECIO INGREDIENTES'!B:B,1,0)</f>
        <v>DATILES</v>
      </c>
    </row>
    <row r="2520" spans="2:8" hidden="1" x14ac:dyDescent="0.35">
      <c r="B2520" s="80" t="s">
        <v>36</v>
      </c>
      <c r="C2520" s="80" t="s">
        <v>31</v>
      </c>
      <c r="D2520" s="73" t="s">
        <v>325</v>
      </c>
      <c r="E2520" s="74">
        <v>1.25E-3</v>
      </c>
      <c r="F2520" s="78" t="s">
        <v>222</v>
      </c>
      <c r="G2520" s="77" t="s">
        <v>220</v>
      </c>
      <c r="H2520" t="str">
        <f>VLOOKUP(D2520,'DETALLE PRECIO INGREDIENTES'!B:B,1,0)</f>
        <v>ESENCIA DE COCO</v>
      </c>
    </row>
    <row r="2521" spans="2:8" hidden="1" x14ac:dyDescent="0.35">
      <c r="B2521" s="80" t="s">
        <v>36</v>
      </c>
      <c r="C2521" s="80" t="s">
        <v>31</v>
      </c>
      <c r="D2521" s="73" t="s">
        <v>669</v>
      </c>
      <c r="E2521" s="74">
        <v>1.4999999999999999E-2</v>
      </c>
      <c r="F2521" s="78" t="s">
        <v>237</v>
      </c>
      <c r="G2521" s="77" t="s">
        <v>621</v>
      </c>
      <c r="H2521" t="str">
        <f>VLOOKUP(D2521,'DETALLE PRECIO INGREDIENTES'!B:B,1,0)</f>
        <v>FRAMBUESA FRESCA</v>
      </c>
    </row>
    <row r="2522" spans="2:8" hidden="1" x14ac:dyDescent="0.35">
      <c r="B2522" s="80" t="s">
        <v>36</v>
      </c>
      <c r="C2522" s="80" t="s">
        <v>31</v>
      </c>
      <c r="D2522" s="73" t="s">
        <v>671</v>
      </c>
      <c r="E2522" s="74">
        <v>3.7499999999999999E-2</v>
      </c>
      <c r="F2522" s="78" t="s">
        <v>237</v>
      </c>
      <c r="G2522" s="77" t="s">
        <v>621</v>
      </c>
      <c r="H2522" t="str">
        <f>VLOOKUP(D2522,'DETALLE PRECIO INGREDIENTES'!B:B,1,0)</f>
        <v>FRUTILLA FRESCA</v>
      </c>
    </row>
    <row r="2523" spans="2:8" hidden="1" x14ac:dyDescent="0.35">
      <c r="B2523" s="80" t="s">
        <v>36</v>
      </c>
      <c r="C2523" s="80" t="s">
        <v>31</v>
      </c>
      <c r="D2523" s="73" t="s">
        <v>338</v>
      </c>
      <c r="E2523" s="74">
        <v>0.03</v>
      </c>
      <c r="F2523" s="78" t="s">
        <v>259</v>
      </c>
      <c r="G2523" s="77" t="s">
        <v>220</v>
      </c>
      <c r="H2523" t="str">
        <f>VLOOKUP(D2523,'DETALLE PRECIO INGREDIENTES'!B:B,1,0)</f>
        <v>GALLETA DIET GULLON</v>
      </c>
    </row>
    <row r="2524" spans="2:8" hidden="1" x14ac:dyDescent="0.35">
      <c r="B2524" s="80" t="s">
        <v>36</v>
      </c>
      <c r="C2524" s="80" t="s">
        <v>31</v>
      </c>
      <c r="D2524" s="73" t="s">
        <v>342</v>
      </c>
      <c r="E2524" s="74">
        <v>6.25E-2</v>
      </c>
      <c r="F2524" s="78" t="s">
        <v>237</v>
      </c>
      <c r="G2524" s="77" t="s">
        <v>220</v>
      </c>
      <c r="H2524" t="str">
        <f>VLOOKUP(D2524,'DETALLE PRECIO INGREDIENTES'!B:B,1,0)</f>
        <v>GARBANZOS</v>
      </c>
    </row>
    <row r="2525" spans="2:8" hidden="1" x14ac:dyDescent="0.35">
      <c r="B2525" s="80" t="s">
        <v>36</v>
      </c>
      <c r="C2525" s="80" t="s">
        <v>31</v>
      </c>
      <c r="D2525" s="73" t="s">
        <v>345</v>
      </c>
      <c r="E2525" s="74">
        <v>3.2499999999999999E-3</v>
      </c>
      <c r="F2525" s="78" t="s">
        <v>237</v>
      </c>
      <c r="G2525" s="77" t="s">
        <v>220</v>
      </c>
      <c r="H2525" t="str">
        <f>VLOOKUP(D2525,'DETALLE PRECIO INGREDIENTES'!B:B,1,0)</f>
        <v>GELATINA SIN SABOR</v>
      </c>
    </row>
    <row r="2526" spans="2:8" hidden="1" x14ac:dyDescent="0.35">
      <c r="B2526" s="80" t="s">
        <v>36</v>
      </c>
      <c r="C2526" s="80" t="s">
        <v>31</v>
      </c>
      <c r="D2526" s="73" t="s">
        <v>352</v>
      </c>
      <c r="E2526" s="74">
        <v>5.0000000000000001E-4</v>
      </c>
      <c r="F2526" s="78" t="s">
        <v>237</v>
      </c>
      <c r="G2526" s="77" t="s">
        <v>220</v>
      </c>
      <c r="H2526" t="str">
        <f>VLOOKUP(D2526,'DETALLE PRECIO INGREDIENTES'!B:B,1,0)</f>
        <v>GOMA XANTANA</v>
      </c>
    </row>
    <row r="2527" spans="2:8" hidden="1" x14ac:dyDescent="0.35">
      <c r="B2527" s="80" t="s">
        <v>36</v>
      </c>
      <c r="C2527" s="80" t="s">
        <v>31</v>
      </c>
      <c r="D2527" s="73" t="s">
        <v>354</v>
      </c>
      <c r="E2527" s="74">
        <v>2.8250000000000001E-2</v>
      </c>
      <c r="F2527" s="78" t="s">
        <v>237</v>
      </c>
      <c r="G2527" s="77" t="s">
        <v>220</v>
      </c>
      <c r="H2527" t="str">
        <f>VLOOKUP(D2527,'DETALLE PRECIO INGREDIENTES'!B:B,1,0)</f>
        <v>HARINA BIZCOCHERA</v>
      </c>
    </row>
    <row r="2528" spans="2:8" hidden="1" x14ac:dyDescent="0.35">
      <c r="B2528" s="80" t="s">
        <v>36</v>
      </c>
      <c r="C2528" s="80" t="s">
        <v>31</v>
      </c>
      <c r="D2528" s="73" t="s">
        <v>355</v>
      </c>
      <c r="E2528" s="74">
        <v>0.14399999999999999</v>
      </c>
      <c r="F2528" s="78" t="s">
        <v>237</v>
      </c>
      <c r="G2528" s="77" t="s">
        <v>220</v>
      </c>
      <c r="H2528" t="str">
        <f>VLOOKUP(D2528,'DETALLE PRECIO INGREDIENTES'!B:B,1,0)</f>
        <v>HARINA DE ALMENDRA</v>
      </c>
    </row>
    <row r="2529" spans="2:8" hidden="1" x14ac:dyDescent="0.35">
      <c r="B2529" s="80" t="s">
        <v>36</v>
      </c>
      <c r="C2529" s="80" t="s">
        <v>31</v>
      </c>
      <c r="D2529" s="73" t="s">
        <v>729</v>
      </c>
      <c r="E2529" s="74">
        <v>0.75</v>
      </c>
      <c r="F2529" s="78" t="s">
        <v>259</v>
      </c>
      <c r="G2529" s="77" t="s">
        <v>728</v>
      </c>
      <c r="H2529" t="str">
        <f>VLOOKUP(D2529,'DETALLE PRECIO INGREDIENTES'!B:B,1,0)</f>
        <v>HUEVO EXTRA BLANCO</v>
      </c>
    </row>
    <row r="2530" spans="2:8" hidden="1" x14ac:dyDescent="0.35">
      <c r="B2530" s="80" t="s">
        <v>36</v>
      </c>
      <c r="C2530" s="80" t="s">
        <v>31</v>
      </c>
      <c r="D2530" s="73" t="s">
        <v>366</v>
      </c>
      <c r="E2530" s="74">
        <v>4.8125000000000001E-2</v>
      </c>
      <c r="F2530" s="78" t="s">
        <v>222</v>
      </c>
      <c r="G2530" s="77" t="s">
        <v>220</v>
      </c>
      <c r="H2530" t="str">
        <f>VLOOKUP(D2530,'DETALLE PRECIO INGREDIENTES'!B:B,1,0)</f>
        <v>JARABE DE MAIZ</v>
      </c>
    </row>
    <row r="2531" spans="2:8" hidden="1" x14ac:dyDescent="0.35">
      <c r="B2531" s="80" t="s">
        <v>36</v>
      </c>
      <c r="C2531" s="80" t="s">
        <v>31</v>
      </c>
      <c r="D2531" s="73" t="s">
        <v>368</v>
      </c>
      <c r="E2531" s="74">
        <v>1.25E-3</v>
      </c>
      <c r="F2531" s="78" t="s">
        <v>237</v>
      </c>
      <c r="G2531" s="77" t="s">
        <v>220</v>
      </c>
      <c r="H2531" t="str">
        <f>VLOOKUP(D2531,'DETALLE PRECIO INGREDIENTES'!B:B,1,0)</f>
        <v>JENGIBRE MOLIDO</v>
      </c>
    </row>
    <row r="2532" spans="2:8" hidden="1" x14ac:dyDescent="0.35">
      <c r="B2532" s="80" t="s">
        <v>36</v>
      </c>
      <c r="C2532" s="80" t="s">
        <v>31</v>
      </c>
      <c r="D2532" s="73" t="s">
        <v>741</v>
      </c>
      <c r="E2532" s="74">
        <v>0.05</v>
      </c>
      <c r="F2532" s="78" t="s">
        <v>259</v>
      </c>
      <c r="G2532" s="77" t="s">
        <v>736</v>
      </c>
      <c r="H2532" t="str">
        <f>VLOOKUP(D2532,'DETALLE PRECIO INGREDIENTES'!B:B,1,0)</f>
        <v>LECHE CONDENSADA DE AVENA (SAMUI) 320gr</v>
      </c>
    </row>
    <row r="2533" spans="2:8" hidden="1" x14ac:dyDescent="0.35">
      <c r="B2533" s="80" t="s">
        <v>36</v>
      </c>
      <c r="C2533" s="80" t="s">
        <v>31</v>
      </c>
      <c r="D2533" s="73" t="s">
        <v>742</v>
      </c>
      <c r="E2533" s="74">
        <v>0.02</v>
      </c>
      <c r="F2533" s="78" t="s">
        <v>222</v>
      </c>
      <c r="G2533" s="77" t="s">
        <v>736</v>
      </c>
      <c r="H2533" t="str">
        <f>VLOOKUP(D2533,'DETALLE PRECIO INGREDIENTES'!B:B,1,0)</f>
        <v>LECHE DE ALMENDRAS</v>
      </c>
    </row>
    <row r="2534" spans="2:8" hidden="1" x14ac:dyDescent="0.35">
      <c r="B2534" s="80" t="s">
        <v>36</v>
      </c>
      <c r="C2534" s="80" t="s">
        <v>31</v>
      </c>
      <c r="D2534" s="73" t="s">
        <v>746</v>
      </c>
      <c r="E2534" s="74">
        <v>0.02</v>
      </c>
      <c r="F2534" s="78" t="s">
        <v>237</v>
      </c>
      <c r="G2534" s="77" t="s">
        <v>736</v>
      </c>
      <c r="H2534" t="str">
        <f>VLOOKUP(D2534,'DETALLE PRECIO INGREDIENTES'!B:B,1,0)</f>
        <v>LECHE EN POLVO DESCREMADA</v>
      </c>
    </row>
    <row r="2535" spans="2:8" hidden="1" x14ac:dyDescent="0.35">
      <c r="B2535" s="80" t="s">
        <v>36</v>
      </c>
      <c r="C2535" s="80" t="s">
        <v>31</v>
      </c>
      <c r="D2535" s="73" t="s">
        <v>680</v>
      </c>
      <c r="E2535" s="74">
        <v>7.7499999999999999E-2</v>
      </c>
      <c r="F2535" s="78" t="s">
        <v>237</v>
      </c>
      <c r="G2535" s="77" t="s">
        <v>621</v>
      </c>
      <c r="H2535" t="str">
        <f>VLOOKUP(D2535,'DETALLE PRECIO INGREDIENTES'!B:B,1,0)</f>
        <v>LIMON DE JUGO</v>
      </c>
    </row>
    <row r="2536" spans="2:8" hidden="1" x14ac:dyDescent="0.35">
      <c r="B2536" s="80" t="s">
        <v>36</v>
      </c>
      <c r="C2536" s="80" t="s">
        <v>31</v>
      </c>
      <c r="D2536" s="73" t="s">
        <v>379</v>
      </c>
      <c r="E2536" s="74">
        <v>0.04</v>
      </c>
      <c r="F2536" s="78" t="s">
        <v>237</v>
      </c>
      <c r="G2536" s="77" t="s">
        <v>220</v>
      </c>
      <c r="H2536" t="str">
        <f>VLOOKUP(D2536,'DETALLE PRECIO INGREDIENTES'!B:B,1,0)</f>
        <v>MANI CON PIEL</v>
      </c>
    </row>
    <row r="2537" spans="2:8" hidden="1" x14ac:dyDescent="0.35">
      <c r="B2537" s="80" t="s">
        <v>36</v>
      </c>
      <c r="C2537" s="80" t="s">
        <v>31</v>
      </c>
      <c r="D2537" s="73" t="s">
        <v>382</v>
      </c>
      <c r="E2537" s="74">
        <v>3.7499999999999999E-2</v>
      </c>
      <c r="F2537" s="78" t="s">
        <v>237</v>
      </c>
      <c r="G2537" s="77" t="s">
        <v>220</v>
      </c>
      <c r="H2537" t="str">
        <f>VLOOKUP(D2537,'DETALLE PRECIO INGREDIENTES'!B:B,1,0)</f>
        <v>MANTEQUILLA DE MANÍ CROCANTE</v>
      </c>
    </row>
    <row r="2538" spans="2:8" hidden="1" x14ac:dyDescent="0.35">
      <c r="B2538" s="80" t="s">
        <v>36</v>
      </c>
      <c r="C2538" s="80" t="s">
        <v>31</v>
      </c>
      <c r="D2538" s="73" t="s">
        <v>751</v>
      </c>
      <c r="E2538" s="74">
        <v>2.1999999999999999E-2</v>
      </c>
      <c r="F2538" s="78" t="s">
        <v>237</v>
      </c>
      <c r="G2538" s="77" t="s">
        <v>736</v>
      </c>
      <c r="H2538" t="str">
        <f>VLOOKUP(D2538,'DETALLE PRECIO INGREDIENTES'!B:B,1,0)</f>
        <v>MANTEQUILLA SIN SAL</v>
      </c>
    </row>
    <row r="2539" spans="2:8" hidden="1" x14ac:dyDescent="0.35">
      <c r="B2539" s="80" t="s">
        <v>36</v>
      </c>
      <c r="C2539" s="80" t="s">
        <v>31</v>
      </c>
      <c r="D2539" s="73" t="s">
        <v>754</v>
      </c>
      <c r="E2539" s="74">
        <v>3.125E-2</v>
      </c>
      <c r="F2539" s="78" t="s">
        <v>237</v>
      </c>
      <c r="G2539" s="77" t="s">
        <v>736</v>
      </c>
      <c r="H2539" t="str">
        <f>VLOOKUP(D2539,'DETALLE PRECIO INGREDIENTES'!B:B,1,0)</f>
        <v>MARGARINA DE HORNEO</v>
      </c>
    </row>
    <row r="2540" spans="2:8" hidden="1" x14ac:dyDescent="0.35">
      <c r="B2540" s="80" t="s">
        <v>36</v>
      </c>
      <c r="C2540" s="80" t="s">
        <v>31</v>
      </c>
      <c r="D2540" s="73" t="s">
        <v>394</v>
      </c>
      <c r="E2540" s="74">
        <v>3.7499999999999999E-3</v>
      </c>
      <c r="F2540" s="78" t="s">
        <v>237</v>
      </c>
      <c r="G2540" s="77" t="s">
        <v>220</v>
      </c>
      <c r="H2540" t="str">
        <f>VLOOKUP(D2540,'DETALLE PRECIO INGREDIENTES'!B:B,1,0)</f>
        <v>MIEL DE PALMA</v>
      </c>
    </row>
    <row r="2541" spans="2:8" hidden="1" x14ac:dyDescent="0.35">
      <c r="B2541" s="80" t="s">
        <v>36</v>
      </c>
      <c r="C2541" s="80" t="s">
        <v>31</v>
      </c>
      <c r="D2541" s="73" t="s">
        <v>688</v>
      </c>
      <c r="E2541" s="74">
        <v>3.5000000000000003E-2</v>
      </c>
      <c r="F2541" s="78" t="s">
        <v>237</v>
      </c>
      <c r="G2541" s="77" t="s">
        <v>621</v>
      </c>
      <c r="H2541" t="str">
        <f>VLOOKUP(D2541,'DETALLE PRECIO INGREDIENTES'!B:B,1,0)</f>
        <v>MORAS CONGELADAS</v>
      </c>
    </row>
    <row r="2542" spans="2:8" hidden="1" x14ac:dyDescent="0.35">
      <c r="B2542" s="80" t="s">
        <v>36</v>
      </c>
      <c r="C2542" s="80" t="s">
        <v>31</v>
      </c>
      <c r="D2542" s="73" t="s">
        <v>725</v>
      </c>
      <c r="E2542" s="74">
        <v>0.02</v>
      </c>
      <c r="F2542" s="78" t="s">
        <v>237</v>
      </c>
      <c r="G2542" s="77" t="s">
        <v>724</v>
      </c>
      <c r="H2542" t="str">
        <f>VLOOKUP(D2542,'DETALLE PRECIO INGREDIENTES'!B:B,1,0)</f>
        <v>NUEZ CUARTILLO</v>
      </c>
    </row>
    <row r="2543" spans="2:8" hidden="1" x14ac:dyDescent="0.35">
      <c r="B2543" s="80" t="s">
        <v>36</v>
      </c>
      <c r="C2543" s="80" t="s">
        <v>31</v>
      </c>
      <c r="D2543" s="73" t="s">
        <v>511</v>
      </c>
      <c r="E2543" s="74">
        <v>0.25</v>
      </c>
      <c r="F2543" s="78" t="s">
        <v>259</v>
      </c>
      <c r="G2543" s="77" t="s">
        <v>485</v>
      </c>
      <c r="H2543" t="str">
        <f>VLOOKUP(D2543,'DETALLE PRECIO INGREDIENTES'!B:B,1,0)</f>
        <v>PAPEL CERESINADO PLIEGO</v>
      </c>
    </row>
    <row r="2544" spans="2:8" hidden="1" x14ac:dyDescent="0.35">
      <c r="B2544" s="80" t="s">
        <v>36</v>
      </c>
      <c r="C2544" s="80" t="s">
        <v>31</v>
      </c>
      <c r="D2544" s="73" t="s">
        <v>418</v>
      </c>
      <c r="E2544" s="74">
        <v>6.2500000000000003E-3</v>
      </c>
      <c r="F2544" s="78" t="s">
        <v>237</v>
      </c>
      <c r="G2544" s="77" t="s">
        <v>220</v>
      </c>
      <c r="H2544" t="str">
        <f>VLOOKUP(D2544,'DETALLE PRECIO INGREDIENTES'!B:B,1,0)</f>
        <v>PASTA DE PISTACHOS</v>
      </c>
    </row>
    <row r="2545" spans="2:8" hidden="1" x14ac:dyDescent="0.35">
      <c r="B2545" s="80" t="s">
        <v>36</v>
      </c>
      <c r="C2545" s="80" t="s">
        <v>31</v>
      </c>
      <c r="D2545" s="73" t="s">
        <v>422</v>
      </c>
      <c r="E2545" s="74">
        <v>2E-3</v>
      </c>
      <c r="F2545" s="78" t="s">
        <v>237</v>
      </c>
      <c r="G2545" s="77" t="s">
        <v>220</v>
      </c>
      <c r="H2545" t="str">
        <f>VLOOKUP(D2545,'DETALLE PRECIO INGREDIENTES'!B:B,1,0)</f>
        <v>PECTINA NH</v>
      </c>
    </row>
    <row r="2546" spans="2:8" hidden="1" x14ac:dyDescent="0.35">
      <c r="B2546" s="80" t="s">
        <v>36</v>
      </c>
      <c r="C2546" s="80" t="s">
        <v>31</v>
      </c>
      <c r="D2546" s="73" t="s">
        <v>705</v>
      </c>
      <c r="E2546" s="74">
        <v>0.25</v>
      </c>
      <c r="F2546" s="78" t="s">
        <v>237</v>
      </c>
      <c r="G2546" s="77" t="s">
        <v>621</v>
      </c>
      <c r="H2546" t="str">
        <f>VLOOKUP(D2546,'DETALLE PRECIO INGREDIENTES'!B:B,1,0)</f>
        <v>PLATANOS</v>
      </c>
    </row>
    <row r="2547" spans="2:8" hidden="1" x14ac:dyDescent="0.35">
      <c r="B2547" s="80" t="s">
        <v>36</v>
      </c>
      <c r="C2547" s="80" t="s">
        <v>31</v>
      </c>
      <c r="D2547" s="73" t="s">
        <v>432</v>
      </c>
      <c r="E2547" s="74">
        <v>1.25E-3</v>
      </c>
      <c r="F2547" s="78" t="s">
        <v>237</v>
      </c>
      <c r="G2547" s="77" t="s">
        <v>220</v>
      </c>
      <c r="H2547" t="str">
        <f>VLOOKUP(D2547,'DETALLE PRECIO INGREDIENTES'!B:B,1,0)</f>
        <v>POLVOS DE HORNEAR</v>
      </c>
    </row>
    <row r="2548" spans="2:8" hidden="1" x14ac:dyDescent="0.35">
      <c r="B2548" s="80" t="s">
        <v>36</v>
      </c>
      <c r="C2548" s="80" t="s">
        <v>31</v>
      </c>
      <c r="D2548" s="73" t="s">
        <v>433</v>
      </c>
      <c r="E2548" s="74">
        <v>2.2499999999999998E-3</v>
      </c>
      <c r="F2548" s="78" t="s">
        <v>237</v>
      </c>
      <c r="G2548" s="77" t="s">
        <v>220</v>
      </c>
      <c r="H2548" t="str">
        <f>VLOOKUP(D2548,'DETALLE PRECIO INGREDIENTES'!B:B,1,0)</f>
        <v>POTATOWHIP</v>
      </c>
    </row>
    <row r="2549" spans="2:8" hidden="1" x14ac:dyDescent="0.35">
      <c r="B2549" s="80" t="s">
        <v>36</v>
      </c>
      <c r="C2549" s="80" t="s">
        <v>31</v>
      </c>
      <c r="D2549" s="73" t="s">
        <v>686</v>
      </c>
      <c r="E2549" s="74">
        <v>7.4999999999999997E-2</v>
      </c>
      <c r="F2549" s="78" t="s">
        <v>237</v>
      </c>
      <c r="G2549" s="77" t="s">
        <v>621</v>
      </c>
      <c r="H2549" t="str">
        <f>VLOOKUP(D2549,'DETALLE PRECIO INGREDIENTES'!B:B,1,0)</f>
        <v>MIX DE BERRIES CONGELADO</v>
      </c>
    </row>
    <row r="2550" spans="2:8" hidden="1" x14ac:dyDescent="0.35">
      <c r="B2550" s="80" t="s">
        <v>36</v>
      </c>
      <c r="C2550" s="80" t="s">
        <v>31</v>
      </c>
      <c r="D2550" s="73" t="s">
        <v>760</v>
      </c>
      <c r="E2550" s="74">
        <v>6.25E-2</v>
      </c>
      <c r="F2550" s="78" t="s">
        <v>237</v>
      </c>
      <c r="G2550" s="77" t="s">
        <v>736</v>
      </c>
      <c r="H2550" t="str">
        <f>VLOOKUP(D2550,'DETALLE PRECIO INGREDIENTES'!B:B,1,0)</f>
        <v>QUESO CREMA LIGHT</v>
      </c>
    </row>
    <row r="2551" spans="2:8" hidden="1" x14ac:dyDescent="0.35">
      <c r="B2551" s="80" t="s">
        <v>36</v>
      </c>
      <c r="C2551" s="80" t="s">
        <v>31</v>
      </c>
      <c r="D2551" s="73" t="s">
        <v>445</v>
      </c>
      <c r="E2551" s="74">
        <v>7.5000000000000002E-4</v>
      </c>
      <c r="F2551" s="78" t="s">
        <v>237</v>
      </c>
      <c r="G2551" s="77" t="s">
        <v>220</v>
      </c>
      <c r="H2551" t="str">
        <f>VLOOKUP(D2551,'DETALLE PRECIO INGREDIENTES'!B:B,1,0)</f>
        <v>SAL DE MESA LOBOS</v>
      </c>
    </row>
    <row r="2552" spans="2:8" hidden="1" x14ac:dyDescent="0.35">
      <c r="B2552" s="80" t="s">
        <v>36</v>
      </c>
      <c r="C2552" s="80" t="s">
        <v>31</v>
      </c>
      <c r="D2552" s="73" t="s">
        <v>453</v>
      </c>
      <c r="E2552" s="74">
        <v>1.2500000000000001E-2</v>
      </c>
      <c r="F2552" s="78" t="s">
        <v>237</v>
      </c>
      <c r="G2552" s="77" t="s">
        <v>220</v>
      </c>
      <c r="H2552" t="str">
        <f>VLOOKUP(D2552,'DETALLE PRECIO INGREDIENTES'!B:B,1,0)</f>
        <v>SEMILLA DE MARAVILLA</v>
      </c>
    </row>
    <row r="2553" spans="2:8" hidden="1" x14ac:dyDescent="0.35">
      <c r="B2553" s="80" t="s">
        <v>36</v>
      </c>
      <c r="C2553" s="80" t="s">
        <v>31</v>
      </c>
      <c r="D2553" s="73" t="s">
        <v>454</v>
      </c>
      <c r="E2553" s="74">
        <v>6.2500000000000003E-3</v>
      </c>
      <c r="F2553" s="78" t="s">
        <v>237</v>
      </c>
      <c r="G2553" s="77" t="s">
        <v>220</v>
      </c>
      <c r="H2553" t="str">
        <f>VLOOKUP(D2553,'DETALLE PRECIO INGREDIENTES'!B:B,1,0)</f>
        <v>SEMILLA ZAPALLO CAMOTE</v>
      </c>
    </row>
    <row r="2554" spans="2:8" hidden="1" x14ac:dyDescent="0.35">
      <c r="B2554" s="80" t="s">
        <v>36</v>
      </c>
      <c r="C2554" s="80" t="s">
        <v>31</v>
      </c>
      <c r="D2554" s="73" t="s">
        <v>616</v>
      </c>
      <c r="E2554" s="74">
        <v>5.2500000000000003E-3</v>
      </c>
      <c r="F2554" s="78" t="s">
        <v>237</v>
      </c>
      <c r="G2554" s="77" t="s">
        <v>612</v>
      </c>
      <c r="H2554" t="str">
        <f>VLOOKUP(D2554,'DETALLE PRECIO INGREDIENTES'!B:B,1,0)</f>
        <v>TAGATOSA</v>
      </c>
    </row>
    <row r="2555" spans="2:8" hidden="1" x14ac:dyDescent="0.35">
      <c r="B2555" s="80" t="s">
        <v>36</v>
      </c>
      <c r="C2555" s="80" t="s">
        <v>31</v>
      </c>
      <c r="D2555" s="73" t="s">
        <v>352</v>
      </c>
      <c r="E2555" s="74">
        <v>1.8749999999999999E-3</v>
      </c>
      <c r="F2555" s="78" t="s">
        <v>237</v>
      </c>
      <c r="G2555" s="77" t="s">
        <v>220</v>
      </c>
      <c r="H2555" t="str">
        <f>VLOOKUP(D2555,'DETALLE PRECIO INGREDIENTES'!B:B,1,0)</f>
        <v>GOMA XANTANA</v>
      </c>
    </row>
    <row r="2556" spans="2:8" hidden="1" x14ac:dyDescent="0.35">
      <c r="B2556" s="80" t="s">
        <v>36</v>
      </c>
      <c r="C2556" s="80" t="s">
        <v>31</v>
      </c>
      <c r="D2556" s="73" t="s">
        <v>887</v>
      </c>
      <c r="E2556" s="74">
        <v>5.6250000000000001E-2</v>
      </c>
      <c r="F2556" s="78" t="s">
        <v>237</v>
      </c>
      <c r="G2556" s="77" t="s">
        <v>884</v>
      </c>
      <c r="H2556" t="str">
        <f>VLOOKUP(D2556,'DETALLE PRECIO INGREDIENTES'!B:B,1,0)</f>
        <v>YOGURT NATURAL LIGHT</v>
      </c>
    </row>
    <row r="2557" spans="2:8" hidden="1" x14ac:dyDescent="0.35">
      <c r="B2557" s="80" t="s">
        <v>36</v>
      </c>
      <c r="C2557" s="80" t="s">
        <v>31</v>
      </c>
      <c r="D2557" s="73" t="s">
        <v>720</v>
      </c>
      <c r="E2557" s="74">
        <v>3.125E-2</v>
      </c>
      <c r="F2557" s="78" t="s">
        <v>237</v>
      </c>
      <c r="G2557" s="77" t="s">
        <v>621</v>
      </c>
      <c r="H2557" t="str">
        <f>VLOOKUP(D2557,'DETALLE PRECIO INGREDIENTES'!B:B,1,0)</f>
        <v>ZANAHORIA</v>
      </c>
    </row>
    <row r="2558" spans="2:8" hidden="1" x14ac:dyDescent="0.35">
      <c r="B2558" s="80" t="s">
        <v>36</v>
      </c>
      <c r="C2558" s="80" t="s">
        <v>31</v>
      </c>
      <c r="D2558" s="73" t="s">
        <v>292</v>
      </c>
      <c r="E2558" s="74">
        <v>7.5000000000000002E-4</v>
      </c>
      <c r="F2558" s="78" t="s">
        <v>237</v>
      </c>
      <c r="G2558" s="77" t="s">
        <v>220</v>
      </c>
      <c r="H2558" t="str">
        <f>VLOOKUP(D2558,'DETALLE PRECIO INGREDIENTES'!B:B,1,0)</f>
        <v>CANELA EN POLVO</v>
      </c>
    </row>
    <row r="2559" spans="2:8" hidden="1" x14ac:dyDescent="0.35">
      <c r="B2559" s="80" t="s">
        <v>36</v>
      </c>
      <c r="C2559" s="80" t="s">
        <v>31</v>
      </c>
      <c r="D2559" s="73" t="s">
        <v>405</v>
      </c>
      <c r="E2559" s="74">
        <v>2.5000000000000001E-4</v>
      </c>
      <c r="F2559" s="78" t="s">
        <v>237</v>
      </c>
      <c r="G2559" s="77" t="s">
        <v>220</v>
      </c>
      <c r="H2559" t="str">
        <f>VLOOKUP(D2559,'DETALLE PRECIO INGREDIENTES'!B:B,1,0)</f>
        <v>NUEZ MOSCADA MOLIDA</v>
      </c>
    </row>
    <row r="2560" spans="2:8" hidden="1" x14ac:dyDescent="0.35">
      <c r="B2560" s="80" t="s">
        <v>36</v>
      </c>
      <c r="C2560" s="80" t="s">
        <v>31</v>
      </c>
      <c r="D2560" s="73" t="s">
        <v>329</v>
      </c>
      <c r="E2560" s="74">
        <v>1.25E-3</v>
      </c>
      <c r="F2560" s="78" t="s">
        <v>222</v>
      </c>
      <c r="G2560" s="77" t="s">
        <v>220</v>
      </c>
      <c r="H2560" t="str">
        <f>VLOOKUP(D2560,'DETALLE PRECIO INGREDIENTES'!B:B,1,0)</f>
        <v>ESENCIA DE VAINILLA</v>
      </c>
    </row>
    <row r="2561" spans="2:8" hidden="1" x14ac:dyDescent="0.35">
      <c r="B2561" s="80" t="s">
        <v>36</v>
      </c>
      <c r="C2561" s="80" t="s">
        <v>31</v>
      </c>
      <c r="D2561" s="73" t="s">
        <v>690</v>
      </c>
      <c r="E2561" s="74">
        <v>1.2500000000000001E-2</v>
      </c>
      <c r="F2561" s="78" t="s">
        <v>237</v>
      </c>
      <c r="G2561" s="77" t="s">
        <v>621</v>
      </c>
      <c r="H2561" t="str">
        <f>VLOOKUP(D2561,'DETALLE PRECIO INGREDIENTES'!B:B,1,0)</f>
        <v>NARANJA DE JUGO</v>
      </c>
    </row>
    <row r="2562" spans="2:8" hidden="1" x14ac:dyDescent="0.35">
      <c r="B2562" s="80" t="s">
        <v>36</v>
      </c>
      <c r="C2562" s="80" t="s">
        <v>31</v>
      </c>
      <c r="D2562" s="73" t="s">
        <v>745</v>
      </c>
      <c r="E2562" s="74">
        <v>1.4999999999999999E-2</v>
      </c>
      <c r="F2562" s="78" t="s">
        <v>222</v>
      </c>
      <c r="G2562" s="77" t="s">
        <v>736</v>
      </c>
      <c r="H2562" t="str">
        <f>VLOOKUP(D2562,'DETALLE PRECIO INGREDIENTES'!B:B,1,0)</f>
        <v>LECHE DESCREMADA SIN LACTOSA</v>
      </c>
    </row>
    <row r="2563" spans="2:8" hidden="1" x14ac:dyDescent="0.35">
      <c r="B2563" s="80" t="s">
        <v>36</v>
      </c>
      <c r="C2563" s="80" t="s">
        <v>31</v>
      </c>
      <c r="D2563" s="73" t="s">
        <v>227</v>
      </c>
      <c r="E2563" s="74">
        <v>3.7499999999999999E-3</v>
      </c>
      <c r="F2563" s="78" t="s">
        <v>222</v>
      </c>
      <c r="G2563" s="77" t="s">
        <v>220</v>
      </c>
      <c r="H2563" t="str">
        <f>VLOOKUP(D2563,'DETALLE PRECIO INGREDIENTES'!B:B,1,0)</f>
        <v>ACEITE DE MAIZ</v>
      </c>
    </row>
    <row r="2564" spans="2:8" hidden="1" x14ac:dyDescent="0.35">
      <c r="B2564" s="80" t="s">
        <v>36</v>
      </c>
      <c r="C2564" s="80" t="s">
        <v>31</v>
      </c>
      <c r="D2564" s="73" t="s">
        <v>373</v>
      </c>
      <c r="E2564" s="74">
        <v>3.7499999999999999E-3</v>
      </c>
      <c r="F2564" s="78" t="s">
        <v>237</v>
      </c>
      <c r="G2564" s="77" t="s">
        <v>220</v>
      </c>
      <c r="H2564" t="str">
        <f>VLOOKUP(D2564,'DETALLE PRECIO INGREDIENTES'!B:B,1,0)</f>
        <v>LEVADURA FRESCA</v>
      </c>
    </row>
    <row r="2565" spans="2:8" hidden="1" x14ac:dyDescent="0.35">
      <c r="B2565" s="80" t="s">
        <v>36</v>
      </c>
      <c r="C2565" s="80" t="s">
        <v>31</v>
      </c>
      <c r="D2565" s="73" t="s">
        <v>716</v>
      </c>
      <c r="E2565" s="74">
        <v>2.5000000000000001E-2</v>
      </c>
      <c r="F2565" s="78" t="s">
        <v>237</v>
      </c>
      <c r="G2565" s="77" t="s">
        <v>621</v>
      </c>
      <c r="H2565" t="str">
        <f>VLOOKUP(D2565,'DETALLE PRECIO INGREDIENTES'!B:B,1,0)</f>
        <v>TOMATE LARGA VIDA</v>
      </c>
    </row>
    <row r="2566" spans="2:8" hidden="1" x14ac:dyDescent="0.35">
      <c r="B2566" s="80" t="s">
        <v>36</v>
      </c>
      <c r="C2566" s="80" t="s">
        <v>31</v>
      </c>
      <c r="D2566" s="73" t="s">
        <v>732</v>
      </c>
      <c r="E2566" s="74">
        <v>2.5000000000000001E-2</v>
      </c>
      <c r="F2566" s="78" t="s">
        <v>237</v>
      </c>
      <c r="G2566" s="77" t="s">
        <v>731</v>
      </c>
      <c r="H2566" t="str">
        <f>VLOOKUP(D2566,'DETALLE PRECIO INGREDIENTES'!B:B,1,0)</f>
        <v>JAMON ACARAMELADO LAMINADO</v>
      </c>
    </row>
    <row r="2567" spans="2:8" hidden="1" x14ac:dyDescent="0.35">
      <c r="B2567" s="80" t="s">
        <v>36</v>
      </c>
      <c r="C2567" s="80" t="s">
        <v>31</v>
      </c>
      <c r="D2567" s="73" t="s">
        <v>768</v>
      </c>
      <c r="E2567" s="74">
        <v>2.5000000000000001E-2</v>
      </c>
      <c r="F2567" s="78" t="s">
        <v>237</v>
      </c>
      <c r="G2567" s="77" t="s">
        <v>736</v>
      </c>
      <c r="H2567" t="str">
        <f>VLOOKUP(D2567,'DETALLE PRECIO INGREDIENTES'!B:B,1,0)</f>
        <v>QUESO MOZZARELLA</v>
      </c>
    </row>
    <row r="2568" spans="2:8" hidden="1" x14ac:dyDescent="0.35">
      <c r="B2568" s="80" t="s">
        <v>36</v>
      </c>
      <c r="C2568" s="80" t="s">
        <v>31</v>
      </c>
      <c r="D2568" s="73" t="s">
        <v>407</v>
      </c>
      <c r="E2568" s="74">
        <v>7.5000000000000002E-4</v>
      </c>
      <c r="F2568" s="78" t="s">
        <v>237</v>
      </c>
      <c r="G2568" s="77" t="s">
        <v>220</v>
      </c>
      <c r="H2568" t="str">
        <f>VLOOKUP(D2568,'DETALLE PRECIO INGREDIENTES'!B:B,1,0)</f>
        <v>OREGANO SECO</v>
      </c>
    </row>
    <row r="2569" spans="2:8" hidden="1" x14ac:dyDescent="0.35">
      <c r="B2569" s="80" t="s">
        <v>36</v>
      </c>
      <c r="C2569" s="80" t="s">
        <v>31</v>
      </c>
      <c r="D2569" s="73" t="s">
        <v>450</v>
      </c>
      <c r="E2569" s="74">
        <v>1.2500000000000001E-2</v>
      </c>
      <c r="F2569" s="78" t="s">
        <v>237</v>
      </c>
      <c r="G2569" s="77" t="s">
        <v>220</v>
      </c>
      <c r="H2569" t="str">
        <f>VLOOKUP(D2569,'DETALLE PRECIO INGREDIENTES'!B:B,1,0)</f>
        <v>SALSA DE TOMATES</v>
      </c>
    </row>
    <row r="2570" spans="2:8" hidden="1" x14ac:dyDescent="0.35">
      <c r="B2570" s="80" t="s">
        <v>36</v>
      </c>
      <c r="C2570" s="80" t="s">
        <v>31</v>
      </c>
      <c r="D2570" s="73" t="s">
        <v>230</v>
      </c>
      <c r="E2570" s="74">
        <v>3.7499999999999999E-3</v>
      </c>
      <c r="F2570" s="78" t="s">
        <v>222</v>
      </c>
      <c r="G2570" s="77" t="s">
        <v>220</v>
      </c>
      <c r="H2570" t="str">
        <f>VLOOKUP(D2570,'DETALLE PRECIO INGREDIENTES'!B:B,1,0)</f>
        <v>ACEITE DE OLIVA</v>
      </c>
    </row>
    <row r="2571" spans="2:8" hidden="1" x14ac:dyDescent="0.35">
      <c r="B2571" s="80" t="s">
        <v>36</v>
      </c>
      <c r="C2571" s="80" t="s">
        <v>31</v>
      </c>
      <c r="D2571" s="73" t="s">
        <v>357</v>
      </c>
      <c r="E2571" s="74">
        <v>2.5000000000000001E-2</v>
      </c>
      <c r="F2571" s="78" t="s">
        <v>237</v>
      </c>
      <c r="G2571" s="77" t="s">
        <v>220</v>
      </c>
      <c r="H2571" t="str">
        <f>VLOOKUP(D2571,'DETALLE PRECIO INGREDIENTES'!B:B,1,0)</f>
        <v>HARINA DE ARROZ SUPER FINA</v>
      </c>
    </row>
    <row r="2572" spans="2:8" hidden="1" x14ac:dyDescent="0.35">
      <c r="B2572" s="80" t="s">
        <v>36</v>
      </c>
      <c r="C2572" s="80" t="s">
        <v>31</v>
      </c>
      <c r="D2572" s="73" t="s">
        <v>360</v>
      </c>
      <c r="E2572" s="74">
        <v>1.2500000000000001E-2</v>
      </c>
      <c r="F2572" s="78" t="s">
        <v>237</v>
      </c>
      <c r="G2572" s="77" t="s">
        <v>220</v>
      </c>
      <c r="H2572" t="str">
        <f>VLOOKUP(D2572,'DETALLE PRECIO INGREDIENTES'!B:B,1,0)</f>
        <v>HARINA DE TAPIOCA/MANDIOCA</v>
      </c>
    </row>
    <row r="2573" spans="2:8" hidden="1" x14ac:dyDescent="0.35">
      <c r="B2573" s="80" t="s">
        <v>36</v>
      </c>
      <c r="C2573" s="80" t="s">
        <v>30</v>
      </c>
      <c r="D2573" s="73" t="s">
        <v>230</v>
      </c>
      <c r="E2573" s="74">
        <v>0.01</v>
      </c>
      <c r="F2573" s="78" t="s">
        <v>222</v>
      </c>
      <c r="G2573" s="77" t="s">
        <v>220</v>
      </c>
      <c r="H2573" t="str">
        <f>VLOOKUP(D2573,'DETALLE PRECIO INGREDIENTES'!B:B,1,0)</f>
        <v>ACEITE DE OLIVA</v>
      </c>
    </row>
    <row r="2574" spans="2:8" hidden="1" x14ac:dyDescent="0.35">
      <c r="B2574" s="80" t="s">
        <v>36</v>
      </c>
      <c r="C2574" s="80" t="s">
        <v>30</v>
      </c>
      <c r="D2574" s="73" t="s">
        <v>235</v>
      </c>
      <c r="E2574" s="74">
        <v>0.09</v>
      </c>
      <c r="F2574" s="78" t="s">
        <v>222</v>
      </c>
      <c r="G2574" s="77" t="s">
        <v>220</v>
      </c>
      <c r="H2574" t="str">
        <f>VLOOKUP(D2574,'DETALLE PRECIO INGREDIENTES'!B:B,1,0)</f>
        <v>ACEITE VEGETAL</v>
      </c>
    </row>
    <row r="2575" spans="2:8" hidden="1" x14ac:dyDescent="0.35">
      <c r="B2575" s="80" t="s">
        <v>36</v>
      </c>
      <c r="C2575" s="80" t="s">
        <v>30</v>
      </c>
      <c r="D2575" s="73" t="s">
        <v>628</v>
      </c>
      <c r="E2575" s="74">
        <v>1.5625E-2</v>
      </c>
      <c r="F2575" s="78" t="s">
        <v>259</v>
      </c>
      <c r="G2575" s="77" t="s">
        <v>621</v>
      </c>
      <c r="H2575" t="str">
        <f>VLOOKUP(D2575,'DETALLE PRECIO INGREDIENTES'!B:B,1,0)</f>
        <v>AJO CABEZA</v>
      </c>
    </row>
    <row r="2576" spans="2:8" hidden="1" x14ac:dyDescent="0.35">
      <c r="B2576" s="80" t="s">
        <v>36</v>
      </c>
      <c r="C2576" s="80" t="s">
        <v>30</v>
      </c>
      <c r="D2576" s="73" t="s">
        <v>278</v>
      </c>
      <c r="E2576" s="74">
        <v>0.05</v>
      </c>
      <c r="F2576" s="78" t="s">
        <v>237</v>
      </c>
      <c r="G2576" s="77" t="s">
        <v>220</v>
      </c>
      <c r="H2576" t="str">
        <f>VLOOKUP(D2576,'DETALLE PRECIO INGREDIENTES'!B:B,1,0)</f>
        <v>AZUCAR FLOR</v>
      </c>
    </row>
    <row r="2577" spans="2:8" hidden="1" x14ac:dyDescent="0.35">
      <c r="B2577" s="80" t="s">
        <v>36</v>
      </c>
      <c r="C2577" s="80" t="s">
        <v>30</v>
      </c>
      <c r="D2577" s="73" t="s">
        <v>277</v>
      </c>
      <c r="E2577" s="74">
        <v>0.28000000000000003</v>
      </c>
      <c r="F2577" s="78" t="s">
        <v>237</v>
      </c>
      <c r="G2577" s="77" t="s">
        <v>220</v>
      </c>
      <c r="H2577" t="str">
        <f>VLOOKUP(D2577,'DETALLE PRECIO INGREDIENTES'!B:B,1,0)</f>
        <v>AZUCAR BLANCA GRANULADA</v>
      </c>
    </row>
    <row r="2578" spans="2:8" hidden="1" x14ac:dyDescent="0.35">
      <c r="B2578" s="80" t="s">
        <v>36</v>
      </c>
      <c r="C2578" s="80" t="s">
        <v>30</v>
      </c>
      <c r="D2578" s="73" t="s">
        <v>284</v>
      </c>
      <c r="E2578" s="74">
        <v>0.04</v>
      </c>
      <c r="F2578" s="78" t="s">
        <v>237</v>
      </c>
      <c r="G2578" s="77" t="s">
        <v>220</v>
      </c>
      <c r="H2578" t="str">
        <f>VLOOKUP(D2578,'DETALLE PRECIO INGREDIENTES'!B:B,1,0)</f>
        <v>BICARBONATO DE SODIO</v>
      </c>
    </row>
    <row r="2579" spans="2:8" hidden="1" x14ac:dyDescent="0.35">
      <c r="B2579" s="80" t="s">
        <v>36</v>
      </c>
      <c r="C2579" s="80" t="s">
        <v>30</v>
      </c>
      <c r="D2579" s="73" t="s">
        <v>288</v>
      </c>
      <c r="E2579" s="74">
        <v>6.2500000000000003E-3</v>
      </c>
      <c r="F2579" s="78" t="s">
        <v>237</v>
      </c>
      <c r="G2579" s="77" t="s">
        <v>220</v>
      </c>
      <c r="H2579" t="str">
        <f>VLOOKUP(D2579,'DETALLE PRECIO INGREDIENTES'!B:B,1,0)</f>
        <v>CAFE INSTANTANEO</v>
      </c>
    </row>
    <row r="2580" spans="2:8" hidden="1" x14ac:dyDescent="0.35">
      <c r="B2580" s="80" t="s">
        <v>36</v>
      </c>
      <c r="C2580" s="80" t="s">
        <v>30</v>
      </c>
      <c r="D2580" s="73" t="s">
        <v>556</v>
      </c>
      <c r="E2580" s="74">
        <v>0.06</v>
      </c>
      <c r="F2580" s="78" t="s">
        <v>237</v>
      </c>
      <c r="G2580" s="77" t="s">
        <v>551</v>
      </c>
      <c r="H2580" t="str">
        <f>VLOOKUP(D2580,'DETALLE PRECIO INGREDIENTES'!B:B,1,0)</f>
        <v>CHOCOLATE AMARGO 56%</v>
      </c>
    </row>
    <row r="2581" spans="2:8" hidden="1" x14ac:dyDescent="0.35">
      <c r="B2581" s="80" t="s">
        <v>36</v>
      </c>
      <c r="C2581" s="80" t="s">
        <v>30</v>
      </c>
      <c r="D2581" s="73" t="s">
        <v>657</v>
      </c>
      <c r="E2581" s="74">
        <v>1.5625E-2</v>
      </c>
      <c r="F2581" s="78" t="s">
        <v>237</v>
      </c>
      <c r="G2581" s="77" t="s">
        <v>621</v>
      </c>
      <c r="H2581" t="str">
        <f>VLOOKUP(D2581,'DETALLE PRECIO INGREDIENTES'!B:B,1,0)</f>
        <v>CILANTRO</v>
      </c>
    </row>
    <row r="2582" spans="2:8" hidden="1" x14ac:dyDescent="0.35">
      <c r="B2582" s="80" t="s">
        <v>36</v>
      </c>
      <c r="C2582" s="80" t="s">
        <v>30</v>
      </c>
      <c r="D2582" s="73" t="s">
        <v>307</v>
      </c>
      <c r="E2582" s="74">
        <v>0.2</v>
      </c>
      <c r="F2582" s="78" t="s">
        <v>259</v>
      </c>
      <c r="G2582" s="77" t="s">
        <v>220</v>
      </c>
      <c r="H2582" t="str">
        <f>VLOOKUP(D2582,'DETALLE PRECIO INGREDIENTES'!B:B,1,0)</f>
        <v>COLAPEZ POR HOJA</v>
      </c>
    </row>
    <row r="2583" spans="2:8" hidden="1" x14ac:dyDescent="0.35">
      <c r="B2583" s="80" t="s">
        <v>36</v>
      </c>
      <c r="C2583" s="80" t="s">
        <v>30</v>
      </c>
      <c r="D2583" s="73" t="s">
        <v>576</v>
      </c>
      <c r="E2583" s="74">
        <v>0.03</v>
      </c>
      <c r="F2583" s="78" t="s">
        <v>259</v>
      </c>
      <c r="G2583" s="77" t="s">
        <v>573</v>
      </c>
      <c r="H2583" t="str">
        <f>VLOOKUP(D2583,'DETALLE PRECIO INGREDIENTES'!B:B,1,0)</f>
        <v>COLORANTE HIDROSOLUBLE POLVO AMARILLO</v>
      </c>
    </row>
    <row r="2584" spans="2:8" hidden="1" x14ac:dyDescent="0.35">
      <c r="B2584" s="80" t="s">
        <v>36</v>
      </c>
      <c r="C2584" s="80" t="s">
        <v>30</v>
      </c>
      <c r="D2584" s="73" t="s">
        <v>577</v>
      </c>
      <c r="E2584" s="74">
        <v>0.03</v>
      </c>
      <c r="F2584" s="78" t="s">
        <v>259</v>
      </c>
      <c r="G2584" s="77" t="s">
        <v>573</v>
      </c>
      <c r="H2584" t="str">
        <f>VLOOKUP(D2584,'DETALLE PRECIO INGREDIENTES'!B:B,1,0)</f>
        <v>COLORANTE HIDROSOLUBLE POLVO ROJO</v>
      </c>
    </row>
    <row r="2585" spans="2:8" hidden="1" x14ac:dyDescent="0.35">
      <c r="B2585" s="80" t="s">
        <v>36</v>
      </c>
      <c r="C2585" s="80" t="s">
        <v>30</v>
      </c>
      <c r="D2585" s="73" t="s">
        <v>578</v>
      </c>
      <c r="E2585" s="74">
        <v>0.03</v>
      </c>
      <c r="F2585" s="78" t="s">
        <v>259</v>
      </c>
      <c r="G2585" s="77" t="s">
        <v>573</v>
      </c>
      <c r="H2585" t="str">
        <f>VLOOKUP(D2585,'DETALLE PRECIO INGREDIENTES'!B:B,1,0)</f>
        <v>COLORANTE HIDROSOLUBLE POLVO VERDE PISTACHO</v>
      </c>
    </row>
    <row r="2586" spans="2:8" hidden="1" x14ac:dyDescent="0.35">
      <c r="B2586" s="80" t="s">
        <v>36</v>
      </c>
      <c r="C2586" s="80" t="s">
        <v>30</v>
      </c>
      <c r="D2586" s="73" t="s">
        <v>309</v>
      </c>
      <c r="E2586" s="74">
        <v>1.25E-3</v>
      </c>
      <c r="F2586" s="78" t="s">
        <v>237</v>
      </c>
      <c r="G2586" s="77" t="s">
        <v>220</v>
      </c>
      <c r="H2586" t="str">
        <f>VLOOKUP(D2586,'DETALLE PRECIO INGREDIENTES'!B:B,1,0)</f>
        <v>COMINO MOLIDO</v>
      </c>
    </row>
    <row r="2587" spans="2:8" hidden="1" x14ac:dyDescent="0.35">
      <c r="B2587" s="80" t="s">
        <v>36</v>
      </c>
      <c r="C2587" s="80" t="s">
        <v>30</v>
      </c>
      <c r="D2587" s="73" t="s">
        <v>739</v>
      </c>
      <c r="E2587" s="74">
        <v>0.15</v>
      </c>
      <c r="F2587" s="78" t="s">
        <v>222</v>
      </c>
      <c r="G2587" s="77" t="s">
        <v>736</v>
      </c>
      <c r="H2587" t="str">
        <f>VLOOKUP(D2587,'DETALLE PRECIO INGREDIENTES'!B:B,1,0)</f>
        <v>CREMA DE LECHE</v>
      </c>
    </row>
    <row r="2588" spans="2:8" hidden="1" x14ac:dyDescent="0.35">
      <c r="B2588" s="80" t="s">
        <v>36</v>
      </c>
      <c r="C2588" s="80" t="s">
        <v>30</v>
      </c>
      <c r="D2588" s="73" t="s">
        <v>602</v>
      </c>
      <c r="E2588" s="74">
        <v>0.1</v>
      </c>
      <c r="F2588" s="78" t="s">
        <v>259</v>
      </c>
      <c r="G2588" s="77" t="s">
        <v>601</v>
      </c>
      <c r="H2588" t="str">
        <f>VLOOKUP(D2588,'DETALLE PRECIO INGREDIENTES'!B:B,1,0)</f>
        <v>GARBANZOS EN CONSERVA WASIL 380 GR</v>
      </c>
    </row>
    <row r="2589" spans="2:8" hidden="1" x14ac:dyDescent="0.35">
      <c r="B2589" s="80" t="s">
        <v>36</v>
      </c>
      <c r="C2589" s="80" t="s">
        <v>30</v>
      </c>
      <c r="D2589" s="73" t="s">
        <v>354</v>
      </c>
      <c r="E2589" s="74">
        <v>0.25612499999999999</v>
      </c>
      <c r="F2589" s="78" t="s">
        <v>237</v>
      </c>
      <c r="G2589" s="77" t="s">
        <v>220</v>
      </c>
      <c r="H2589" t="str">
        <f>VLOOKUP(D2589,'DETALLE PRECIO INGREDIENTES'!B:B,1,0)</f>
        <v>HARINA BIZCOCHERA</v>
      </c>
    </row>
    <row r="2590" spans="2:8" hidden="1" x14ac:dyDescent="0.35">
      <c r="B2590" s="80" t="s">
        <v>36</v>
      </c>
      <c r="C2590" s="80" t="s">
        <v>30</v>
      </c>
      <c r="D2590" s="73" t="s">
        <v>355</v>
      </c>
      <c r="E2590" s="74">
        <v>2.75E-2</v>
      </c>
      <c r="F2590" s="78" t="s">
        <v>237</v>
      </c>
      <c r="G2590" s="77" t="s">
        <v>220</v>
      </c>
      <c r="H2590" t="str">
        <f>VLOOKUP(D2590,'DETALLE PRECIO INGREDIENTES'!B:B,1,0)</f>
        <v>HARINA DE ALMENDRA</v>
      </c>
    </row>
    <row r="2591" spans="2:8" hidden="1" x14ac:dyDescent="0.35">
      <c r="B2591" s="80" t="s">
        <v>36</v>
      </c>
      <c r="C2591" s="80" t="s">
        <v>30</v>
      </c>
      <c r="D2591" s="73" t="s">
        <v>356</v>
      </c>
      <c r="E2591" s="74">
        <v>0.06</v>
      </c>
      <c r="F2591" s="78" t="s">
        <v>237</v>
      </c>
      <c r="G2591" s="77" t="s">
        <v>220</v>
      </c>
      <c r="H2591" t="str">
        <f>VLOOKUP(D2591,'DETALLE PRECIO INGREDIENTES'!B:B,1,0)</f>
        <v>HARINA DE ARROZ GLUTINOSO</v>
      </c>
    </row>
    <row r="2592" spans="2:8" hidden="1" x14ac:dyDescent="0.35">
      <c r="B2592" s="80" t="s">
        <v>36</v>
      </c>
      <c r="C2592" s="80" t="s">
        <v>30</v>
      </c>
      <c r="D2592" s="73" t="s">
        <v>729</v>
      </c>
      <c r="E2592" s="74">
        <v>4.75</v>
      </c>
      <c r="F2592" s="78" t="s">
        <v>259</v>
      </c>
      <c r="G2592" s="77" t="s">
        <v>728</v>
      </c>
      <c r="H2592" t="str">
        <f>VLOOKUP(D2592,'DETALLE PRECIO INGREDIENTES'!B:B,1,0)</f>
        <v>HUEVO EXTRA BLANCO</v>
      </c>
    </row>
    <row r="2593" spans="2:8" hidden="1" x14ac:dyDescent="0.35">
      <c r="B2593" s="80" t="s">
        <v>36</v>
      </c>
      <c r="C2593" s="80" t="s">
        <v>30</v>
      </c>
      <c r="D2593" s="73" t="s">
        <v>374</v>
      </c>
      <c r="E2593" s="74">
        <v>2E-3</v>
      </c>
      <c r="F2593" s="78" t="s">
        <v>237</v>
      </c>
      <c r="G2593" s="77" t="s">
        <v>220</v>
      </c>
      <c r="H2593" t="str">
        <f>VLOOKUP(D2593,'DETALLE PRECIO INGREDIENTES'!B:B,1,0)</f>
        <v>LEVADURA SECA</v>
      </c>
    </row>
    <row r="2594" spans="2:8" hidden="1" x14ac:dyDescent="0.35">
      <c r="B2594" s="80" t="s">
        <v>36</v>
      </c>
      <c r="C2594" s="80" t="s">
        <v>30</v>
      </c>
      <c r="D2594" s="73" t="s">
        <v>680</v>
      </c>
      <c r="E2594" s="74">
        <v>4.0625000000000001E-2</v>
      </c>
      <c r="F2594" s="78" t="s">
        <v>237</v>
      </c>
      <c r="G2594" s="77" t="s">
        <v>621</v>
      </c>
      <c r="H2594" t="str">
        <f>VLOOKUP(D2594,'DETALLE PRECIO INGREDIENTES'!B:B,1,0)</f>
        <v>LIMON DE JUGO</v>
      </c>
    </row>
    <row r="2595" spans="2:8" hidden="1" x14ac:dyDescent="0.35">
      <c r="B2595" s="80" t="s">
        <v>36</v>
      </c>
      <c r="C2595" s="80" t="s">
        <v>30</v>
      </c>
      <c r="D2595" s="73" t="s">
        <v>375</v>
      </c>
      <c r="E2595" s="74">
        <v>1.2500000000000001E-2</v>
      </c>
      <c r="F2595" s="78" t="s">
        <v>237</v>
      </c>
      <c r="G2595" s="77" t="s">
        <v>220</v>
      </c>
      <c r="H2595" t="str">
        <f>VLOOKUP(D2595,'DETALLE PRECIO INGREDIENTES'!B:B,1,0)</f>
        <v>MAICENA</v>
      </c>
    </row>
    <row r="2596" spans="2:8" hidden="1" x14ac:dyDescent="0.35">
      <c r="B2596" s="80" t="s">
        <v>36</v>
      </c>
      <c r="C2596" s="80" t="s">
        <v>30</v>
      </c>
      <c r="D2596" s="73" t="s">
        <v>413</v>
      </c>
      <c r="E2596" s="74">
        <v>1.25E-3</v>
      </c>
      <c r="F2596" s="78" t="s">
        <v>237</v>
      </c>
      <c r="G2596" s="77" t="s">
        <v>220</v>
      </c>
      <c r="H2596" t="str">
        <f>VLOOKUP(D2596,'DETALLE PRECIO INGREDIENTES'!B:B,1,0)</f>
        <v>PAPRIKA</v>
      </c>
    </row>
    <row r="2597" spans="2:8" hidden="1" x14ac:dyDescent="0.35">
      <c r="B2597" s="80" t="s">
        <v>36</v>
      </c>
      <c r="C2597" s="80" t="s">
        <v>30</v>
      </c>
      <c r="D2597" s="73" t="s">
        <v>774</v>
      </c>
      <c r="E2597" s="74">
        <v>7.0000000000000007E-2</v>
      </c>
      <c r="F2597" s="78" t="s">
        <v>237</v>
      </c>
      <c r="G2597" s="77" t="s">
        <v>772</v>
      </c>
      <c r="H2597" t="str">
        <f>VLOOKUP(D2597,'DETALLE PRECIO INGREDIENTES'!B:B,1,0)</f>
        <v>POROTOS ROJO/ADZUKI</v>
      </c>
    </row>
    <row r="2598" spans="2:8" hidden="1" x14ac:dyDescent="0.35">
      <c r="B2598" s="80" t="s">
        <v>36</v>
      </c>
      <c r="C2598" s="80" t="s">
        <v>30</v>
      </c>
      <c r="D2598" s="73" t="s">
        <v>445</v>
      </c>
      <c r="E2598" s="74">
        <v>6.2500000000000003E-3</v>
      </c>
      <c r="F2598" s="78" t="s">
        <v>237</v>
      </c>
      <c r="G2598" s="77" t="s">
        <v>220</v>
      </c>
      <c r="H2598" t="str">
        <f>VLOOKUP(D2598,'DETALLE PRECIO INGREDIENTES'!B:B,1,0)</f>
        <v>SAL DE MESA LOBOS</v>
      </c>
    </row>
    <row r="2599" spans="2:8" hidden="1" x14ac:dyDescent="0.35">
      <c r="B2599" s="80" t="s">
        <v>36</v>
      </c>
      <c r="C2599" s="80" t="s">
        <v>30</v>
      </c>
      <c r="D2599" s="73" t="s">
        <v>444</v>
      </c>
      <c r="E2599" s="74">
        <v>6.2500000000000001E-4</v>
      </c>
      <c r="F2599" s="78" t="s">
        <v>237</v>
      </c>
      <c r="G2599" s="77" t="s">
        <v>220</v>
      </c>
      <c r="H2599" t="str">
        <f>VLOOKUP(D2599,'DETALLE PRECIO INGREDIENTES'!B:B,1,0)</f>
        <v>SAL DE MAR GRUESA</v>
      </c>
    </row>
    <row r="2600" spans="2:8" hidden="1" x14ac:dyDescent="0.35">
      <c r="B2600" s="80" t="s">
        <v>36</v>
      </c>
      <c r="C2600" s="80" t="s">
        <v>30</v>
      </c>
      <c r="D2600" s="73" t="s">
        <v>458</v>
      </c>
      <c r="E2600" s="74">
        <v>3.0999999999999999E-3</v>
      </c>
      <c r="F2600" s="78" t="s">
        <v>237</v>
      </c>
      <c r="G2600" s="77" t="s">
        <v>220</v>
      </c>
      <c r="H2600" t="str">
        <f>VLOOKUP(D2600,'DETALLE PRECIO INGREDIENTES'!B:B,1,0)</f>
        <v>SEMILLAS DE SESAMO BLANCO</v>
      </c>
    </row>
    <row r="2601" spans="2:8" hidden="1" x14ac:dyDescent="0.35">
      <c r="B2601" s="80" t="s">
        <v>36</v>
      </c>
      <c r="C2601" s="80" t="s">
        <v>30</v>
      </c>
      <c r="D2601" s="73" t="s">
        <v>459</v>
      </c>
      <c r="E2601" s="74">
        <v>3.1250000000000002E-3</v>
      </c>
      <c r="F2601" s="78" t="s">
        <v>237</v>
      </c>
      <c r="G2601" s="77" t="s">
        <v>220</v>
      </c>
      <c r="H2601" t="str">
        <f>VLOOKUP(D2601,'DETALLE PRECIO INGREDIENTES'!B:B,1,0)</f>
        <v>SEMILLAS DE SESAMO NEGRO</v>
      </c>
    </row>
    <row r="2602" spans="2:8" hidden="1" x14ac:dyDescent="0.35">
      <c r="B2602" s="80" t="s">
        <v>36</v>
      </c>
      <c r="C2602" s="80" t="s">
        <v>30</v>
      </c>
      <c r="D2602" s="73" t="s">
        <v>419</v>
      </c>
      <c r="E2602" s="74">
        <v>1.4999999999999999E-2</v>
      </c>
      <c r="F2602" s="78" t="s">
        <v>237</v>
      </c>
      <c r="G2602" s="77" t="s">
        <v>220</v>
      </c>
      <c r="H2602" t="str">
        <f>VLOOKUP(D2602,'DETALLE PRECIO INGREDIENTES'!B:B,1,0)</f>
        <v>PASTA DE SESAMO/TAHINE</v>
      </c>
    </row>
    <row r="2603" spans="2:8" hidden="1" x14ac:dyDescent="0.35">
      <c r="B2603" s="80" t="s">
        <v>36</v>
      </c>
      <c r="C2603" s="80" t="s">
        <v>30</v>
      </c>
      <c r="D2603" s="73" t="s">
        <v>759</v>
      </c>
      <c r="E2603" s="74">
        <v>0.22500000000000001</v>
      </c>
      <c r="F2603" s="78" t="s">
        <v>237</v>
      </c>
      <c r="G2603" s="77" t="s">
        <v>736</v>
      </c>
      <c r="H2603" t="str">
        <f>VLOOKUP(D2603,'DETALLE PRECIO INGREDIENTES'!B:B,1,0)</f>
        <v>QUESO CREMA</v>
      </c>
    </row>
    <row r="2604" spans="2:8" hidden="1" x14ac:dyDescent="0.35">
      <c r="B2604" s="80" t="s">
        <v>36</v>
      </c>
      <c r="C2604" s="80" t="s">
        <v>30</v>
      </c>
      <c r="D2604" s="73" t="s">
        <v>329</v>
      </c>
      <c r="E2604" s="74">
        <v>2.5000000000000001E-3</v>
      </c>
      <c r="F2604" s="78" t="s">
        <v>222</v>
      </c>
      <c r="G2604" s="77" t="s">
        <v>220</v>
      </c>
      <c r="H2604" t="str">
        <f>VLOOKUP(D2604,'DETALLE PRECIO INGREDIENTES'!B:B,1,0)</f>
        <v>ESENCIA DE VAINILLA</v>
      </c>
    </row>
    <row r="2605" spans="2:8" hidden="1" x14ac:dyDescent="0.35">
      <c r="B2605" s="80" t="s">
        <v>36</v>
      </c>
      <c r="C2605" s="80" t="s">
        <v>30</v>
      </c>
      <c r="D2605" s="73" t="s">
        <v>511</v>
      </c>
      <c r="E2605" s="74">
        <v>0.25</v>
      </c>
      <c r="F2605" s="78" t="s">
        <v>259</v>
      </c>
      <c r="G2605" s="77" t="s">
        <v>485</v>
      </c>
      <c r="H2605" t="str">
        <f>VLOOKUP(D2605,'DETALLE PRECIO INGREDIENTES'!B:B,1,0)</f>
        <v>PAPEL CERESINADO PLIEGO</v>
      </c>
    </row>
    <row r="2606" spans="2:8" hidden="1" x14ac:dyDescent="0.35">
      <c r="B2606" s="80" t="s">
        <v>36</v>
      </c>
      <c r="C2606" s="80" t="s">
        <v>30</v>
      </c>
      <c r="D2606" s="73" t="s">
        <v>722</v>
      </c>
      <c r="E2606" s="74">
        <v>0.1125</v>
      </c>
      <c r="F2606" s="78" t="s">
        <v>237</v>
      </c>
      <c r="G2606" s="77" t="s">
        <v>621</v>
      </c>
      <c r="H2606" t="str">
        <f>VLOOKUP(D2606,'DETALLE PRECIO INGREDIENTES'!B:B,1,0)</f>
        <v>ZAPALLO CAMOTE</v>
      </c>
    </row>
    <row r="2607" spans="2:8" hidden="1" x14ac:dyDescent="0.35">
      <c r="B2607" s="80" t="s">
        <v>36</v>
      </c>
      <c r="C2607" s="80" t="s">
        <v>30</v>
      </c>
      <c r="D2607" s="73" t="s">
        <v>405</v>
      </c>
      <c r="E2607" s="74">
        <v>1E-3</v>
      </c>
      <c r="F2607" s="78" t="s">
        <v>237</v>
      </c>
      <c r="G2607" s="77" t="s">
        <v>220</v>
      </c>
      <c r="H2607" t="str">
        <f>VLOOKUP(D2607,'DETALLE PRECIO INGREDIENTES'!B:B,1,0)</f>
        <v>NUEZ MOSCADA MOLIDA</v>
      </c>
    </row>
    <row r="2608" spans="2:8" hidden="1" x14ac:dyDescent="0.35">
      <c r="B2608" s="80" t="s">
        <v>36</v>
      </c>
      <c r="C2608" s="80" t="s">
        <v>30</v>
      </c>
      <c r="D2608" s="73" t="s">
        <v>675</v>
      </c>
      <c r="E2608" s="74">
        <v>1.5625000000000001E-3</v>
      </c>
      <c r="F2608" s="78" t="s">
        <v>237</v>
      </c>
      <c r="G2608" s="77" t="s">
        <v>621</v>
      </c>
      <c r="H2608" t="str">
        <f>VLOOKUP(D2608,'DETALLE PRECIO INGREDIENTES'!B:B,1,0)</f>
        <v>JENGIBRE</v>
      </c>
    </row>
    <row r="2609" spans="2:8" hidden="1" x14ac:dyDescent="0.35">
      <c r="B2609" s="80" t="s">
        <v>36</v>
      </c>
      <c r="C2609" s="80" t="s">
        <v>30</v>
      </c>
      <c r="D2609" s="73" t="s">
        <v>292</v>
      </c>
      <c r="E2609" s="74">
        <v>2.5000000000000001E-3</v>
      </c>
      <c r="F2609" s="78" t="s">
        <v>237</v>
      </c>
      <c r="G2609" s="77" t="s">
        <v>220</v>
      </c>
      <c r="H2609" t="str">
        <f>VLOOKUP(D2609,'DETALLE PRECIO INGREDIENTES'!B:B,1,0)</f>
        <v>CANELA EN POLVO</v>
      </c>
    </row>
    <row r="2610" spans="2:8" hidden="1" x14ac:dyDescent="0.35">
      <c r="B2610" s="80" t="s">
        <v>36</v>
      </c>
      <c r="C2610" s="80" t="s">
        <v>30</v>
      </c>
      <c r="D2610" s="73" t="s">
        <v>726</v>
      </c>
      <c r="E2610" s="74">
        <v>0.03</v>
      </c>
      <c r="F2610" s="78" t="s">
        <v>237</v>
      </c>
      <c r="G2610" s="77" t="s">
        <v>724</v>
      </c>
      <c r="H2610" t="str">
        <f>VLOOKUP(D2610,'DETALLE PRECIO INGREDIENTES'!B:B,1,0)</f>
        <v>NUEZ PECANA</v>
      </c>
    </row>
    <row r="2611" spans="2:8" hidden="1" x14ac:dyDescent="0.35">
      <c r="B2611" s="80" t="s">
        <v>36</v>
      </c>
      <c r="C2611" s="80" t="s">
        <v>30</v>
      </c>
      <c r="D2611" s="73" t="s">
        <v>432</v>
      </c>
      <c r="E2611" s="74">
        <v>2.2499999999999998E-3</v>
      </c>
      <c r="F2611" s="78" t="s">
        <v>237</v>
      </c>
      <c r="G2611" s="77" t="s">
        <v>220</v>
      </c>
      <c r="H2611" t="str">
        <f>VLOOKUP(D2611,'DETALLE PRECIO INGREDIENTES'!B:B,1,0)</f>
        <v>POLVOS DE HORNEAR</v>
      </c>
    </row>
    <row r="2612" spans="2:8" hidden="1" x14ac:dyDescent="0.35">
      <c r="B2612" s="80" t="s">
        <v>36</v>
      </c>
      <c r="C2612" s="80" t="s">
        <v>30</v>
      </c>
      <c r="D2612" s="73" t="s">
        <v>751</v>
      </c>
      <c r="E2612" s="74">
        <v>0.12</v>
      </c>
      <c r="F2612" s="78" t="s">
        <v>237</v>
      </c>
      <c r="G2612" s="77" t="s">
        <v>736</v>
      </c>
      <c r="H2612" t="str">
        <f>VLOOKUP(D2612,'DETALLE PRECIO INGREDIENTES'!B:B,1,0)</f>
        <v>MANTEQUILLA SIN SAL</v>
      </c>
    </row>
    <row r="2613" spans="2:8" hidden="1" x14ac:dyDescent="0.35">
      <c r="B2613" s="80" t="s">
        <v>36</v>
      </c>
      <c r="C2613" s="80" t="s">
        <v>30</v>
      </c>
      <c r="D2613" s="73" t="s">
        <v>878</v>
      </c>
      <c r="E2613" s="74">
        <v>5.0000000000000001E-3</v>
      </c>
      <c r="F2613" s="78" t="s">
        <v>222</v>
      </c>
      <c r="G2613" s="77" t="s">
        <v>876</v>
      </c>
      <c r="H2613" t="str">
        <f>VLOOKUP(D2613,'DETALLE PRECIO INGREDIENTES'!B:B,1,0)</f>
        <v>VINO BLANCO TETRA PACK</v>
      </c>
    </row>
    <row r="2614" spans="2:8" hidden="1" x14ac:dyDescent="0.35">
      <c r="B2614" s="80" t="s">
        <v>36</v>
      </c>
      <c r="C2614" s="80" t="s">
        <v>30</v>
      </c>
      <c r="D2614" s="73" t="s">
        <v>420</v>
      </c>
      <c r="E2614" s="74">
        <v>3.2499999999999999E-3</v>
      </c>
      <c r="F2614" s="78" t="s">
        <v>237</v>
      </c>
      <c r="G2614" s="77" t="s">
        <v>220</v>
      </c>
      <c r="H2614" t="str">
        <f>VLOOKUP(D2614,'DETALLE PRECIO INGREDIENTES'!B:B,1,0)</f>
        <v>PASTA DE VAINILLA</v>
      </c>
    </row>
    <row r="2615" spans="2:8" hidden="1" x14ac:dyDescent="0.35">
      <c r="B2615" s="80" t="s">
        <v>36</v>
      </c>
      <c r="C2615" s="80" t="s">
        <v>30</v>
      </c>
      <c r="D2615" s="73" t="s">
        <v>771</v>
      </c>
      <c r="E2615" s="74">
        <v>0.09</v>
      </c>
      <c r="F2615" s="78" t="s">
        <v>237</v>
      </c>
      <c r="G2615" s="77" t="s">
        <v>736</v>
      </c>
      <c r="H2615" t="str">
        <f>VLOOKUP(D2615,'DETALLE PRECIO INGREDIENTES'!B:B,1,0)</f>
        <v>QUESO RICOTTA</v>
      </c>
    </row>
    <row r="2616" spans="2:8" hidden="1" x14ac:dyDescent="0.35">
      <c r="B2616" s="80" t="s">
        <v>36</v>
      </c>
      <c r="C2616" s="80" t="s">
        <v>30</v>
      </c>
      <c r="D2616" s="73" t="s">
        <v>690</v>
      </c>
      <c r="E2616" s="74">
        <v>1.2500000000000001E-2</v>
      </c>
      <c r="F2616" s="78" t="s">
        <v>237</v>
      </c>
      <c r="G2616" s="77" t="s">
        <v>621</v>
      </c>
      <c r="H2616" t="str">
        <f>VLOOKUP(D2616,'DETALLE PRECIO INGREDIENTES'!B:B,1,0)</f>
        <v>NARANJA DE JUGO</v>
      </c>
    </row>
    <row r="2617" spans="2:8" hidden="1" x14ac:dyDescent="0.35">
      <c r="B2617" s="80" t="s">
        <v>36</v>
      </c>
      <c r="C2617" s="80" t="s">
        <v>30</v>
      </c>
      <c r="D2617" s="73" t="s">
        <v>727</v>
      </c>
      <c r="E2617" s="74">
        <v>6.25E-2</v>
      </c>
      <c r="F2617" s="78" t="s">
        <v>237</v>
      </c>
      <c r="G2617" s="77" t="s">
        <v>724</v>
      </c>
      <c r="H2617" t="str">
        <f>VLOOKUP(D2617,'DETALLE PRECIO INGREDIENTES'!B:B,1,0)</f>
        <v>PISTACHOS S/CASCARA SIN SAL</v>
      </c>
    </row>
    <row r="2618" spans="2:8" hidden="1" x14ac:dyDescent="0.35">
      <c r="B2618" s="80" t="s">
        <v>36</v>
      </c>
      <c r="C2618" s="80" t="s">
        <v>30</v>
      </c>
      <c r="D2618" s="73" t="s">
        <v>961</v>
      </c>
      <c r="E2618" s="74">
        <v>3.7499999999999999E-2</v>
      </c>
      <c r="F2618" s="78" t="s">
        <v>237</v>
      </c>
      <c r="G2618" s="77" t="s">
        <v>220</v>
      </c>
      <c r="H2618" t="str">
        <f>VLOOKUP(D2618,'DETALLE PRECIO INGREDIENTES'!B:B,1,0)</f>
        <v>miel</v>
      </c>
    </row>
    <row r="2619" spans="2:8" hidden="1" x14ac:dyDescent="0.35">
      <c r="B2619" s="80" t="s">
        <v>36</v>
      </c>
      <c r="C2619" s="80" t="s">
        <v>30</v>
      </c>
      <c r="D2619" s="73" t="s">
        <v>481</v>
      </c>
      <c r="E2619" s="74">
        <v>2.5000000000000001E-3</v>
      </c>
      <c r="F2619" s="78" t="s">
        <v>222</v>
      </c>
      <c r="G2619" s="77" t="s">
        <v>480</v>
      </c>
      <c r="H2619" t="str">
        <f>VLOOKUP(D2619,'DETALLE PRECIO INGREDIENTES'!B:B,1,0)</f>
        <v>AGUA DE ROSAS</v>
      </c>
    </row>
    <row r="2620" spans="2:8" hidden="1" x14ac:dyDescent="0.35">
      <c r="B2620" s="80" t="s">
        <v>36</v>
      </c>
      <c r="C2620" s="80" t="s">
        <v>30</v>
      </c>
      <c r="D2620" s="73" t="s">
        <v>725</v>
      </c>
      <c r="E2620" s="74">
        <v>0.04</v>
      </c>
      <c r="F2620" s="78" t="s">
        <v>237</v>
      </c>
      <c r="G2620" s="77" t="s">
        <v>724</v>
      </c>
      <c r="H2620" t="str">
        <f>VLOOKUP(D2620,'DETALLE PRECIO INGREDIENTES'!B:B,1,0)</f>
        <v>NUEZ CUARTILLO</v>
      </c>
    </row>
    <row r="2621" spans="2:8" x14ac:dyDescent="0.35">
      <c r="B2621" s="80" t="s">
        <v>36</v>
      </c>
      <c r="C2621" s="80" t="s">
        <v>30</v>
      </c>
      <c r="D2621" s="73" t="s">
        <v>982</v>
      </c>
      <c r="E2621" s="74">
        <v>1.0999999999999999E-2</v>
      </c>
      <c r="F2621" s="78" t="s">
        <v>259</v>
      </c>
      <c r="G2621" s="77" t="s">
        <v>790</v>
      </c>
      <c r="H2621" t="e">
        <f>VLOOKUP(D2621,'DETALLE PRECIO INGREDIENTES'!B:B,1,0)</f>
        <v>#N/A</v>
      </c>
    </row>
    <row r="2622" spans="2:8" hidden="1" x14ac:dyDescent="0.35">
      <c r="B2622" s="80" t="s">
        <v>36</v>
      </c>
      <c r="C2622" s="80" t="s">
        <v>30</v>
      </c>
      <c r="D2622" s="73" t="s">
        <v>514</v>
      </c>
      <c r="E2622" s="74">
        <v>6.25E-2</v>
      </c>
      <c r="F2622" s="78" t="s">
        <v>259</v>
      </c>
      <c r="G2622" s="77" t="s">
        <v>485</v>
      </c>
      <c r="H2622" t="str">
        <f>VLOOKUP(D2622,'DETALLE PRECIO INGREDIENTES'!B:B,1,0)</f>
        <v>ROLLO PITILLA/HILO DE COCINA</v>
      </c>
    </row>
    <row r="2623" spans="2:8" hidden="1" x14ac:dyDescent="0.35">
      <c r="B2623" s="80" t="s">
        <v>36</v>
      </c>
      <c r="C2623" s="80" t="s">
        <v>28</v>
      </c>
      <c r="D2623" s="73" t="s">
        <v>225</v>
      </c>
      <c r="E2623" s="74">
        <v>5.7499999999999999E-3</v>
      </c>
      <c r="F2623" s="78" t="s">
        <v>222</v>
      </c>
      <c r="G2623" s="77" t="s">
        <v>220</v>
      </c>
      <c r="H2623" t="str">
        <f>VLOOKUP(D2623,'DETALLE PRECIO INGREDIENTES'!B:B,1,0)</f>
        <v>ACEITE DE COCO</v>
      </c>
    </row>
    <row r="2624" spans="2:8" hidden="1" x14ac:dyDescent="0.35">
      <c r="B2624" s="80" t="s">
        <v>36</v>
      </c>
      <c r="C2624" s="80" t="s">
        <v>28</v>
      </c>
      <c r="D2624" s="73" t="s">
        <v>235</v>
      </c>
      <c r="E2624" s="74">
        <v>2.2499999999999999E-2</v>
      </c>
      <c r="F2624" s="78" t="s">
        <v>222</v>
      </c>
      <c r="G2624" s="77" t="s">
        <v>220</v>
      </c>
      <c r="H2624" t="str">
        <f>VLOOKUP(D2624,'DETALLE PRECIO INGREDIENTES'!B:B,1,0)</f>
        <v>ACEITE VEGETAL</v>
      </c>
    </row>
    <row r="2625" spans="2:8" hidden="1" x14ac:dyDescent="0.35">
      <c r="B2625" s="80" t="s">
        <v>36</v>
      </c>
      <c r="C2625" s="80" t="s">
        <v>28</v>
      </c>
      <c r="D2625" s="73" t="s">
        <v>239</v>
      </c>
      <c r="E2625" s="74">
        <v>0.05</v>
      </c>
      <c r="F2625" s="78" t="s">
        <v>237</v>
      </c>
      <c r="G2625" s="77" t="s">
        <v>220</v>
      </c>
      <c r="H2625" t="str">
        <f>VLOOKUP(D2625,'DETALLE PRECIO INGREDIENTES'!B:B,1,0)</f>
        <v>ACEITUNAS NEGRAS S/HUESO</v>
      </c>
    </row>
    <row r="2626" spans="2:8" hidden="1" x14ac:dyDescent="0.35">
      <c r="B2626" s="80" t="s">
        <v>36</v>
      </c>
      <c r="C2626" s="80" t="s">
        <v>28</v>
      </c>
      <c r="D2626" s="73" t="s">
        <v>261</v>
      </c>
      <c r="E2626" s="74">
        <v>6.9500000000000006E-2</v>
      </c>
      <c r="F2626" s="78" t="s">
        <v>237</v>
      </c>
      <c r="G2626" s="77" t="s">
        <v>220</v>
      </c>
      <c r="H2626" t="str">
        <f>VLOOKUP(D2626,'DETALLE PRECIO INGREDIENTES'!B:B,1,0)</f>
        <v>ALMENDRAS ENTERAS</v>
      </c>
    </row>
    <row r="2627" spans="2:8" hidden="1" x14ac:dyDescent="0.35">
      <c r="B2627" s="80" t="s">
        <v>36</v>
      </c>
      <c r="C2627" s="80" t="s">
        <v>28</v>
      </c>
      <c r="D2627" s="73" t="s">
        <v>634</v>
      </c>
      <c r="E2627" s="74">
        <v>1.2500000000000001E-2</v>
      </c>
      <c r="F2627" s="78" t="s">
        <v>237</v>
      </c>
      <c r="G2627" s="77" t="s">
        <v>621</v>
      </c>
      <c r="H2627" t="str">
        <f>VLOOKUP(D2627,'DETALLE PRECIO INGREDIENTES'!B:B,1,0)</f>
        <v>ARANDANOS FRESCOS</v>
      </c>
    </row>
    <row r="2628" spans="2:8" hidden="1" x14ac:dyDescent="0.35">
      <c r="B2628" s="80" t="s">
        <v>36</v>
      </c>
      <c r="C2628" s="80" t="s">
        <v>28</v>
      </c>
      <c r="D2628" s="73" t="s">
        <v>278</v>
      </c>
      <c r="E2628" s="74">
        <v>0.17824999999999999</v>
      </c>
      <c r="F2628" s="78" t="s">
        <v>237</v>
      </c>
      <c r="G2628" s="77" t="s">
        <v>220</v>
      </c>
      <c r="H2628" t="str">
        <f>VLOOKUP(D2628,'DETALLE PRECIO INGREDIENTES'!B:B,1,0)</f>
        <v>AZUCAR FLOR</v>
      </c>
    </row>
    <row r="2629" spans="2:8" hidden="1" x14ac:dyDescent="0.35">
      <c r="B2629" s="80" t="s">
        <v>36</v>
      </c>
      <c r="C2629" s="80" t="s">
        <v>28</v>
      </c>
      <c r="D2629" s="73" t="s">
        <v>277</v>
      </c>
      <c r="E2629" s="74">
        <v>0.15162500000000001</v>
      </c>
      <c r="F2629" s="78" t="s">
        <v>237</v>
      </c>
      <c r="G2629" s="77" t="s">
        <v>220</v>
      </c>
      <c r="H2629" t="str">
        <f>VLOOKUP(D2629,'DETALLE PRECIO INGREDIENTES'!B:B,1,0)</f>
        <v>AZUCAR BLANCA GRANULADA</v>
      </c>
    </row>
    <row r="2630" spans="2:8" hidden="1" x14ac:dyDescent="0.35">
      <c r="B2630" s="80" t="s">
        <v>36</v>
      </c>
      <c r="C2630" s="80" t="s">
        <v>28</v>
      </c>
      <c r="D2630" s="73" t="s">
        <v>283</v>
      </c>
      <c r="E2630" s="74">
        <v>5.6250000000000001E-2</v>
      </c>
      <c r="F2630" s="78" t="s">
        <v>237</v>
      </c>
      <c r="G2630" s="77" t="s">
        <v>220</v>
      </c>
      <c r="H2630" t="str">
        <f>VLOOKUP(D2630,'DETALLE PRECIO INGREDIENTES'!B:B,1,0)</f>
        <v>AZUCAR RUBIA</v>
      </c>
    </row>
    <row r="2631" spans="2:8" hidden="1" x14ac:dyDescent="0.35">
      <c r="B2631" s="80" t="s">
        <v>36</v>
      </c>
      <c r="C2631" s="80" t="s">
        <v>28</v>
      </c>
      <c r="D2631" s="73" t="s">
        <v>284</v>
      </c>
      <c r="E2631" s="74">
        <v>1E-3</v>
      </c>
      <c r="F2631" s="78" t="s">
        <v>237</v>
      </c>
      <c r="G2631" s="77" t="s">
        <v>220</v>
      </c>
      <c r="H2631" t="str">
        <f>VLOOKUP(D2631,'DETALLE PRECIO INGREDIENTES'!B:B,1,0)</f>
        <v>BICARBONATO DE SODIO</v>
      </c>
    </row>
    <row r="2632" spans="2:8" hidden="1" x14ac:dyDescent="0.35">
      <c r="B2632" s="80" t="s">
        <v>36</v>
      </c>
      <c r="C2632" s="80" t="s">
        <v>28</v>
      </c>
      <c r="D2632" s="73" t="s">
        <v>554</v>
      </c>
      <c r="E2632" s="74">
        <v>3.7500000000000001E-4</v>
      </c>
      <c r="F2632" s="78" t="s">
        <v>237</v>
      </c>
      <c r="G2632" s="77" t="s">
        <v>551</v>
      </c>
      <c r="H2632" t="str">
        <f>VLOOKUP(D2632,'DETALLE PRECIO INGREDIENTES'!B:B,1,0)</f>
        <v>CACAO EN POLVO AMARGO</v>
      </c>
    </row>
    <row r="2633" spans="2:8" hidden="1" x14ac:dyDescent="0.35">
      <c r="B2633" s="80" t="s">
        <v>36</v>
      </c>
      <c r="C2633" s="80" t="s">
        <v>28</v>
      </c>
      <c r="D2633" s="73" t="s">
        <v>292</v>
      </c>
      <c r="E2633" s="74">
        <v>1.5E-3</v>
      </c>
      <c r="F2633" s="78" t="s">
        <v>237</v>
      </c>
      <c r="G2633" s="77" t="s">
        <v>220</v>
      </c>
      <c r="H2633" t="str">
        <f>VLOOKUP(D2633,'DETALLE PRECIO INGREDIENTES'!B:B,1,0)</f>
        <v>CANELA EN POLVO</v>
      </c>
    </row>
    <row r="2634" spans="2:8" hidden="1" x14ac:dyDescent="0.35">
      <c r="B2634" s="80" t="s">
        <v>36</v>
      </c>
      <c r="C2634" s="80" t="s">
        <v>28</v>
      </c>
      <c r="D2634" s="73" t="s">
        <v>560</v>
      </c>
      <c r="E2634" s="74">
        <v>0.16075</v>
      </c>
      <c r="F2634" s="78" t="s">
        <v>237</v>
      </c>
      <c r="G2634" s="77" t="s">
        <v>551</v>
      </c>
      <c r="H2634" t="str">
        <f>VLOOKUP(D2634,'DETALLE PRECIO INGREDIENTES'!B:B,1,0)</f>
        <v>CHOCOLATE CALLEBAUT BLANCO 28%</v>
      </c>
    </row>
    <row r="2635" spans="2:8" hidden="1" x14ac:dyDescent="0.35">
      <c r="B2635" s="80" t="s">
        <v>36</v>
      </c>
      <c r="C2635" s="80" t="s">
        <v>28</v>
      </c>
      <c r="D2635" s="73" t="s">
        <v>303</v>
      </c>
      <c r="E2635" s="74">
        <v>1.25E-3</v>
      </c>
      <c r="F2635" s="78" t="s">
        <v>237</v>
      </c>
      <c r="G2635" s="77" t="s">
        <v>220</v>
      </c>
      <c r="H2635" t="str">
        <f>VLOOKUP(D2635,'DETALLE PRECIO INGREDIENTES'!B:B,1,0)</f>
        <v>CLAVO DE OLOR MOLIDO</v>
      </c>
    </row>
    <row r="2636" spans="2:8" hidden="1" x14ac:dyDescent="0.35">
      <c r="B2636" s="80" t="s">
        <v>36</v>
      </c>
      <c r="C2636" s="80" t="s">
        <v>28</v>
      </c>
      <c r="D2636" s="73" t="s">
        <v>307</v>
      </c>
      <c r="E2636" s="74">
        <v>1.0625</v>
      </c>
      <c r="F2636" s="78" t="s">
        <v>259</v>
      </c>
      <c r="G2636" s="77" t="s">
        <v>220</v>
      </c>
      <c r="H2636" t="str">
        <f>VLOOKUP(D2636,'DETALLE PRECIO INGREDIENTES'!B:B,1,0)</f>
        <v>COLAPEZ POR HOJA</v>
      </c>
    </row>
    <row r="2637" spans="2:8" hidden="1" x14ac:dyDescent="0.35">
      <c r="B2637" s="80" t="s">
        <v>36</v>
      </c>
      <c r="C2637" s="80" t="s">
        <v>28</v>
      </c>
      <c r="D2637" s="73" t="s">
        <v>579</v>
      </c>
      <c r="E2637" s="74">
        <v>0.03</v>
      </c>
      <c r="F2637" s="78" t="s">
        <v>259</v>
      </c>
      <c r="G2637" s="77" t="s">
        <v>573</v>
      </c>
      <c r="H2637" t="str">
        <f>VLOOKUP(D2637,'DETALLE PRECIO INGREDIENTES'!B:B,1,0)</f>
        <v>COLORANTE LIPO AMARILLO</v>
      </c>
    </row>
    <row r="2638" spans="2:8" hidden="1" x14ac:dyDescent="0.35">
      <c r="B2638" s="80" t="s">
        <v>36</v>
      </c>
      <c r="C2638" s="80" t="s">
        <v>28</v>
      </c>
      <c r="D2638" s="73" t="s">
        <v>581</v>
      </c>
      <c r="E2638" s="74">
        <v>0.03</v>
      </c>
      <c r="F2638" s="78" t="s">
        <v>259</v>
      </c>
      <c r="G2638" s="77" t="s">
        <v>573</v>
      </c>
      <c r="H2638" t="str">
        <f>VLOOKUP(D2638,'DETALLE PRECIO INGREDIENTES'!B:B,1,0)</f>
        <v>COLORANTE LIPO ROJO POLVO 20GR</v>
      </c>
    </row>
    <row r="2639" spans="2:8" hidden="1" x14ac:dyDescent="0.35">
      <c r="B2639" s="80" t="s">
        <v>36</v>
      </c>
      <c r="C2639" s="80" t="s">
        <v>28</v>
      </c>
      <c r="D2639" s="73" t="s">
        <v>580</v>
      </c>
      <c r="E2639" s="74">
        <v>0.03</v>
      </c>
      <c r="F2639" s="78" t="s">
        <v>259</v>
      </c>
      <c r="G2639" s="77" t="s">
        <v>573</v>
      </c>
      <c r="H2639" t="str">
        <f>VLOOKUP(D2639,'DETALLE PRECIO INGREDIENTES'!B:B,1,0)</f>
        <v>COLORANTE LIPO NARANJA POLVO 100GR</v>
      </c>
    </row>
    <row r="2640" spans="2:8" hidden="1" x14ac:dyDescent="0.35">
      <c r="B2640" s="80" t="s">
        <v>36</v>
      </c>
      <c r="C2640" s="80" t="s">
        <v>28</v>
      </c>
      <c r="D2640" s="73" t="s">
        <v>737</v>
      </c>
      <c r="E2640" s="74">
        <v>2.2499999999999998E-3</v>
      </c>
      <c r="F2640" s="78" t="s">
        <v>222</v>
      </c>
      <c r="G2640" s="77" t="s">
        <v>736</v>
      </c>
      <c r="H2640" t="str">
        <f>VLOOKUP(D2640,'DETALLE PRECIO INGREDIENTES'!B:B,1,0)</f>
        <v>CREMA ACIDA</v>
      </c>
    </row>
    <row r="2641" spans="2:8" hidden="1" x14ac:dyDescent="0.35">
      <c r="B2641" s="80" t="s">
        <v>36</v>
      </c>
      <c r="C2641" s="80" t="s">
        <v>28</v>
      </c>
      <c r="D2641" s="73" t="s">
        <v>739</v>
      </c>
      <c r="E2641" s="74">
        <v>0.145875</v>
      </c>
      <c r="F2641" s="78" t="s">
        <v>222</v>
      </c>
      <c r="G2641" s="77" t="s">
        <v>736</v>
      </c>
      <c r="H2641" t="str">
        <f>VLOOKUP(D2641,'DETALLE PRECIO INGREDIENTES'!B:B,1,0)</f>
        <v>CREMA DE LECHE</v>
      </c>
    </row>
    <row r="2642" spans="2:8" hidden="1" x14ac:dyDescent="0.35">
      <c r="B2642" s="80" t="s">
        <v>36</v>
      </c>
      <c r="C2642" s="80" t="s">
        <v>28</v>
      </c>
      <c r="D2642" s="73" t="s">
        <v>322</v>
      </c>
      <c r="E2642" s="74">
        <v>3.8374999999999999E-2</v>
      </c>
      <c r="F2642" s="78" t="s">
        <v>237</v>
      </c>
      <c r="G2642" s="77" t="s">
        <v>220</v>
      </c>
      <c r="H2642" t="str">
        <f>VLOOKUP(D2642,'DETALLE PRECIO INGREDIENTES'!B:B,1,0)</f>
        <v>DEXTROSA</v>
      </c>
    </row>
    <row r="2643" spans="2:8" hidden="1" x14ac:dyDescent="0.35">
      <c r="B2643" s="80" t="s">
        <v>36</v>
      </c>
      <c r="C2643" s="80" t="s">
        <v>28</v>
      </c>
      <c r="D2643" s="73" t="s">
        <v>329</v>
      </c>
      <c r="E2643" s="74">
        <v>2E-3</v>
      </c>
      <c r="F2643" s="78" t="s">
        <v>222</v>
      </c>
      <c r="G2643" s="77" t="s">
        <v>220</v>
      </c>
      <c r="H2643" t="str">
        <f>VLOOKUP(D2643,'DETALLE PRECIO INGREDIENTES'!B:B,1,0)</f>
        <v>ESENCIA DE VAINILLA</v>
      </c>
    </row>
    <row r="2644" spans="2:8" hidden="1" x14ac:dyDescent="0.35">
      <c r="B2644" s="80" t="s">
        <v>36</v>
      </c>
      <c r="C2644" s="80" t="s">
        <v>28</v>
      </c>
      <c r="D2644" s="73" t="s">
        <v>669</v>
      </c>
      <c r="E2644" s="74">
        <v>0.02</v>
      </c>
      <c r="F2644" s="78" t="s">
        <v>237</v>
      </c>
      <c r="G2644" s="77" t="s">
        <v>621</v>
      </c>
      <c r="H2644" t="str">
        <f>VLOOKUP(D2644,'DETALLE PRECIO INGREDIENTES'!B:B,1,0)</f>
        <v>FRAMBUESA FRESCA</v>
      </c>
    </row>
    <row r="2645" spans="2:8" hidden="1" x14ac:dyDescent="0.35">
      <c r="B2645" s="80" t="s">
        <v>36</v>
      </c>
      <c r="C2645" s="80" t="s">
        <v>28</v>
      </c>
      <c r="D2645" s="73" t="s">
        <v>671</v>
      </c>
      <c r="E2645" s="74">
        <v>2.5000000000000001E-2</v>
      </c>
      <c r="F2645" s="78" t="s">
        <v>237</v>
      </c>
      <c r="G2645" s="77" t="s">
        <v>621</v>
      </c>
      <c r="H2645" t="str">
        <f>VLOOKUP(D2645,'DETALLE PRECIO INGREDIENTES'!B:B,1,0)</f>
        <v>FRUTILLA FRESCA</v>
      </c>
    </row>
    <row r="2646" spans="2:8" hidden="1" x14ac:dyDescent="0.35">
      <c r="B2646" s="80" t="s">
        <v>36</v>
      </c>
      <c r="C2646" s="80" t="s">
        <v>28</v>
      </c>
      <c r="D2646" s="73" t="s">
        <v>354</v>
      </c>
      <c r="E2646" s="74">
        <v>0.171875</v>
      </c>
      <c r="F2646" s="78" t="s">
        <v>237</v>
      </c>
      <c r="G2646" s="77" t="s">
        <v>220</v>
      </c>
      <c r="H2646" t="str">
        <f>VLOOKUP(D2646,'DETALLE PRECIO INGREDIENTES'!B:B,1,0)</f>
        <v>HARINA BIZCOCHERA</v>
      </c>
    </row>
    <row r="2647" spans="2:8" hidden="1" x14ac:dyDescent="0.35">
      <c r="B2647" s="80" t="s">
        <v>36</v>
      </c>
      <c r="C2647" s="80" t="s">
        <v>28</v>
      </c>
      <c r="D2647" s="73" t="s">
        <v>362</v>
      </c>
      <c r="E2647" s="74">
        <v>0.44968749999999996</v>
      </c>
      <c r="F2647" s="78" t="s">
        <v>237</v>
      </c>
      <c r="G2647" s="77" t="s">
        <v>220</v>
      </c>
      <c r="H2647" t="str">
        <f>VLOOKUP(D2647,'DETALLE PRECIO INGREDIENTES'!B:B,1,0)</f>
        <v>HARINA PANADERA SOBRE 13 GR</v>
      </c>
    </row>
    <row r="2648" spans="2:8" hidden="1" x14ac:dyDescent="0.35">
      <c r="B2648" s="80" t="s">
        <v>36</v>
      </c>
      <c r="C2648" s="80" t="s">
        <v>28</v>
      </c>
      <c r="D2648" s="73" t="s">
        <v>729</v>
      </c>
      <c r="E2648" s="74">
        <v>2.9375</v>
      </c>
      <c r="F2648" s="78" t="s">
        <v>259</v>
      </c>
      <c r="G2648" s="77" t="s">
        <v>728</v>
      </c>
      <c r="H2648" t="str">
        <f>VLOOKUP(D2648,'DETALLE PRECIO INGREDIENTES'!B:B,1,0)</f>
        <v>HUEVO EXTRA BLANCO</v>
      </c>
    </row>
    <row r="2649" spans="2:8" hidden="1" x14ac:dyDescent="0.35">
      <c r="B2649" s="80" t="s">
        <v>36</v>
      </c>
      <c r="C2649" s="80" t="s">
        <v>28</v>
      </c>
      <c r="D2649" s="73" t="s">
        <v>747</v>
      </c>
      <c r="E2649" s="74">
        <v>4.0000000000000001E-3</v>
      </c>
      <c r="F2649" s="78" t="s">
        <v>237</v>
      </c>
      <c r="G2649" s="77" t="s">
        <v>736</v>
      </c>
      <c r="H2649" t="str">
        <f>VLOOKUP(D2649,'DETALLE PRECIO INGREDIENTES'!B:B,1,0)</f>
        <v>LECHE EN POLVO ENTERA</v>
      </c>
    </row>
    <row r="2650" spans="2:8" hidden="1" x14ac:dyDescent="0.35">
      <c r="B2650" s="80" t="s">
        <v>36</v>
      </c>
      <c r="C2650" s="80" t="s">
        <v>28</v>
      </c>
      <c r="D2650" s="73" t="s">
        <v>748</v>
      </c>
      <c r="E2650" s="74">
        <v>0.36175000000000002</v>
      </c>
      <c r="F2650" s="78" t="s">
        <v>222</v>
      </c>
      <c r="G2650" s="77" t="s">
        <v>736</v>
      </c>
      <c r="H2650" t="str">
        <f>VLOOKUP(D2650,'DETALLE PRECIO INGREDIENTES'!B:B,1,0)</f>
        <v>LECHE ENTERA</v>
      </c>
    </row>
    <row r="2651" spans="2:8" hidden="1" x14ac:dyDescent="0.35">
      <c r="B2651" s="80" t="s">
        <v>36</v>
      </c>
      <c r="C2651" s="80" t="s">
        <v>28</v>
      </c>
      <c r="D2651" s="73" t="s">
        <v>373</v>
      </c>
      <c r="E2651" s="74">
        <v>1.325E-2</v>
      </c>
      <c r="F2651" s="78" t="s">
        <v>237</v>
      </c>
      <c r="G2651" s="77" t="s">
        <v>220</v>
      </c>
      <c r="H2651" t="str">
        <f>VLOOKUP(D2651,'DETALLE PRECIO INGREDIENTES'!B:B,1,0)</f>
        <v>LEVADURA FRESCA</v>
      </c>
    </row>
    <row r="2652" spans="2:8" hidden="1" x14ac:dyDescent="0.35">
      <c r="B2652" s="80" t="s">
        <v>36</v>
      </c>
      <c r="C2652" s="80" t="s">
        <v>28</v>
      </c>
      <c r="D2652" s="73" t="s">
        <v>680</v>
      </c>
      <c r="E2652" s="74">
        <v>1.8749999999999999E-2</v>
      </c>
      <c r="F2652" s="78" t="s">
        <v>237</v>
      </c>
      <c r="G2652" s="77" t="s">
        <v>621</v>
      </c>
      <c r="H2652" t="str">
        <f>VLOOKUP(D2652,'DETALLE PRECIO INGREDIENTES'!B:B,1,0)</f>
        <v>LIMON DE JUGO</v>
      </c>
    </row>
    <row r="2653" spans="2:8" hidden="1" x14ac:dyDescent="0.35">
      <c r="B2653" s="80" t="s">
        <v>36</v>
      </c>
      <c r="C2653" s="80" t="s">
        <v>28</v>
      </c>
      <c r="D2653" s="73" t="s">
        <v>375</v>
      </c>
      <c r="E2653" s="74">
        <v>1.0500000000000001E-2</v>
      </c>
      <c r="F2653" s="78" t="s">
        <v>237</v>
      </c>
      <c r="G2653" s="77" t="s">
        <v>220</v>
      </c>
      <c r="H2653" t="str">
        <f>VLOOKUP(D2653,'DETALLE PRECIO INGREDIENTES'!B:B,1,0)</f>
        <v>MAICENA</v>
      </c>
    </row>
    <row r="2654" spans="2:8" hidden="1" x14ac:dyDescent="0.35">
      <c r="B2654" s="80" t="s">
        <v>36</v>
      </c>
      <c r="C2654" s="80" t="s">
        <v>28</v>
      </c>
      <c r="D2654" s="73" t="s">
        <v>570</v>
      </c>
      <c r="E2654" s="74">
        <v>8.2500000000000004E-3</v>
      </c>
      <c r="F2654" s="78" t="s">
        <v>237</v>
      </c>
      <c r="G2654" s="77" t="s">
        <v>551</v>
      </c>
      <c r="H2654" t="str">
        <f>VLOOKUP(D2654,'DETALLE PRECIO INGREDIENTES'!B:B,1,0)</f>
        <v>MANTECA DE CACAO</v>
      </c>
    </row>
    <row r="2655" spans="2:8" hidden="1" x14ac:dyDescent="0.35">
      <c r="B2655" s="80" t="s">
        <v>36</v>
      </c>
      <c r="C2655" s="80" t="s">
        <v>28</v>
      </c>
      <c r="D2655" s="73" t="s">
        <v>383</v>
      </c>
      <c r="E2655" s="74">
        <v>0.28800000000000003</v>
      </c>
      <c r="F2655" s="78" t="s">
        <v>237</v>
      </c>
      <c r="G2655" s="77" t="s">
        <v>220</v>
      </c>
      <c r="H2655" t="str">
        <f>VLOOKUP(D2655,'DETALLE PRECIO INGREDIENTES'!B:B,1,0)</f>
        <v>MANTEQUILLA EXTRA SECA</v>
      </c>
    </row>
    <row r="2656" spans="2:8" hidden="1" x14ac:dyDescent="0.35">
      <c r="B2656" s="80" t="s">
        <v>36</v>
      </c>
      <c r="C2656" s="80" t="s">
        <v>28</v>
      </c>
      <c r="D2656" s="73" t="s">
        <v>751</v>
      </c>
      <c r="E2656" s="74">
        <v>5.3875000000000006E-2</v>
      </c>
      <c r="F2656" s="78" t="s">
        <v>237</v>
      </c>
      <c r="G2656" s="77" t="s">
        <v>736</v>
      </c>
      <c r="H2656" t="str">
        <f>VLOOKUP(D2656,'DETALLE PRECIO INGREDIENTES'!B:B,1,0)</f>
        <v>MANTEQUILLA SIN SAL</v>
      </c>
    </row>
    <row r="2657" spans="2:8" hidden="1" x14ac:dyDescent="0.35">
      <c r="B2657" s="80" t="s">
        <v>36</v>
      </c>
      <c r="C2657" s="80" t="s">
        <v>28</v>
      </c>
      <c r="D2657" s="73" t="s">
        <v>961</v>
      </c>
      <c r="E2657" s="74">
        <v>2.7500000000000003E-3</v>
      </c>
      <c r="F2657" s="78" t="s">
        <v>237</v>
      </c>
      <c r="G2657" s="77" t="s">
        <v>220</v>
      </c>
      <c r="H2657" t="str">
        <f>VLOOKUP(D2657,'DETALLE PRECIO INGREDIENTES'!B:B,1,0)</f>
        <v>miel</v>
      </c>
    </row>
    <row r="2658" spans="2:8" hidden="1" x14ac:dyDescent="0.35">
      <c r="B2658" s="80" t="s">
        <v>36</v>
      </c>
      <c r="C2658" s="80" t="s">
        <v>28</v>
      </c>
      <c r="D2658" s="73" t="s">
        <v>725</v>
      </c>
      <c r="E2658" s="74">
        <v>2.5000000000000001E-2</v>
      </c>
      <c r="F2658" s="78" t="s">
        <v>237</v>
      </c>
      <c r="G2658" s="77" t="s">
        <v>724</v>
      </c>
      <c r="H2658" t="str">
        <f>VLOOKUP(D2658,'DETALLE PRECIO INGREDIENTES'!B:B,1,0)</f>
        <v>NUEZ CUARTILLO</v>
      </c>
    </row>
    <row r="2659" spans="2:8" hidden="1" x14ac:dyDescent="0.35">
      <c r="B2659" s="80" t="s">
        <v>36</v>
      </c>
      <c r="C2659" s="80" t="s">
        <v>28</v>
      </c>
      <c r="D2659" s="73" t="s">
        <v>405</v>
      </c>
      <c r="E2659" s="74">
        <v>1.5E-3</v>
      </c>
      <c r="F2659" s="78" t="s">
        <v>237</v>
      </c>
      <c r="G2659" s="77" t="s">
        <v>220</v>
      </c>
      <c r="H2659" t="str">
        <f>VLOOKUP(D2659,'DETALLE PRECIO INGREDIENTES'!B:B,1,0)</f>
        <v>NUEZ MOSCADA MOLIDA</v>
      </c>
    </row>
    <row r="2660" spans="2:8" hidden="1" x14ac:dyDescent="0.35">
      <c r="B2660" s="80" t="s">
        <v>36</v>
      </c>
      <c r="C2660" s="80" t="s">
        <v>28</v>
      </c>
      <c r="D2660" s="73" t="s">
        <v>417</v>
      </c>
      <c r="E2660" s="74">
        <v>0.01</v>
      </c>
      <c r="F2660" s="78" t="s">
        <v>237</v>
      </c>
      <c r="G2660" s="77" t="s">
        <v>220</v>
      </c>
      <c r="H2660" t="str">
        <f>VLOOKUP(D2660,'DETALLE PRECIO INGREDIENTES'!B:B,1,0)</f>
        <v>PASTA DE AVELLANAS</v>
      </c>
    </row>
    <row r="2661" spans="2:8" hidden="1" x14ac:dyDescent="0.35">
      <c r="B2661" s="80" t="s">
        <v>36</v>
      </c>
      <c r="C2661" s="80" t="s">
        <v>28</v>
      </c>
      <c r="D2661" s="73" t="s">
        <v>422</v>
      </c>
      <c r="E2661" s="74">
        <v>1.8749999999999999E-3</v>
      </c>
      <c r="F2661" s="78" t="s">
        <v>237</v>
      </c>
      <c r="G2661" s="77" t="s">
        <v>220</v>
      </c>
      <c r="H2661" t="str">
        <f>VLOOKUP(D2661,'DETALLE PRECIO INGREDIENTES'!B:B,1,0)</f>
        <v>PECTINA NH</v>
      </c>
    </row>
    <row r="2662" spans="2:8" hidden="1" x14ac:dyDescent="0.35">
      <c r="B2662" s="80" t="s">
        <v>36</v>
      </c>
      <c r="C2662" s="80" t="s">
        <v>28</v>
      </c>
      <c r="D2662" s="73" t="s">
        <v>432</v>
      </c>
      <c r="E2662" s="74">
        <v>1E-3</v>
      </c>
      <c r="F2662" s="78" t="s">
        <v>237</v>
      </c>
      <c r="G2662" s="77" t="s">
        <v>220</v>
      </c>
      <c r="H2662" t="str">
        <f>VLOOKUP(D2662,'DETALLE PRECIO INGREDIENTES'!B:B,1,0)</f>
        <v>POLVOS DE HORNEAR</v>
      </c>
    </row>
    <row r="2663" spans="2:8" hidden="1" x14ac:dyDescent="0.35">
      <c r="B2663" s="80" t="s">
        <v>36</v>
      </c>
      <c r="C2663" s="80" t="s">
        <v>28</v>
      </c>
      <c r="D2663" s="73" t="s">
        <v>759</v>
      </c>
      <c r="E2663" s="74">
        <v>0.04</v>
      </c>
      <c r="F2663" s="78" t="s">
        <v>237</v>
      </c>
      <c r="G2663" s="77" t="s">
        <v>736</v>
      </c>
      <c r="H2663" t="str">
        <f>VLOOKUP(D2663,'DETALLE PRECIO INGREDIENTES'!B:B,1,0)</f>
        <v>QUESO CREMA</v>
      </c>
    </row>
    <row r="2664" spans="2:8" hidden="1" x14ac:dyDescent="0.35">
      <c r="B2664" s="80" t="s">
        <v>36</v>
      </c>
      <c r="C2664" s="80" t="s">
        <v>28</v>
      </c>
      <c r="D2664" s="73" t="s">
        <v>445</v>
      </c>
      <c r="E2664" s="74">
        <v>1.125E-2</v>
      </c>
      <c r="F2664" s="78" t="s">
        <v>237</v>
      </c>
      <c r="G2664" s="77" t="s">
        <v>220</v>
      </c>
      <c r="H2664" t="str">
        <f>VLOOKUP(D2664,'DETALLE PRECIO INGREDIENTES'!B:B,1,0)</f>
        <v>SAL DE MESA LOBOS</v>
      </c>
    </row>
    <row r="2665" spans="2:8" hidden="1" x14ac:dyDescent="0.35">
      <c r="B2665" s="80" t="s">
        <v>36</v>
      </c>
      <c r="C2665" s="80" t="s">
        <v>28</v>
      </c>
      <c r="D2665" s="73" t="s">
        <v>450</v>
      </c>
      <c r="E2665" s="74">
        <v>3.7499999999999999E-2</v>
      </c>
      <c r="F2665" s="78" t="s">
        <v>237</v>
      </c>
      <c r="G2665" s="77" t="s">
        <v>220</v>
      </c>
      <c r="H2665" t="str">
        <f>VLOOKUP(D2665,'DETALLE PRECIO INGREDIENTES'!B:B,1,0)</f>
        <v>SALSA DE TOMATES</v>
      </c>
    </row>
    <row r="2666" spans="2:8" hidden="1" x14ac:dyDescent="0.35">
      <c r="B2666" s="80" t="s">
        <v>36</v>
      </c>
      <c r="C2666" s="80" t="s">
        <v>28</v>
      </c>
      <c r="D2666" s="73" t="s">
        <v>716</v>
      </c>
      <c r="E2666" s="74">
        <v>1.8749999999999999E-2</v>
      </c>
      <c r="F2666" s="78" t="s">
        <v>237</v>
      </c>
      <c r="G2666" s="77" t="s">
        <v>621</v>
      </c>
      <c r="H2666" t="str">
        <f>VLOOKUP(D2666,'DETALLE PRECIO INGREDIENTES'!B:B,1,0)</f>
        <v>TOMATE LARGA VIDA</v>
      </c>
    </row>
    <row r="2667" spans="2:8" hidden="1" x14ac:dyDescent="0.35">
      <c r="B2667" s="80" t="s">
        <v>36</v>
      </c>
      <c r="C2667" s="80" t="s">
        <v>28</v>
      </c>
      <c r="D2667" s="73" t="s">
        <v>471</v>
      </c>
      <c r="E2667" s="74">
        <v>0.625</v>
      </c>
      <c r="F2667" s="78" t="s">
        <v>259</v>
      </c>
      <c r="G2667" s="77" t="s">
        <v>220</v>
      </c>
      <c r="H2667" t="str">
        <f>VLOOKUP(D2667,'DETALLE PRECIO INGREDIENTES'!B:B,1,0)</f>
        <v>VAINA VAINILLA</v>
      </c>
    </row>
    <row r="2668" spans="2:8" hidden="1" x14ac:dyDescent="0.35">
      <c r="B2668" s="80" t="s">
        <v>36</v>
      </c>
      <c r="C2668" s="80" t="s">
        <v>28</v>
      </c>
      <c r="D2668" s="73" t="s">
        <v>720</v>
      </c>
      <c r="E2668" s="74">
        <v>0.1</v>
      </c>
      <c r="F2668" s="78" t="s">
        <v>237</v>
      </c>
      <c r="G2668" s="77" t="s">
        <v>621</v>
      </c>
      <c r="H2668" t="str">
        <f>VLOOKUP(D2668,'DETALLE PRECIO INGREDIENTES'!B:B,1,0)</f>
        <v>ZANAHORIA</v>
      </c>
    </row>
    <row r="2669" spans="2:8" hidden="1" x14ac:dyDescent="0.35">
      <c r="B2669" s="80" t="s">
        <v>36</v>
      </c>
      <c r="C2669" s="80" t="s">
        <v>27</v>
      </c>
      <c r="D2669" s="73" t="s">
        <v>243</v>
      </c>
      <c r="E2669" s="74">
        <v>7.5000000000000002E-4</v>
      </c>
      <c r="F2669" s="78" t="s">
        <v>237</v>
      </c>
      <c r="G2669" s="77" t="s">
        <v>220</v>
      </c>
      <c r="H2669" t="str">
        <f>VLOOKUP(D2669,'DETALLE PRECIO INGREDIENTES'!B:B,1,0)</f>
        <v>ACIDO CITRICO</v>
      </c>
    </row>
    <row r="2670" spans="2:8" hidden="1" x14ac:dyDescent="0.35">
      <c r="B2670" s="80" t="s">
        <v>36</v>
      </c>
      <c r="C2670" s="80" t="s">
        <v>27</v>
      </c>
      <c r="D2670" s="73" t="s">
        <v>278</v>
      </c>
      <c r="E2670" s="74">
        <v>2.1000000000000001E-2</v>
      </c>
      <c r="F2670" s="78" t="s">
        <v>237</v>
      </c>
      <c r="G2670" s="77" t="s">
        <v>220</v>
      </c>
      <c r="H2670" t="str">
        <f>VLOOKUP(D2670,'DETALLE PRECIO INGREDIENTES'!B:B,1,0)</f>
        <v>AZUCAR FLOR</v>
      </c>
    </row>
    <row r="2671" spans="2:8" hidden="1" x14ac:dyDescent="0.35">
      <c r="B2671" s="80" t="s">
        <v>36</v>
      </c>
      <c r="C2671" s="80" t="s">
        <v>27</v>
      </c>
      <c r="D2671" s="73" t="s">
        <v>277</v>
      </c>
      <c r="E2671" s="74">
        <v>0.21374999999999997</v>
      </c>
      <c r="F2671" s="78" t="s">
        <v>237</v>
      </c>
      <c r="G2671" s="77" t="s">
        <v>220</v>
      </c>
      <c r="H2671" t="str">
        <f>VLOOKUP(D2671,'DETALLE PRECIO INGREDIENTES'!B:B,1,0)</f>
        <v>AZUCAR BLANCA GRANULADA</v>
      </c>
    </row>
    <row r="2672" spans="2:8" hidden="1" x14ac:dyDescent="0.35">
      <c r="B2672" s="80" t="s">
        <v>36</v>
      </c>
      <c r="C2672" s="80" t="s">
        <v>27</v>
      </c>
      <c r="D2672" s="73" t="s">
        <v>281</v>
      </c>
      <c r="E2672" s="74">
        <v>2.5500000000000002E-2</v>
      </c>
      <c r="F2672" s="78" t="s">
        <v>237</v>
      </c>
      <c r="G2672" s="77" t="s">
        <v>220</v>
      </c>
      <c r="H2672" t="str">
        <f>VLOOKUP(D2672,'DETALLE PRECIO INGREDIENTES'!B:B,1,0)</f>
        <v>AZUCAR INVERTIDA</v>
      </c>
    </row>
    <row r="2673" spans="2:8" hidden="1" x14ac:dyDescent="0.35">
      <c r="B2673" s="80" t="s">
        <v>36</v>
      </c>
      <c r="C2673" s="80" t="s">
        <v>27</v>
      </c>
      <c r="D2673" s="73" t="s">
        <v>554</v>
      </c>
      <c r="E2673" s="74">
        <v>4.0625000000000001E-2</v>
      </c>
      <c r="F2673" s="78" t="s">
        <v>237</v>
      </c>
      <c r="G2673" s="77" t="s">
        <v>551</v>
      </c>
      <c r="H2673" t="str">
        <f>VLOOKUP(D2673,'DETALLE PRECIO INGREDIENTES'!B:B,1,0)</f>
        <v>CACAO EN POLVO AMARGO</v>
      </c>
    </row>
    <row r="2674" spans="2:8" hidden="1" x14ac:dyDescent="0.35">
      <c r="B2674" s="80" t="s">
        <v>36</v>
      </c>
      <c r="C2674" s="80" t="s">
        <v>27</v>
      </c>
      <c r="D2674" s="73" t="s">
        <v>556</v>
      </c>
      <c r="E2674" s="74">
        <v>0.15362499999999998</v>
      </c>
      <c r="F2674" s="78" t="s">
        <v>237</v>
      </c>
      <c r="G2674" s="77" t="s">
        <v>551</v>
      </c>
      <c r="H2674" t="str">
        <f>VLOOKUP(D2674,'DETALLE PRECIO INGREDIENTES'!B:B,1,0)</f>
        <v>CHOCOLATE AMARGO 56%</v>
      </c>
    </row>
    <row r="2675" spans="2:8" hidden="1" x14ac:dyDescent="0.35">
      <c r="B2675" s="80" t="s">
        <v>36</v>
      </c>
      <c r="C2675" s="80" t="s">
        <v>27</v>
      </c>
      <c r="D2675" s="73" t="s">
        <v>559</v>
      </c>
      <c r="E2675" s="74">
        <v>7.0000000000000007E-2</v>
      </c>
      <c r="F2675" s="78" t="s">
        <v>237</v>
      </c>
      <c r="G2675" s="77" t="s">
        <v>551</v>
      </c>
      <c r="H2675" t="str">
        <f>VLOOKUP(D2675,'DETALLE PRECIO INGREDIENTES'!B:B,1,0)</f>
        <v>CHOCOLATE AMARGO 70%</v>
      </c>
    </row>
    <row r="2676" spans="2:8" hidden="1" x14ac:dyDescent="0.35">
      <c r="B2676" s="80" t="s">
        <v>36</v>
      </c>
      <c r="C2676" s="80" t="s">
        <v>27</v>
      </c>
      <c r="D2676" s="73" t="s">
        <v>560</v>
      </c>
      <c r="E2676" s="74">
        <v>0.16125</v>
      </c>
      <c r="F2676" s="78" t="s">
        <v>237</v>
      </c>
      <c r="G2676" s="77" t="s">
        <v>551</v>
      </c>
      <c r="H2676" t="str">
        <f>VLOOKUP(D2676,'DETALLE PRECIO INGREDIENTES'!B:B,1,0)</f>
        <v>CHOCOLATE CALLEBAUT BLANCO 28%</v>
      </c>
    </row>
    <row r="2677" spans="2:8" hidden="1" x14ac:dyDescent="0.35">
      <c r="B2677" s="80" t="s">
        <v>36</v>
      </c>
      <c r="C2677" s="80" t="s">
        <v>27</v>
      </c>
      <c r="D2677" s="73" t="s">
        <v>307</v>
      </c>
      <c r="E2677" s="74">
        <v>5.125</v>
      </c>
      <c r="F2677" s="78" t="s">
        <v>259</v>
      </c>
      <c r="G2677" s="77" t="s">
        <v>220</v>
      </c>
      <c r="H2677" t="str">
        <f>VLOOKUP(D2677,'DETALLE PRECIO INGREDIENTES'!B:B,1,0)</f>
        <v>COLAPEZ POR HOJA</v>
      </c>
    </row>
    <row r="2678" spans="2:8" hidden="1" x14ac:dyDescent="0.35">
      <c r="B2678" s="80" t="s">
        <v>36</v>
      </c>
      <c r="C2678" s="80" t="s">
        <v>27</v>
      </c>
      <c r="D2678" s="73" t="s">
        <v>739</v>
      </c>
      <c r="E2678" s="74">
        <v>0.36875000000000002</v>
      </c>
      <c r="F2678" s="78" t="s">
        <v>222</v>
      </c>
      <c r="G2678" s="77" t="s">
        <v>736</v>
      </c>
      <c r="H2678" t="str">
        <f>VLOOKUP(D2678,'DETALLE PRECIO INGREDIENTES'!B:B,1,0)</f>
        <v>CREMA DE LECHE</v>
      </c>
    </row>
    <row r="2679" spans="2:8" hidden="1" x14ac:dyDescent="0.35">
      <c r="B2679" s="80" t="s">
        <v>36</v>
      </c>
      <c r="C2679" s="80" t="s">
        <v>27</v>
      </c>
      <c r="D2679" s="73" t="s">
        <v>322</v>
      </c>
      <c r="E2679" s="74">
        <v>1.2500000000000001E-2</v>
      </c>
      <c r="F2679" s="78" t="s">
        <v>237</v>
      </c>
      <c r="G2679" s="77" t="s">
        <v>220</v>
      </c>
      <c r="H2679" t="str">
        <f>VLOOKUP(D2679,'DETALLE PRECIO INGREDIENTES'!B:B,1,0)</f>
        <v>DEXTROSA</v>
      </c>
    </row>
    <row r="2680" spans="2:8" hidden="1" x14ac:dyDescent="0.35">
      <c r="B2680" s="80" t="s">
        <v>36</v>
      </c>
      <c r="C2680" s="80" t="s">
        <v>27</v>
      </c>
      <c r="D2680" s="73" t="s">
        <v>329</v>
      </c>
      <c r="E2680" s="74">
        <v>1.5E-3</v>
      </c>
      <c r="F2680" s="78" t="s">
        <v>222</v>
      </c>
      <c r="G2680" s="77" t="s">
        <v>220</v>
      </c>
      <c r="H2680" t="str">
        <f>VLOOKUP(D2680,'DETALLE PRECIO INGREDIENTES'!B:B,1,0)</f>
        <v>ESENCIA DE VAINILLA</v>
      </c>
    </row>
    <row r="2681" spans="2:8" hidden="1" x14ac:dyDescent="0.35">
      <c r="B2681" s="80" t="s">
        <v>36</v>
      </c>
      <c r="C2681" s="80" t="s">
        <v>27</v>
      </c>
      <c r="D2681" s="73" t="s">
        <v>348</v>
      </c>
      <c r="E2681" s="74">
        <v>2.75E-2</v>
      </c>
      <c r="F2681" s="78" t="s">
        <v>237</v>
      </c>
      <c r="G2681" s="77" t="s">
        <v>220</v>
      </c>
      <c r="H2681" t="str">
        <f>VLOOKUP(D2681,'DETALLE PRECIO INGREDIENTES'!B:B,1,0)</f>
        <v>GLUCOSA</v>
      </c>
    </row>
    <row r="2682" spans="2:8" hidden="1" x14ac:dyDescent="0.35">
      <c r="B2682" s="80" t="s">
        <v>36</v>
      </c>
      <c r="C2682" s="80" t="s">
        <v>27</v>
      </c>
      <c r="D2682" s="73" t="s">
        <v>354</v>
      </c>
      <c r="E2682" s="74">
        <v>0.1225</v>
      </c>
      <c r="F2682" s="78" t="s">
        <v>237</v>
      </c>
      <c r="G2682" s="77" t="s">
        <v>220</v>
      </c>
      <c r="H2682" t="str">
        <f>VLOOKUP(D2682,'DETALLE PRECIO INGREDIENTES'!B:B,1,0)</f>
        <v>HARINA BIZCOCHERA</v>
      </c>
    </row>
    <row r="2683" spans="2:8" hidden="1" x14ac:dyDescent="0.35">
      <c r="B2683" s="80" t="s">
        <v>36</v>
      </c>
      <c r="C2683" s="80" t="s">
        <v>27</v>
      </c>
      <c r="D2683" s="73" t="s">
        <v>729</v>
      </c>
      <c r="E2683" s="74">
        <v>3.125</v>
      </c>
      <c r="F2683" s="78" t="s">
        <v>259</v>
      </c>
      <c r="G2683" s="77" t="s">
        <v>728</v>
      </c>
      <c r="H2683" t="str">
        <f>VLOOKUP(D2683,'DETALLE PRECIO INGREDIENTES'!B:B,1,0)</f>
        <v>HUEVO EXTRA BLANCO</v>
      </c>
    </row>
    <row r="2684" spans="2:8" hidden="1" x14ac:dyDescent="0.35">
      <c r="B2684" s="80" t="s">
        <v>36</v>
      </c>
      <c r="C2684" s="80" t="s">
        <v>27</v>
      </c>
      <c r="D2684" s="73" t="s">
        <v>748</v>
      </c>
      <c r="E2684" s="74">
        <v>3.125E-2</v>
      </c>
      <c r="F2684" s="78" t="s">
        <v>222</v>
      </c>
      <c r="G2684" s="77" t="s">
        <v>736</v>
      </c>
      <c r="H2684" t="str">
        <f>VLOOKUP(D2684,'DETALLE PRECIO INGREDIENTES'!B:B,1,0)</f>
        <v>LECHE ENTERA</v>
      </c>
    </row>
    <row r="2685" spans="2:8" hidden="1" x14ac:dyDescent="0.35">
      <c r="B2685" s="80" t="s">
        <v>36</v>
      </c>
      <c r="C2685" s="80" t="s">
        <v>27</v>
      </c>
      <c r="D2685" s="73" t="s">
        <v>680</v>
      </c>
      <c r="E2685" s="74">
        <v>7.7499999999999999E-2</v>
      </c>
      <c r="F2685" s="78" t="s">
        <v>237</v>
      </c>
      <c r="G2685" s="77" t="s">
        <v>621</v>
      </c>
      <c r="H2685" t="str">
        <f>VLOOKUP(D2685,'DETALLE PRECIO INGREDIENTES'!B:B,1,0)</f>
        <v>LIMON DE JUGO</v>
      </c>
    </row>
    <row r="2686" spans="2:8" hidden="1" x14ac:dyDescent="0.35">
      <c r="B2686" s="80" t="s">
        <v>36</v>
      </c>
      <c r="C2686" s="80" t="s">
        <v>27</v>
      </c>
      <c r="D2686" s="73" t="s">
        <v>570</v>
      </c>
      <c r="E2686" s="74">
        <v>1.4750000000000001E-2</v>
      </c>
      <c r="F2686" s="78" t="s">
        <v>237</v>
      </c>
      <c r="G2686" s="77" t="s">
        <v>551</v>
      </c>
      <c r="H2686" t="str">
        <f>VLOOKUP(D2686,'DETALLE PRECIO INGREDIENTES'!B:B,1,0)</f>
        <v>MANTECA DE CACAO</v>
      </c>
    </row>
    <row r="2687" spans="2:8" hidden="1" x14ac:dyDescent="0.35">
      <c r="B2687" s="80" t="s">
        <v>36</v>
      </c>
      <c r="C2687" s="80" t="s">
        <v>27</v>
      </c>
      <c r="D2687" s="73" t="s">
        <v>751</v>
      </c>
      <c r="E2687" s="74">
        <v>0.13337499999999999</v>
      </c>
      <c r="F2687" s="78" t="s">
        <v>237</v>
      </c>
      <c r="G2687" s="77" t="s">
        <v>736</v>
      </c>
      <c r="H2687" t="str">
        <f>VLOOKUP(D2687,'DETALLE PRECIO INGREDIENTES'!B:B,1,0)</f>
        <v>MANTEQUILLA SIN SAL</v>
      </c>
    </row>
    <row r="2688" spans="2:8" hidden="1" x14ac:dyDescent="0.35">
      <c r="B2688" s="80" t="s">
        <v>36</v>
      </c>
      <c r="C2688" s="80" t="s">
        <v>27</v>
      </c>
      <c r="D2688" s="73" t="s">
        <v>725</v>
      </c>
      <c r="E2688" s="74">
        <v>2.3125E-2</v>
      </c>
      <c r="F2688" s="78" t="s">
        <v>237</v>
      </c>
      <c r="G2688" s="77" t="s">
        <v>724</v>
      </c>
      <c r="H2688" t="str">
        <f>VLOOKUP(D2688,'DETALLE PRECIO INGREDIENTES'!B:B,1,0)</f>
        <v>NUEZ CUARTILLO</v>
      </c>
    </row>
    <row r="2689" spans="2:8" hidden="1" x14ac:dyDescent="0.35">
      <c r="B2689" s="80" t="s">
        <v>36</v>
      </c>
      <c r="C2689" s="80" t="s">
        <v>27</v>
      </c>
      <c r="D2689" s="73" t="s">
        <v>422</v>
      </c>
      <c r="E2689" s="74">
        <v>1.5E-3</v>
      </c>
      <c r="F2689" s="78" t="s">
        <v>237</v>
      </c>
      <c r="G2689" s="77" t="s">
        <v>220</v>
      </c>
      <c r="H2689" t="str">
        <f>VLOOKUP(D2689,'DETALLE PRECIO INGREDIENTES'!B:B,1,0)</f>
        <v>PECTINA NH</v>
      </c>
    </row>
    <row r="2690" spans="2:8" hidden="1" x14ac:dyDescent="0.35">
      <c r="B2690" s="80" t="s">
        <v>36</v>
      </c>
      <c r="C2690" s="80" t="s">
        <v>27</v>
      </c>
      <c r="D2690" s="73" t="s">
        <v>432</v>
      </c>
      <c r="E2690" s="74">
        <v>5.0000000000000001E-4</v>
      </c>
      <c r="F2690" s="78" t="s">
        <v>237</v>
      </c>
      <c r="G2690" s="77" t="s">
        <v>220</v>
      </c>
      <c r="H2690" t="str">
        <f>VLOOKUP(D2690,'DETALLE PRECIO INGREDIENTES'!B:B,1,0)</f>
        <v>POLVOS DE HORNEAR</v>
      </c>
    </row>
    <row r="2691" spans="2:8" hidden="1" x14ac:dyDescent="0.35">
      <c r="B2691" s="80" t="s">
        <v>36</v>
      </c>
      <c r="C2691" s="80" t="s">
        <v>27</v>
      </c>
      <c r="D2691" s="73" t="s">
        <v>708</v>
      </c>
      <c r="E2691" s="74">
        <v>7.4999999999999997E-2</v>
      </c>
      <c r="F2691" s="78" t="s">
        <v>986</v>
      </c>
      <c r="G2691" s="77" t="s">
        <v>621</v>
      </c>
      <c r="H2691" t="str">
        <f>VLOOKUP(D2691,'DETALLE PRECIO INGREDIENTES'!B:B,1,0)</f>
        <v>PURE DE CEREZAS</v>
      </c>
    </row>
    <row r="2692" spans="2:8" hidden="1" x14ac:dyDescent="0.35">
      <c r="B2692" s="80" t="s">
        <v>36</v>
      </c>
      <c r="C2692" s="80" t="s">
        <v>27</v>
      </c>
      <c r="D2692" s="73" t="s">
        <v>787</v>
      </c>
      <c r="E2692" s="74">
        <v>1.25E-3</v>
      </c>
      <c r="F2692" s="78" t="s">
        <v>259</v>
      </c>
      <c r="G2692" s="77" t="s">
        <v>776</v>
      </c>
      <c r="H2692" t="str">
        <f>VLOOKUP(D2692,'DETALLE PRECIO INGREDIENTES'!B:B,1,0)</f>
        <v>RON MITJANS DORADO</v>
      </c>
    </row>
    <row r="2693" spans="2:8" hidden="1" x14ac:dyDescent="0.35">
      <c r="B2693" s="80" t="s">
        <v>36</v>
      </c>
      <c r="C2693" s="80" t="s">
        <v>27</v>
      </c>
      <c r="D2693" s="73" t="s">
        <v>443</v>
      </c>
      <c r="E2693" s="74">
        <v>6.2500000000000001E-4</v>
      </c>
      <c r="F2693" s="78" t="s">
        <v>237</v>
      </c>
      <c r="G2693" s="77" t="s">
        <v>220</v>
      </c>
      <c r="H2693" t="str">
        <f>VLOOKUP(D2693,'DETALLE PRECIO INGREDIENTES'!B:B,1,0)</f>
        <v>SAL DE MAR FINA</v>
      </c>
    </row>
    <row r="2694" spans="2:8" hidden="1" x14ac:dyDescent="0.35">
      <c r="B2694" s="80" t="s">
        <v>36</v>
      </c>
      <c r="C2694" s="80" t="s">
        <v>27</v>
      </c>
      <c r="D2694" s="73" t="s">
        <v>471</v>
      </c>
      <c r="E2694" s="74">
        <v>0.5</v>
      </c>
      <c r="F2694" s="78" t="s">
        <v>259</v>
      </c>
      <c r="G2694" s="77" t="s">
        <v>220</v>
      </c>
      <c r="H2694" t="str">
        <f>VLOOKUP(D2694,'DETALLE PRECIO INGREDIENTES'!B:B,1,0)</f>
        <v>VAINA VAINILLA</v>
      </c>
    </row>
    <row r="2695" spans="2:8" hidden="1" x14ac:dyDescent="0.35">
      <c r="B2695" s="80" t="s">
        <v>36</v>
      </c>
      <c r="C2695" s="80" t="s">
        <v>27</v>
      </c>
      <c r="D2695" s="73" t="s">
        <v>599</v>
      </c>
      <c r="E2695" s="74">
        <v>1.2500000000000001E-2</v>
      </c>
      <c r="F2695" s="78" t="s">
        <v>237</v>
      </c>
      <c r="G2695" s="77" t="s">
        <v>587</v>
      </c>
      <c r="H2695" t="str">
        <f>VLOOKUP(D2695,'DETALLE PRECIO INGREDIENTES'!B:B,1,0)</f>
        <v>PULPA DE MARACUYA SIN SEMILLA</v>
      </c>
    </row>
    <row r="2696" spans="2:8" hidden="1" x14ac:dyDescent="0.35">
      <c r="B2696" s="80" t="s">
        <v>36</v>
      </c>
      <c r="C2696" s="80" t="s">
        <v>27</v>
      </c>
      <c r="D2696" s="73" t="s">
        <v>355</v>
      </c>
      <c r="E2696" s="74">
        <v>8.9999999999999993E-3</v>
      </c>
      <c r="F2696" s="78" t="s">
        <v>237</v>
      </c>
      <c r="G2696" s="77" t="s">
        <v>220</v>
      </c>
      <c r="H2696" t="str">
        <f>VLOOKUP(D2696,'DETALLE PRECIO INGREDIENTES'!B:B,1,0)</f>
        <v>HARINA DE ALMENDRA</v>
      </c>
    </row>
    <row r="2697" spans="2:8" hidden="1" x14ac:dyDescent="0.35">
      <c r="B2697" s="80" t="s">
        <v>36</v>
      </c>
      <c r="C2697" s="80" t="s">
        <v>27</v>
      </c>
      <c r="D2697" s="73" t="s">
        <v>288</v>
      </c>
      <c r="E2697" s="74">
        <v>8.2500000000000004E-3</v>
      </c>
      <c r="F2697" s="78" t="s">
        <v>237</v>
      </c>
      <c r="G2697" s="77" t="s">
        <v>220</v>
      </c>
      <c r="H2697" t="str">
        <f>VLOOKUP(D2697,'DETALLE PRECIO INGREDIENTES'!B:B,1,0)</f>
        <v>CAFE INSTANTANEO</v>
      </c>
    </row>
    <row r="2698" spans="2:8" hidden="1" x14ac:dyDescent="0.35">
      <c r="B2698" s="80" t="s">
        <v>36</v>
      </c>
      <c r="C2698" s="80" t="s">
        <v>27</v>
      </c>
      <c r="D2698" s="73" t="s">
        <v>767</v>
      </c>
      <c r="E2698" s="74">
        <v>3.125E-2</v>
      </c>
      <c r="F2698" s="78" t="s">
        <v>237</v>
      </c>
      <c r="G2698" s="77" t="s">
        <v>736</v>
      </c>
      <c r="H2698" t="str">
        <f>VLOOKUP(D2698,'DETALLE PRECIO INGREDIENTES'!B:B,1,0)</f>
        <v>QUESO MASCARPONE</v>
      </c>
    </row>
    <row r="2699" spans="2:8" hidden="1" x14ac:dyDescent="0.35">
      <c r="B2699" s="80" t="s">
        <v>36</v>
      </c>
      <c r="C2699" s="80" t="s">
        <v>27</v>
      </c>
      <c r="D2699" s="73" t="s">
        <v>759</v>
      </c>
      <c r="E2699" s="74">
        <v>3.125E-2</v>
      </c>
      <c r="F2699" s="78" t="s">
        <v>237</v>
      </c>
      <c r="G2699" s="77" t="s">
        <v>736</v>
      </c>
      <c r="H2699" t="str">
        <f>VLOOKUP(D2699,'DETALLE PRECIO INGREDIENTES'!B:B,1,0)</f>
        <v>QUESO CREMA</v>
      </c>
    </row>
    <row r="2700" spans="2:8" hidden="1" x14ac:dyDescent="0.35">
      <c r="B2700" s="80" t="s">
        <v>36</v>
      </c>
      <c r="C2700" s="80" t="s">
        <v>27</v>
      </c>
      <c r="D2700" s="73" t="s">
        <v>777</v>
      </c>
      <c r="E2700" s="74">
        <v>6.2500000000000003E-3</v>
      </c>
      <c r="F2700" s="78" t="s">
        <v>259</v>
      </c>
      <c r="G2700" s="77" t="s">
        <v>776</v>
      </c>
      <c r="H2700" t="str">
        <f>VLOOKUP(D2700,'DETALLE PRECIO INGREDIENTES'!B:B,1,0)</f>
        <v>AMARETTO DISARONNO</v>
      </c>
    </row>
    <row r="2701" spans="2:8" hidden="1" x14ac:dyDescent="0.35">
      <c r="B2701" s="80" t="s">
        <v>36</v>
      </c>
      <c r="C2701" s="80" t="s">
        <v>27</v>
      </c>
      <c r="D2701" s="73" t="s">
        <v>340</v>
      </c>
      <c r="E2701" s="74">
        <v>2</v>
      </c>
      <c r="F2701" s="78" t="s">
        <v>259</v>
      </c>
      <c r="G2701" s="77" t="s">
        <v>220</v>
      </c>
      <c r="H2701" t="str">
        <f>VLOOKUP(D2701,'DETALLE PRECIO INGREDIENTES'!B:B,1,0)</f>
        <v>GALLETAS DE CHAMPAÑA</v>
      </c>
    </row>
    <row r="2702" spans="2:8" hidden="1" x14ac:dyDescent="0.35">
      <c r="B2702" s="80" t="s">
        <v>36</v>
      </c>
      <c r="C2702" s="80" t="s">
        <v>27</v>
      </c>
      <c r="D2702" s="73" t="s">
        <v>504</v>
      </c>
      <c r="E2702" s="74">
        <v>1</v>
      </c>
      <c r="F2702" s="78" t="s">
        <v>259</v>
      </c>
      <c r="G2702" s="77" t="s">
        <v>485</v>
      </c>
      <c r="H2702" t="str">
        <f>VLOOKUP(D2702,'DETALLE PRECIO INGREDIENTES'!B:B,1,0)</f>
        <v>MICA CARTA</v>
      </c>
    </row>
    <row r="2703" spans="2:8" hidden="1" x14ac:dyDescent="0.35">
      <c r="B2703" s="80" t="s">
        <v>36</v>
      </c>
      <c r="C2703" s="80" t="s">
        <v>26</v>
      </c>
      <c r="D2703" s="73" t="s">
        <v>235</v>
      </c>
      <c r="E2703" s="74">
        <v>3.7499999999999999E-2</v>
      </c>
      <c r="F2703" s="78" t="s">
        <v>222</v>
      </c>
      <c r="G2703" s="77" t="s">
        <v>220</v>
      </c>
      <c r="H2703" t="str">
        <f>VLOOKUP(D2703,'DETALLE PRECIO INGREDIENTES'!B:B,1,0)</f>
        <v>ACEITE VEGETAL</v>
      </c>
    </row>
    <row r="2704" spans="2:8" hidden="1" x14ac:dyDescent="0.35">
      <c r="B2704" s="80" t="s">
        <v>36</v>
      </c>
      <c r="C2704" s="80" t="s">
        <v>26</v>
      </c>
      <c r="D2704" s="73" t="s">
        <v>241</v>
      </c>
      <c r="E2704" s="74">
        <v>1.25E-4</v>
      </c>
      <c r="F2704" s="78" t="s">
        <v>237</v>
      </c>
      <c r="G2704" s="77" t="s">
        <v>220</v>
      </c>
      <c r="H2704" t="str">
        <f>VLOOKUP(D2704,'DETALLE PRECIO INGREDIENTES'!B:B,1,0)</f>
        <v>ACIDO ASCORBICO</v>
      </c>
    </row>
    <row r="2705" spans="2:8" hidden="1" x14ac:dyDescent="0.35">
      <c r="B2705" s="80" t="s">
        <v>36</v>
      </c>
      <c r="C2705" s="80" t="s">
        <v>26</v>
      </c>
      <c r="D2705" s="73" t="s">
        <v>243</v>
      </c>
      <c r="E2705" s="74">
        <v>5.0000000000000001E-4</v>
      </c>
      <c r="F2705" s="78" t="s">
        <v>237</v>
      </c>
      <c r="G2705" s="77" t="s">
        <v>220</v>
      </c>
      <c r="H2705" t="str">
        <f>VLOOKUP(D2705,'DETALLE PRECIO INGREDIENTES'!B:B,1,0)</f>
        <v>ACIDO CITRICO</v>
      </c>
    </row>
    <row r="2706" spans="2:8" hidden="1" x14ac:dyDescent="0.35">
      <c r="B2706" s="80" t="s">
        <v>36</v>
      </c>
      <c r="C2706" s="80" t="s">
        <v>26</v>
      </c>
      <c r="D2706" s="73" t="s">
        <v>244</v>
      </c>
      <c r="E2706" s="74">
        <v>2.5000000000000001E-3</v>
      </c>
      <c r="F2706" s="78" t="s">
        <v>237</v>
      </c>
      <c r="G2706" s="77" t="s">
        <v>220</v>
      </c>
      <c r="H2706" t="str">
        <f>VLOOKUP(D2706,'DETALLE PRECIO INGREDIENTES'!B:B,1,0)</f>
        <v>AGAR-AGAR</v>
      </c>
    </row>
    <row r="2707" spans="2:8" hidden="1" x14ac:dyDescent="0.35">
      <c r="B2707" s="80" t="s">
        <v>36</v>
      </c>
      <c r="C2707" s="80" t="s">
        <v>26</v>
      </c>
      <c r="D2707" s="73" t="s">
        <v>260</v>
      </c>
      <c r="E2707" s="74">
        <v>3.7499999999999999E-3</v>
      </c>
      <c r="F2707" s="78" t="s">
        <v>237</v>
      </c>
      <c r="G2707" s="77" t="s">
        <v>220</v>
      </c>
      <c r="H2707" t="str">
        <f>VLOOKUP(D2707,'DETALLE PRECIO INGREDIENTES'!B:B,1,0)</f>
        <v>ALGINATO DE SODIO</v>
      </c>
    </row>
    <row r="2708" spans="2:8" hidden="1" x14ac:dyDescent="0.35">
      <c r="B2708" s="80" t="s">
        <v>36</v>
      </c>
      <c r="C2708" s="80" t="s">
        <v>26</v>
      </c>
      <c r="D2708" s="73" t="s">
        <v>277</v>
      </c>
      <c r="E2708" s="74">
        <v>0.13649999999999998</v>
      </c>
      <c r="F2708" s="78" t="s">
        <v>237</v>
      </c>
      <c r="G2708" s="77" t="s">
        <v>220</v>
      </c>
      <c r="H2708" t="str">
        <f>VLOOKUP(D2708,'DETALLE PRECIO INGREDIENTES'!B:B,1,0)</f>
        <v>AZUCAR BLANCA GRANULADA</v>
      </c>
    </row>
    <row r="2709" spans="2:8" hidden="1" x14ac:dyDescent="0.35">
      <c r="B2709" s="80" t="s">
        <v>36</v>
      </c>
      <c r="C2709" s="80" t="s">
        <v>26</v>
      </c>
      <c r="D2709" s="73" t="s">
        <v>281</v>
      </c>
      <c r="E2709" s="74">
        <v>9.3749999999999997E-3</v>
      </c>
      <c r="F2709" s="78" t="s">
        <v>237</v>
      </c>
      <c r="G2709" s="77" t="s">
        <v>220</v>
      </c>
      <c r="H2709" t="str">
        <f>VLOOKUP(D2709,'DETALLE PRECIO INGREDIENTES'!B:B,1,0)</f>
        <v>AZUCAR INVERTIDA</v>
      </c>
    </row>
    <row r="2710" spans="2:8" hidden="1" x14ac:dyDescent="0.35">
      <c r="B2710" s="80" t="s">
        <v>36</v>
      </c>
      <c r="C2710" s="80" t="s">
        <v>26</v>
      </c>
      <c r="D2710" s="73" t="s">
        <v>490</v>
      </c>
      <c r="E2710" s="74">
        <v>0.5</v>
      </c>
      <c r="F2710" s="78" t="s">
        <v>259</v>
      </c>
      <c r="G2710" s="77" t="s">
        <v>485</v>
      </c>
      <c r="H2710" t="str">
        <f>VLOOKUP(D2710,'DETALLE PRECIO INGREDIENTES'!B:B,1,0)</f>
        <v>BOLSA PARA SELLADO AL VACIO 25X35 CM</v>
      </c>
    </row>
    <row r="2711" spans="2:8" hidden="1" x14ac:dyDescent="0.35">
      <c r="B2711" s="80" t="s">
        <v>36</v>
      </c>
      <c r="C2711" s="80" t="s">
        <v>26</v>
      </c>
      <c r="D2711" s="73" t="s">
        <v>554</v>
      </c>
      <c r="E2711" s="74">
        <v>8.1250000000000003E-3</v>
      </c>
      <c r="F2711" s="78" t="s">
        <v>237</v>
      </c>
      <c r="G2711" s="77" t="s">
        <v>551</v>
      </c>
      <c r="H2711" t="str">
        <f>VLOOKUP(D2711,'DETALLE PRECIO INGREDIENTES'!B:B,1,0)</f>
        <v>CACAO EN POLVO AMARGO</v>
      </c>
    </row>
    <row r="2712" spans="2:8" hidden="1" x14ac:dyDescent="0.35">
      <c r="B2712" s="80" t="s">
        <v>36</v>
      </c>
      <c r="C2712" s="80" t="s">
        <v>26</v>
      </c>
      <c r="D2712" s="73" t="s">
        <v>288</v>
      </c>
      <c r="E2712" s="74">
        <v>6.2500000000000003E-3</v>
      </c>
      <c r="F2712" s="78" t="s">
        <v>237</v>
      </c>
      <c r="G2712" s="77" t="s">
        <v>220</v>
      </c>
      <c r="H2712" t="str">
        <f>VLOOKUP(D2712,'DETALLE PRECIO INGREDIENTES'!B:B,1,0)</f>
        <v>CAFE INSTANTANEO</v>
      </c>
    </row>
    <row r="2713" spans="2:8" hidden="1" x14ac:dyDescent="0.35">
      <c r="B2713" s="80" t="s">
        <v>36</v>
      </c>
      <c r="C2713" s="80" t="s">
        <v>26</v>
      </c>
      <c r="D2713" s="73" t="s">
        <v>497</v>
      </c>
      <c r="E2713" s="74">
        <v>1</v>
      </c>
      <c r="F2713" s="78" t="s">
        <v>259</v>
      </c>
      <c r="G2713" s="77" t="s">
        <v>485</v>
      </c>
      <c r="H2713" t="str">
        <f>VLOOKUP(D2713,'DETALLE PRECIO INGREDIENTES'!B:B,1,0)</f>
        <v>CARGA DE SIFON</v>
      </c>
    </row>
    <row r="2714" spans="2:8" hidden="1" x14ac:dyDescent="0.35">
      <c r="B2714" s="80" t="s">
        <v>36</v>
      </c>
      <c r="C2714" s="80" t="s">
        <v>26</v>
      </c>
      <c r="D2714" s="73" t="s">
        <v>647</v>
      </c>
      <c r="E2714" s="74">
        <v>2.5000000000000001E-2</v>
      </c>
      <c r="F2714" s="78" t="s">
        <v>237</v>
      </c>
      <c r="G2714" s="77" t="s">
        <v>621</v>
      </c>
      <c r="H2714" t="str">
        <f>VLOOKUP(D2714,'DETALLE PRECIO INGREDIENTES'!B:B,1,0)</f>
        <v>CEREZAS FRESCAS</v>
      </c>
    </row>
    <row r="2715" spans="2:8" hidden="1" x14ac:dyDescent="0.35">
      <c r="B2715" s="80" t="s">
        <v>36</v>
      </c>
      <c r="C2715" s="80" t="s">
        <v>26</v>
      </c>
      <c r="D2715" s="73" t="s">
        <v>559</v>
      </c>
      <c r="E2715" s="74">
        <v>1.8749999999999999E-2</v>
      </c>
      <c r="F2715" s="78" t="s">
        <v>237</v>
      </c>
      <c r="G2715" s="77" t="s">
        <v>551</v>
      </c>
      <c r="H2715" t="str">
        <f>VLOOKUP(D2715,'DETALLE PRECIO INGREDIENTES'!B:B,1,0)</f>
        <v>CHOCOLATE AMARGO 70%</v>
      </c>
    </row>
    <row r="2716" spans="2:8" hidden="1" x14ac:dyDescent="0.35">
      <c r="B2716" s="80" t="s">
        <v>36</v>
      </c>
      <c r="C2716" s="80" t="s">
        <v>26</v>
      </c>
      <c r="D2716" s="73" t="s">
        <v>556</v>
      </c>
      <c r="E2716" s="74">
        <v>0.02</v>
      </c>
      <c r="F2716" s="78" t="s">
        <v>237</v>
      </c>
      <c r="G2716" s="77" t="s">
        <v>551</v>
      </c>
      <c r="H2716" t="str">
        <f>VLOOKUP(D2716,'DETALLE PRECIO INGREDIENTES'!B:B,1,0)</f>
        <v>CHOCOLATE AMARGO 56%</v>
      </c>
    </row>
    <row r="2717" spans="2:8" hidden="1" x14ac:dyDescent="0.35">
      <c r="B2717" s="80" t="s">
        <v>36</v>
      </c>
      <c r="C2717" s="80" t="s">
        <v>26</v>
      </c>
      <c r="D2717" s="73" t="s">
        <v>304</v>
      </c>
      <c r="E2717" s="74">
        <v>1.25E-3</v>
      </c>
      <c r="F2717" s="78" t="s">
        <v>237</v>
      </c>
      <c r="G2717" s="77" t="s">
        <v>220</v>
      </c>
      <c r="H2717" t="str">
        <f>VLOOKUP(D2717,'DETALLE PRECIO INGREDIENTES'!B:B,1,0)</f>
        <v>CLORURO DE CALCIO</v>
      </c>
    </row>
    <row r="2718" spans="2:8" hidden="1" x14ac:dyDescent="0.35">
      <c r="B2718" s="80" t="s">
        <v>36</v>
      </c>
      <c r="C2718" s="80" t="s">
        <v>26</v>
      </c>
      <c r="D2718" s="73" t="s">
        <v>307</v>
      </c>
      <c r="E2718" s="74">
        <v>1.625</v>
      </c>
      <c r="F2718" s="78" t="s">
        <v>259</v>
      </c>
      <c r="G2718" s="77" t="s">
        <v>220</v>
      </c>
      <c r="H2718" t="str">
        <f>VLOOKUP(D2718,'DETALLE PRECIO INGREDIENTES'!B:B,1,0)</f>
        <v>COLAPEZ POR HOJA</v>
      </c>
    </row>
    <row r="2719" spans="2:8" hidden="1" x14ac:dyDescent="0.35">
      <c r="B2719" s="80" t="s">
        <v>36</v>
      </c>
      <c r="C2719" s="80" t="s">
        <v>26</v>
      </c>
      <c r="D2719" s="73" t="s">
        <v>576</v>
      </c>
      <c r="E2719" s="74">
        <v>0</v>
      </c>
      <c r="F2719" s="78" t="s">
        <v>259</v>
      </c>
      <c r="G2719" s="77" t="s">
        <v>573</v>
      </c>
      <c r="H2719" t="str">
        <f>VLOOKUP(D2719,'DETALLE PRECIO INGREDIENTES'!B:B,1,0)</f>
        <v>COLORANTE HIDROSOLUBLE POLVO AMARILLO</v>
      </c>
    </row>
    <row r="2720" spans="2:8" hidden="1" x14ac:dyDescent="0.35">
      <c r="B2720" s="80" t="s">
        <v>36</v>
      </c>
      <c r="C2720" s="80" t="s">
        <v>26</v>
      </c>
      <c r="D2720" s="73" t="s">
        <v>577</v>
      </c>
      <c r="E2720" s="74">
        <v>0</v>
      </c>
      <c r="F2720" s="78" t="s">
        <v>259</v>
      </c>
      <c r="G2720" s="77" t="s">
        <v>573</v>
      </c>
      <c r="H2720" t="str">
        <f>VLOOKUP(D2720,'DETALLE PRECIO INGREDIENTES'!B:B,1,0)</f>
        <v>COLORANTE HIDROSOLUBLE POLVO ROJO</v>
      </c>
    </row>
    <row r="2721" spans="2:8" hidden="1" x14ac:dyDescent="0.35">
      <c r="B2721" s="80" t="s">
        <v>36</v>
      </c>
      <c r="C2721" s="80" t="s">
        <v>26</v>
      </c>
      <c r="D2721" s="73" t="s">
        <v>578</v>
      </c>
      <c r="E2721" s="74">
        <v>0</v>
      </c>
      <c r="F2721" s="78" t="s">
        <v>259</v>
      </c>
      <c r="G2721" s="77" t="s">
        <v>573</v>
      </c>
      <c r="H2721" t="str">
        <f>VLOOKUP(D2721,'DETALLE PRECIO INGREDIENTES'!B:B,1,0)</f>
        <v>COLORANTE HIDROSOLUBLE POLVO VERDE PISTACHO</v>
      </c>
    </row>
    <row r="2722" spans="2:8" hidden="1" x14ac:dyDescent="0.35">
      <c r="B2722" s="80" t="s">
        <v>36</v>
      </c>
      <c r="C2722" s="80" t="s">
        <v>26</v>
      </c>
      <c r="D2722" s="73" t="s">
        <v>739</v>
      </c>
      <c r="E2722" s="74">
        <v>8.9499999999999996E-2</v>
      </c>
      <c r="F2722" s="78" t="s">
        <v>222</v>
      </c>
      <c r="G2722" s="77" t="s">
        <v>736</v>
      </c>
      <c r="H2722" t="str">
        <f>VLOOKUP(D2722,'DETALLE PRECIO INGREDIENTES'!B:B,1,0)</f>
        <v>CREMA DE LECHE</v>
      </c>
    </row>
    <row r="2723" spans="2:8" hidden="1" x14ac:dyDescent="0.35">
      <c r="B2723" s="80" t="s">
        <v>36</v>
      </c>
      <c r="C2723" s="80" t="s">
        <v>26</v>
      </c>
      <c r="D2723" s="73" t="s">
        <v>332</v>
      </c>
      <c r="E2723" s="74">
        <v>2.6250000000000002E-3</v>
      </c>
      <c r="F2723" s="78" t="s">
        <v>222</v>
      </c>
      <c r="G2723" s="77" t="s">
        <v>220</v>
      </c>
      <c r="H2723" t="str">
        <f>VLOOKUP(D2723,'DETALLE PRECIO INGREDIENTES'!B:B,1,0)</f>
        <v>EXTRACTO DE CAFE</v>
      </c>
    </row>
    <row r="2724" spans="2:8" hidden="1" x14ac:dyDescent="0.35">
      <c r="B2724" s="80" t="s">
        <v>36</v>
      </c>
      <c r="C2724" s="80" t="s">
        <v>26</v>
      </c>
      <c r="D2724" s="73" t="s">
        <v>686</v>
      </c>
      <c r="E2724" s="74">
        <v>0.05</v>
      </c>
      <c r="F2724" s="78" t="s">
        <v>237</v>
      </c>
      <c r="G2724" s="77" t="s">
        <v>621</v>
      </c>
      <c r="H2724" t="str">
        <f>VLOOKUP(D2724,'DETALLE PRECIO INGREDIENTES'!B:B,1,0)</f>
        <v>MIX DE BERRIES CONGELADO</v>
      </c>
    </row>
    <row r="2725" spans="2:8" hidden="1" x14ac:dyDescent="0.35">
      <c r="B2725" s="80" t="s">
        <v>36</v>
      </c>
      <c r="C2725" s="80" t="s">
        <v>26</v>
      </c>
      <c r="D2725" s="73" t="s">
        <v>346</v>
      </c>
      <c r="E2725" s="74">
        <v>1.25E-3</v>
      </c>
      <c r="F2725" s="78" t="s">
        <v>222</v>
      </c>
      <c r="G2725" s="77" t="s">
        <v>220</v>
      </c>
      <c r="H2725" t="str">
        <f>VLOOKUP(D2725,'DETALLE PRECIO INGREDIENTES'!B:B,1,0)</f>
        <v>GLICERINA ALIMENTARIA</v>
      </c>
    </row>
    <row r="2726" spans="2:8" hidden="1" x14ac:dyDescent="0.35">
      <c r="B2726" s="80" t="s">
        <v>36</v>
      </c>
      <c r="C2726" s="80" t="s">
        <v>26</v>
      </c>
      <c r="D2726" s="73" t="s">
        <v>347</v>
      </c>
      <c r="E2726" s="74">
        <v>1.25E-3</v>
      </c>
      <c r="F2726" s="78" t="s">
        <v>237</v>
      </c>
      <c r="G2726" s="77" t="s">
        <v>220</v>
      </c>
      <c r="H2726" t="str">
        <f>VLOOKUP(D2726,'DETALLE PRECIO INGREDIENTES'!B:B,1,0)</f>
        <v>GLUCONOLACTATO</v>
      </c>
    </row>
    <row r="2727" spans="2:8" hidden="1" x14ac:dyDescent="0.35">
      <c r="B2727" s="80" t="s">
        <v>36</v>
      </c>
      <c r="C2727" s="80" t="s">
        <v>26</v>
      </c>
      <c r="D2727" s="73" t="s">
        <v>348</v>
      </c>
      <c r="E2727" s="74">
        <v>2.39375E-2</v>
      </c>
      <c r="F2727" s="78" t="s">
        <v>237</v>
      </c>
      <c r="G2727" s="77" t="s">
        <v>220</v>
      </c>
      <c r="H2727" t="str">
        <f>VLOOKUP(D2727,'DETALLE PRECIO INGREDIENTES'!B:B,1,0)</f>
        <v>GLUCOSA</v>
      </c>
    </row>
    <row r="2728" spans="2:8" hidden="1" x14ac:dyDescent="0.35">
      <c r="B2728" s="80" t="s">
        <v>36</v>
      </c>
      <c r="C2728" s="80" t="s">
        <v>26</v>
      </c>
      <c r="D2728" s="73" t="s">
        <v>349</v>
      </c>
      <c r="E2728" s="74">
        <v>9.3749999999999997E-3</v>
      </c>
      <c r="F2728" s="78" t="s">
        <v>986</v>
      </c>
      <c r="G2728" s="77" t="s">
        <v>220</v>
      </c>
      <c r="H2728" t="str">
        <f>VLOOKUP(D2728,'DETALLE PRECIO INGREDIENTES'!B:B,1,0)</f>
        <v>GLUCOSA EN POLVO</v>
      </c>
    </row>
    <row r="2729" spans="2:8" hidden="1" x14ac:dyDescent="0.35">
      <c r="B2729" s="80" t="s">
        <v>36</v>
      </c>
      <c r="C2729" s="80" t="s">
        <v>26</v>
      </c>
      <c r="D2729" s="73" t="s">
        <v>350</v>
      </c>
      <c r="E2729" s="74">
        <v>6.2500000000000001E-4</v>
      </c>
      <c r="F2729" s="78" t="s">
        <v>986</v>
      </c>
      <c r="G2729" s="77" t="s">
        <v>220</v>
      </c>
      <c r="H2729" t="str">
        <f>VLOOKUP(D2729,'DETALLE PRECIO INGREDIENTES'!B:B,1,0)</f>
        <v>GOMA GELLAN</v>
      </c>
    </row>
    <row r="2730" spans="2:8" hidden="1" x14ac:dyDescent="0.35">
      <c r="B2730" s="80" t="s">
        <v>36</v>
      </c>
      <c r="C2730" s="80" t="s">
        <v>26</v>
      </c>
      <c r="D2730" s="73" t="s">
        <v>351</v>
      </c>
      <c r="E2730" s="74">
        <v>1E-3</v>
      </c>
      <c r="F2730" s="78" t="s">
        <v>237</v>
      </c>
      <c r="G2730" s="77" t="s">
        <v>220</v>
      </c>
      <c r="H2730" t="str">
        <f>VLOOKUP(D2730,'DETALLE PRECIO INGREDIENTES'!B:B,1,0)</f>
        <v>GOMA KAPPA</v>
      </c>
    </row>
    <row r="2731" spans="2:8" hidden="1" x14ac:dyDescent="0.35">
      <c r="B2731" s="80" t="s">
        <v>36</v>
      </c>
      <c r="C2731" s="80" t="s">
        <v>26</v>
      </c>
      <c r="D2731" s="73" t="s">
        <v>569</v>
      </c>
      <c r="E2731" s="74">
        <v>1.6249999999999999E-3</v>
      </c>
      <c r="F2731" s="78" t="s">
        <v>986</v>
      </c>
      <c r="G2731" s="77" t="s">
        <v>551</v>
      </c>
      <c r="H2731" t="str">
        <f>VLOOKUP(D2731,'DETALLE PRECIO INGREDIENTES'!B:B,1,0)</f>
        <v>GRUE DE CACAO</v>
      </c>
    </row>
    <row r="2732" spans="2:8" hidden="1" x14ac:dyDescent="0.35">
      <c r="B2732" s="80" t="s">
        <v>36</v>
      </c>
      <c r="C2732" s="80" t="s">
        <v>26</v>
      </c>
      <c r="D2732" s="73" t="s">
        <v>354</v>
      </c>
      <c r="E2732" s="74">
        <v>9.3750000000000014E-3</v>
      </c>
      <c r="F2732" s="78" t="s">
        <v>237</v>
      </c>
      <c r="G2732" s="77" t="s">
        <v>220</v>
      </c>
      <c r="H2732" t="str">
        <f>VLOOKUP(D2732,'DETALLE PRECIO INGREDIENTES'!B:B,1,0)</f>
        <v>HARINA BIZCOCHERA</v>
      </c>
    </row>
    <row r="2733" spans="2:8" hidden="1" x14ac:dyDescent="0.35">
      <c r="B2733" s="80" t="s">
        <v>36</v>
      </c>
      <c r="C2733" s="80" t="s">
        <v>26</v>
      </c>
      <c r="D2733" s="73" t="s">
        <v>729</v>
      </c>
      <c r="E2733" s="74">
        <v>3.75</v>
      </c>
      <c r="F2733" s="78" t="s">
        <v>259</v>
      </c>
      <c r="G2733" s="77" t="s">
        <v>728</v>
      </c>
      <c r="H2733" t="str">
        <f>VLOOKUP(D2733,'DETALLE PRECIO INGREDIENTES'!B:B,1,0)</f>
        <v>HUEVO EXTRA BLANCO</v>
      </c>
    </row>
    <row r="2734" spans="2:8" hidden="1" x14ac:dyDescent="0.35">
      <c r="B2734" s="80" t="s">
        <v>36</v>
      </c>
      <c r="C2734" s="80" t="s">
        <v>26</v>
      </c>
      <c r="D2734" s="73" t="s">
        <v>365</v>
      </c>
      <c r="E2734" s="74">
        <v>5.6124999999999994E-2</v>
      </c>
      <c r="F2734" s="78" t="s">
        <v>237</v>
      </c>
      <c r="G2734" s="77" t="s">
        <v>220</v>
      </c>
      <c r="H2734" t="str">
        <f>VLOOKUP(D2734,'DETALLE PRECIO INGREDIENTES'!B:B,1,0)</f>
        <v>ISOMALT</v>
      </c>
    </row>
    <row r="2735" spans="2:8" x14ac:dyDescent="0.35">
      <c r="B2735" s="80" t="s">
        <v>36</v>
      </c>
      <c r="C2735" s="80" t="s">
        <v>26</v>
      </c>
      <c r="D2735" s="73" t="s">
        <v>983</v>
      </c>
      <c r="E2735" s="74">
        <v>0.05</v>
      </c>
      <c r="F2735" s="78" t="s">
        <v>222</v>
      </c>
      <c r="G2735" s="77" t="s">
        <v>734</v>
      </c>
      <c r="H2735" t="e">
        <f>VLOOKUP(D2735,'DETALLE PRECIO INGREDIENTES'!B:B,1,0)</f>
        <v>#N/A</v>
      </c>
    </row>
    <row r="2736" spans="2:8" hidden="1" x14ac:dyDescent="0.35">
      <c r="B2736" s="80" t="s">
        <v>36</v>
      </c>
      <c r="C2736" s="80" t="s">
        <v>26</v>
      </c>
      <c r="D2736" s="73" t="s">
        <v>748</v>
      </c>
      <c r="E2736" s="74">
        <v>3.7499999999999999E-2</v>
      </c>
      <c r="F2736" s="78" t="s">
        <v>222</v>
      </c>
      <c r="G2736" s="77" t="s">
        <v>736</v>
      </c>
      <c r="H2736" t="str">
        <f>VLOOKUP(D2736,'DETALLE PRECIO INGREDIENTES'!B:B,1,0)</f>
        <v>LECHE ENTERA</v>
      </c>
    </row>
    <row r="2737" spans="2:8" hidden="1" x14ac:dyDescent="0.35">
      <c r="B2737" s="80" t="s">
        <v>36</v>
      </c>
      <c r="C2737" s="80" t="s">
        <v>26</v>
      </c>
      <c r="D2737" s="73" t="s">
        <v>743</v>
      </c>
      <c r="E2737" s="74">
        <v>1.4999999999999999E-2</v>
      </c>
      <c r="F2737" s="78" t="s">
        <v>222</v>
      </c>
      <c r="G2737" s="77" t="s">
        <v>736</v>
      </c>
      <c r="H2737" t="str">
        <f>VLOOKUP(D2737,'DETALLE PRECIO INGREDIENTES'!B:B,1,0)</f>
        <v>LECHE DE COCO</v>
      </c>
    </row>
    <row r="2738" spans="2:8" hidden="1" x14ac:dyDescent="0.35">
      <c r="B2738" s="80" t="s">
        <v>36</v>
      </c>
      <c r="C2738" s="80" t="s">
        <v>26</v>
      </c>
      <c r="D2738" s="73" t="s">
        <v>372</v>
      </c>
      <c r="E2738" s="74">
        <v>3.1250000000000002E-3</v>
      </c>
      <c r="F2738" s="78" t="s">
        <v>259</v>
      </c>
      <c r="G2738" s="77" t="s">
        <v>220</v>
      </c>
      <c r="H2738" t="str">
        <f>VLOOKUP(D2738,'DETALLE PRECIO INGREDIENTES'!B:B,1,0)</f>
        <v>LEMON GRASS FRESCO</v>
      </c>
    </row>
    <row r="2739" spans="2:8" hidden="1" x14ac:dyDescent="0.35">
      <c r="B2739" s="80" t="s">
        <v>36</v>
      </c>
      <c r="C2739" s="80" t="s">
        <v>26</v>
      </c>
      <c r="D2739" s="73" t="s">
        <v>680</v>
      </c>
      <c r="E2739" s="74">
        <v>6.25E-2</v>
      </c>
      <c r="F2739" s="78" t="s">
        <v>237</v>
      </c>
      <c r="G2739" s="77" t="s">
        <v>621</v>
      </c>
      <c r="H2739" t="str">
        <f>VLOOKUP(D2739,'DETALLE PRECIO INGREDIENTES'!B:B,1,0)</f>
        <v>LIMON DE JUGO</v>
      </c>
    </row>
    <row r="2740" spans="2:8" hidden="1" x14ac:dyDescent="0.35">
      <c r="B2740" s="80" t="s">
        <v>36</v>
      </c>
      <c r="C2740" s="80" t="s">
        <v>26</v>
      </c>
      <c r="D2740" s="73" t="s">
        <v>484</v>
      </c>
      <c r="E2740" s="74">
        <v>3.7499999999999999E-3</v>
      </c>
      <c r="F2740" s="78" t="s">
        <v>237</v>
      </c>
      <c r="G2740" s="77" t="s">
        <v>483</v>
      </c>
      <c r="H2740" t="str">
        <f>VLOOKUP(D2740,'DETALLE PRECIO INGREDIENTES'!B:B,1,0)</f>
        <v>LUCHE</v>
      </c>
    </row>
    <row r="2741" spans="2:8" hidden="1" x14ac:dyDescent="0.35">
      <c r="B2741" s="80" t="s">
        <v>36</v>
      </c>
      <c r="C2741" s="80" t="s">
        <v>26</v>
      </c>
      <c r="D2741" s="73" t="s">
        <v>783</v>
      </c>
      <c r="E2741" s="74">
        <v>2.1249999999999998E-2</v>
      </c>
      <c r="F2741" s="78" t="s">
        <v>259</v>
      </c>
      <c r="G2741" s="77" t="s">
        <v>776</v>
      </c>
      <c r="H2741" t="str">
        <f>VLOOKUP(D2741,'DETALLE PRECIO INGREDIENTES'!B:B,1,0)</f>
        <v>MALIBU</v>
      </c>
    </row>
    <row r="2742" spans="2:8" hidden="1" x14ac:dyDescent="0.35">
      <c r="B2742" s="80" t="s">
        <v>36</v>
      </c>
      <c r="C2742" s="80" t="s">
        <v>26</v>
      </c>
      <c r="D2742" s="73" t="s">
        <v>751</v>
      </c>
      <c r="E2742" s="74">
        <v>1.0999999999999999E-2</v>
      </c>
      <c r="F2742" s="78" t="s">
        <v>237</v>
      </c>
      <c r="G2742" s="77" t="s">
        <v>736</v>
      </c>
      <c r="H2742" t="str">
        <f>VLOOKUP(D2742,'DETALLE PRECIO INGREDIENTES'!B:B,1,0)</f>
        <v>MANTEQUILLA SIN SAL</v>
      </c>
    </row>
    <row r="2743" spans="2:8" hidden="1" x14ac:dyDescent="0.35">
      <c r="B2743" s="80" t="s">
        <v>36</v>
      </c>
      <c r="C2743" s="80" t="s">
        <v>26</v>
      </c>
      <c r="D2743" s="73" t="s">
        <v>684</v>
      </c>
      <c r="E2743" s="74">
        <v>2.5000000000000001E-2</v>
      </c>
      <c r="F2743" s="78" t="s">
        <v>237</v>
      </c>
      <c r="G2743" s="77" t="s">
        <v>621</v>
      </c>
      <c r="H2743" t="str">
        <f>VLOOKUP(D2743,'DETALLE PRECIO INGREDIENTES'!B:B,1,0)</f>
        <v>MANZANA VERDE</v>
      </c>
    </row>
    <row r="2744" spans="2:8" hidden="1" x14ac:dyDescent="0.35">
      <c r="B2744" s="80" t="s">
        <v>36</v>
      </c>
      <c r="C2744" s="80" t="s">
        <v>26</v>
      </c>
      <c r="D2744" s="73" t="s">
        <v>690</v>
      </c>
      <c r="E2744" s="74">
        <v>3.125E-2</v>
      </c>
      <c r="F2744" s="78" t="s">
        <v>237</v>
      </c>
      <c r="G2744" s="77" t="s">
        <v>621</v>
      </c>
      <c r="H2744" t="str">
        <f>VLOOKUP(D2744,'DETALLE PRECIO INGREDIENTES'!B:B,1,0)</f>
        <v>NARANJA DE JUGO</v>
      </c>
    </row>
    <row r="2745" spans="2:8" hidden="1" x14ac:dyDescent="0.35">
      <c r="B2745" s="80" t="s">
        <v>36</v>
      </c>
      <c r="C2745" s="80" t="s">
        <v>26</v>
      </c>
      <c r="D2745" s="73" t="s">
        <v>877</v>
      </c>
      <c r="E2745" s="74">
        <v>4.5374999999999999E-2</v>
      </c>
      <c r="F2745" s="78" t="s">
        <v>259</v>
      </c>
      <c r="G2745" s="77" t="s">
        <v>876</v>
      </c>
      <c r="H2745" t="str">
        <f>VLOOKUP(D2745,'DETALLE PRECIO INGREDIENTES'!B:B,1,0)</f>
        <v>OPORTO DIAMANTE MITJANS</v>
      </c>
    </row>
    <row r="2746" spans="2:8" hidden="1" x14ac:dyDescent="0.35">
      <c r="B2746" s="80" t="s">
        <v>36</v>
      </c>
      <c r="C2746" s="80" t="s">
        <v>26</v>
      </c>
      <c r="D2746" s="73" t="s">
        <v>335</v>
      </c>
      <c r="E2746" s="74">
        <v>7.1499999999999994E-2</v>
      </c>
      <c r="F2746" s="78" t="s">
        <v>986</v>
      </c>
      <c r="G2746" s="77" t="s">
        <v>220</v>
      </c>
      <c r="H2746" t="str">
        <f>VLOOKUP(D2746,'DETALLE PRECIO INGREDIENTES'!B:B,1,0)</f>
        <v>FONDANT EN PASTA</v>
      </c>
    </row>
    <row r="2747" spans="2:8" hidden="1" x14ac:dyDescent="0.35">
      <c r="B2747" s="80" t="s">
        <v>36</v>
      </c>
      <c r="C2747" s="80" t="s">
        <v>26</v>
      </c>
      <c r="D2747" s="73" t="s">
        <v>422</v>
      </c>
      <c r="E2747" s="74">
        <v>5.6250000000000007E-4</v>
      </c>
      <c r="F2747" s="78" t="s">
        <v>237</v>
      </c>
      <c r="G2747" s="77" t="s">
        <v>220</v>
      </c>
      <c r="H2747" t="str">
        <f>VLOOKUP(D2747,'DETALLE PRECIO INGREDIENTES'!B:B,1,0)</f>
        <v>PECTINA NH</v>
      </c>
    </row>
    <row r="2748" spans="2:8" hidden="1" x14ac:dyDescent="0.35">
      <c r="B2748" s="80" t="s">
        <v>36</v>
      </c>
      <c r="C2748" s="80" t="s">
        <v>26</v>
      </c>
      <c r="D2748" s="73" t="s">
        <v>704</v>
      </c>
      <c r="E2748" s="74">
        <v>3.7499999999999999E-2</v>
      </c>
      <c r="F2748" s="78" t="s">
        <v>259</v>
      </c>
      <c r="G2748" s="77" t="s">
        <v>621</v>
      </c>
      <c r="H2748" t="str">
        <f>VLOOKUP(D2748,'DETALLE PRECIO INGREDIENTES'!B:B,1,0)</f>
        <v>PIÑA CARAMELO</v>
      </c>
    </row>
    <row r="2749" spans="2:8" hidden="1" x14ac:dyDescent="0.35">
      <c r="B2749" s="80" t="s">
        <v>36</v>
      </c>
      <c r="C2749" s="80" t="s">
        <v>26</v>
      </c>
      <c r="D2749" s="73" t="s">
        <v>432</v>
      </c>
      <c r="E2749" s="74">
        <v>2.5000000000000001E-4</v>
      </c>
      <c r="F2749" s="78" t="s">
        <v>237</v>
      </c>
      <c r="G2749" s="77" t="s">
        <v>220</v>
      </c>
      <c r="H2749" t="str">
        <f>VLOOKUP(D2749,'DETALLE PRECIO INGREDIENTES'!B:B,1,0)</f>
        <v>POLVOS DE HORNEAR</v>
      </c>
    </row>
    <row r="2750" spans="2:8" hidden="1" x14ac:dyDescent="0.35">
      <c r="B2750" s="80" t="s">
        <v>36</v>
      </c>
      <c r="C2750" s="80" t="s">
        <v>26</v>
      </c>
      <c r="D2750" s="73" t="s">
        <v>590</v>
      </c>
      <c r="E2750" s="74">
        <v>2.5000000000000001E-2</v>
      </c>
      <c r="F2750" s="78" t="s">
        <v>237</v>
      </c>
      <c r="G2750" s="77" t="s">
        <v>587</v>
      </c>
      <c r="H2750" t="str">
        <f>VLOOKUP(D2750,'DETALLE PRECIO INGREDIENTES'!B:B,1,0)</f>
        <v>PULPA DE CHIRIMOYA</v>
      </c>
    </row>
    <row r="2751" spans="2:8" hidden="1" x14ac:dyDescent="0.35">
      <c r="B2751" s="80" t="s">
        <v>36</v>
      </c>
      <c r="C2751" s="80" t="s">
        <v>26</v>
      </c>
      <c r="D2751" s="73" t="s">
        <v>593</v>
      </c>
      <c r="E2751" s="74">
        <v>4.0625000000000001E-2</v>
      </c>
      <c r="F2751" s="78" t="s">
        <v>237</v>
      </c>
      <c r="G2751" s="77" t="s">
        <v>587</v>
      </c>
      <c r="H2751" t="str">
        <f>VLOOKUP(D2751,'DETALLE PRECIO INGREDIENTES'!B:B,1,0)</f>
        <v>PULPA DE FRAMBUESA S/AZUCAR</v>
      </c>
    </row>
    <row r="2752" spans="2:8" hidden="1" x14ac:dyDescent="0.35">
      <c r="B2752" s="80" t="s">
        <v>36</v>
      </c>
      <c r="C2752" s="80" t="s">
        <v>26</v>
      </c>
      <c r="D2752" s="73" t="s">
        <v>595</v>
      </c>
      <c r="E2752" s="74">
        <v>0.125</v>
      </c>
      <c r="F2752" s="78" t="s">
        <v>237</v>
      </c>
      <c r="G2752" s="77" t="s">
        <v>587</v>
      </c>
      <c r="H2752" t="str">
        <f>VLOOKUP(D2752,'DETALLE PRECIO INGREDIENTES'!B:B,1,0)</f>
        <v>PULPA DE FRUTILLA S/AZUCAR</v>
      </c>
    </row>
    <row r="2753" spans="2:8" hidden="1" x14ac:dyDescent="0.35">
      <c r="B2753" s="80" t="s">
        <v>36</v>
      </c>
      <c r="C2753" s="80" t="s">
        <v>26</v>
      </c>
      <c r="D2753" s="73" t="s">
        <v>596</v>
      </c>
      <c r="E2753" s="74">
        <v>6.25E-2</v>
      </c>
      <c r="F2753" s="78" t="s">
        <v>237</v>
      </c>
      <c r="G2753" s="77" t="s">
        <v>587</v>
      </c>
      <c r="H2753" t="str">
        <f>VLOOKUP(D2753,'DETALLE PRECIO INGREDIENTES'!B:B,1,0)</f>
        <v>PULPA DE MANGO</v>
      </c>
    </row>
    <row r="2754" spans="2:8" hidden="1" x14ac:dyDescent="0.35">
      <c r="B2754" s="80" t="s">
        <v>36</v>
      </c>
      <c r="C2754" s="80" t="s">
        <v>26</v>
      </c>
      <c r="D2754" s="73" t="s">
        <v>599</v>
      </c>
      <c r="E2754" s="74">
        <v>5.6250000000000001E-2</v>
      </c>
      <c r="F2754" s="78" t="s">
        <v>237</v>
      </c>
      <c r="G2754" s="77" t="s">
        <v>587</v>
      </c>
      <c r="H2754" t="str">
        <f>VLOOKUP(D2754,'DETALLE PRECIO INGREDIENTES'!B:B,1,0)</f>
        <v>PULPA DE MARACUYA SIN SEMILLA</v>
      </c>
    </row>
    <row r="2755" spans="2:8" hidden="1" x14ac:dyDescent="0.35">
      <c r="B2755" s="80" t="s">
        <v>36</v>
      </c>
      <c r="C2755" s="80" t="s">
        <v>26</v>
      </c>
      <c r="D2755" s="73" t="s">
        <v>600</v>
      </c>
      <c r="E2755" s="74">
        <v>2.5000000000000001E-2</v>
      </c>
      <c r="F2755" s="78" t="s">
        <v>237</v>
      </c>
      <c r="G2755" s="77" t="s">
        <v>587</v>
      </c>
      <c r="H2755" t="str">
        <f>VLOOKUP(D2755,'DETALLE PRECIO INGREDIENTES'!B:B,1,0)</f>
        <v>PULPA DE MELON TUNA</v>
      </c>
    </row>
    <row r="2756" spans="2:8" hidden="1" x14ac:dyDescent="0.35">
      <c r="B2756" s="80" t="s">
        <v>36</v>
      </c>
      <c r="C2756" s="80" t="s">
        <v>26</v>
      </c>
      <c r="D2756" s="73" t="s">
        <v>787</v>
      </c>
      <c r="E2756" s="74">
        <v>6.2500000000000003E-3</v>
      </c>
      <c r="F2756" s="78" t="s">
        <v>259</v>
      </c>
      <c r="G2756" s="77" t="s">
        <v>776</v>
      </c>
      <c r="H2756" t="str">
        <f>VLOOKUP(D2756,'DETALLE PRECIO INGREDIENTES'!B:B,1,0)</f>
        <v>RON MITJANS DORADO</v>
      </c>
    </row>
    <row r="2757" spans="2:8" hidden="1" x14ac:dyDescent="0.35">
      <c r="B2757" s="80" t="s">
        <v>36</v>
      </c>
      <c r="C2757" s="80" t="s">
        <v>26</v>
      </c>
      <c r="D2757" s="73" t="s">
        <v>445</v>
      </c>
      <c r="E2757" s="74">
        <v>5.0000000000000001E-4</v>
      </c>
      <c r="F2757" s="78" t="s">
        <v>237</v>
      </c>
      <c r="G2757" s="77" t="s">
        <v>220</v>
      </c>
      <c r="H2757" t="str">
        <f>VLOOKUP(D2757,'DETALLE PRECIO INGREDIENTES'!B:B,1,0)</f>
        <v>SAL DE MESA LOBOS</v>
      </c>
    </row>
    <row r="2758" spans="2:8" hidden="1" x14ac:dyDescent="0.35">
      <c r="B2758" s="80" t="s">
        <v>36</v>
      </c>
      <c r="C2758" s="80" t="s">
        <v>26</v>
      </c>
      <c r="D2758" s="73" t="s">
        <v>459</v>
      </c>
      <c r="E2758" s="74">
        <v>9.3749999999999997E-3</v>
      </c>
      <c r="F2758" s="78" t="s">
        <v>237</v>
      </c>
      <c r="G2758" s="77" t="s">
        <v>220</v>
      </c>
      <c r="H2758" t="str">
        <f>VLOOKUP(D2758,'DETALLE PRECIO INGREDIENTES'!B:B,1,0)</f>
        <v>SEMILLAS DE SESAMO NEGRO</v>
      </c>
    </row>
    <row r="2759" spans="2:8" hidden="1" x14ac:dyDescent="0.35">
      <c r="B2759" s="80" t="s">
        <v>36</v>
      </c>
      <c r="C2759" s="80" t="s">
        <v>26</v>
      </c>
      <c r="D2759" s="73" t="s">
        <v>615</v>
      </c>
      <c r="E2759" s="74">
        <v>6.2500000000000001E-4</v>
      </c>
      <c r="F2759" s="78" t="s">
        <v>259</v>
      </c>
      <c r="G2759" s="77" t="s">
        <v>612</v>
      </c>
      <c r="H2759" t="str">
        <f>VLOOKUP(D2759,'DETALLE PRECIO INGREDIENTES'!B:B,1,0)</f>
        <v>SUCRO EMUL</v>
      </c>
    </row>
    <row r="2760" spans="2:8" hidden="1" x14ac:dyDescent="0.35">
      <c r="B2760" s="80" t="s">
        <v>36</v>
      </c>
      <c r="C2760" s="80" t="s">
        <v>26</v>
      </c>
      <c r="D2760" s="73" t="s">
        <v>519</v>
      </c>
      <c r="E2760" s="74">
        <v>1.75</v>
      </c>
      <c r="F2760" s="78" t="s">
        <v>259</v>
      </c>
      <c r="G2760" s="77" t="s">
        <v>485</v>
      </c>
      <c r="H2760" t="str">
        <f>VLOOKUP(D2760,'DETALLE PRECIO INGREDIENTES'!B:B,1,0)</f>
        <v>VASOS TERMICOS</v>
      </c>
    </row>
    <row r="2761" spans="2:8" hidden="1" x14ac:dyDescent="0.35">
      <c r="B2761" s="80" t="s">
        <v>36</v>
      </c>
      <c r="C2761" s="80" t="s">
        <v>26</v>
      </c>
      <c r="D2761" s="73" t="s">
        <v>352</v>
      </c>
      <c r="E2761" s="74">
        <v>1.25E-4</v>
      </c>
      <c r="F2761" s="78" t="s">
        <v>237</v>
      </c>
      <c r="G2761" s="77" t="s">
        <v>220</v>
      </c>
      <c r="H2761" t="str">
        <f>VLOOKUP(D2761,'DETALLE PRECIO INGREDIENTES'!B:B,1,0)</f>
        <v>GOMA XANTANA</v>
      </c>
    </row>
    <row r="2762" spans="2:8" hidden="1" x14ac:dyDescent="0.35">
      <c r="B2762" s="80" t="s">
        <v>36</v>
      </c>
      <c r="C2762" s="80" t="s">
        <v>26</v>
      </c>
      <c r="D2762" s="73" t="s">
        <v>479</v>
      </c>
      <c r="E2762" s="74">
        <v>3.6250000000000002E-3</v>
      </c>
      <c r="F2762" s="78" t="s">
        <v>237</v>
      </c>
      <c r="G2762" s="77" t="s">
        <v>220</v>
      </c>
      <c r="H2762" t="str">
        <f>VLOOKUP(D2762,'DETALLE PRECIO INGREDIENTES'!B:B,1,0)</f>
        <v>YUZU EN PASTA</v>
      </c>
    </row>
    <row r="2763" spans="2:8" hidden="1" x14ac:dyDescent="0.35">
      <c r="B2763" s="80" t="s">
        <v>36</v>
      </c>
      <c r="C2763" s="80" t="s">
        <v>26</v>
      </c>
      <c r="D2763" s="73" t="s">
        <v>793</v>
      </c>
      <c r="E2763" s="74">
        <v>0.15</v>
      </c>
      <c r="F2763" s="78" t="s">
        <v>222</v>
      </c>
      <c r="G2763" s="77" t="s">
        <v>792</v>
      </c>
      <c r="H2763" t="str">
        <f>VLOOKUP(D2763,'DETALLE PRECIO INGREDIENTES'!B:B,1,0)</f>
        <v>NITROGENO LIQUIDO</v>
      </c>
    </row>
    <row r="2764" spans="2:8" hidden="1" x14ac:dyDescent="0.35">
      <c r="B2764" s="80" t="s">
        <v>166</v>
      </c>
      <c r="C2764" s="80" t="s">
        <v>164</v>
      </c>
      <c r="D2764" s="73" t="s">
        <v>751</v>
      </c>
      <c r="E2764" s="74">
        <v>0.27950000000000003</v>
      </c>
      <c r="F2764" s="78" t="s">
        <v>237</v>
      </c>
      <c r="G2764" s="77" t="s">
        <v>736</v>
      </c>
      <c r="H2764" t="str">
        <f>VLOOKUP(D2764,'DETALLE PRECIO INGREDIENTES'!B:B,1,0)</f>
        <v>MANTEQUILLA SIN SAL</v>
      </c>
    </row>
    <row r="2765" spans="2:8" hidden="1" x14ac:dyDescent="0.35">
      <c r="B2765" s="80" t="s">
        <v>166</v>
      </c>
      <c r="C2765" s="80" t="s">
        <v>164</v>
      </c>
      <c r="D2765" s="73" t="s">
        <v>278</v>
      </c>
      <c r="E2765" s="74">
        <v>0.21129999999999999</v>
      </c>
      <c r="F2765" s="78" t="s">
        <v>237</v>
      </c>
      <c r="G2765" s="77" t="s">
        <v>220</v>
      </c>
      <c r="H2765" t="str">
        <f>VLOOKUP(D2765,'DETALLE PRECIO INGREDIENTES'!B:B,1,0)</f>
        <v>AZUCAR FLOR</v>
      </c>
    </row>
    <row r="2766" spans="2:8" hidden="1" x14ac:dyDescent="0.35">
      <c r="B2766" s="80" t="s">
        <v>166</v>
      </c>
      <c r="C2766" s="80" t="s">
        <v>164</v>
      </c>
      <c r="D2766" s="73" t="s">
        <v>729</v>
      </c>
      <c r="E2766" s="74">
        <v>5</v>
      </c>
      <c r="F2766" s="78" t="s">
        <v>259</v>
      </c>
      <c r="G2766" s="77" t="s">
        <v>728</v>
      </c>
      <c r="H2766" t="str">
        <f>VLOOKUP(D2766,'DETALLE PRECIO INGREDIENTES'!B:B,1,0)</f>
        <v>HUEVO EXTRA BLANCO</v>
      </c>
    </row>
    <row r="2767" spans="2:8" hidden="1" x14ac:dyDescent="0.35">
      <c r="B2767" s="80" t="s">
        <v>166</v>
      </c>
      <c r="C2767" s="80" t="s">
        <v>164</v>
      </c>
      <c r="D2767" s="73" t="s">
        <v>354</v>
      </c>
      <c r="E2767" s="74">
        <v>0.35</v>
      </c>
      <c r="F2767" s="78" t="s">
        <v>237</v>
      </c>
      <c r="G2767" s="77" t="s">
        <v>220</v>
      </c>
      <c r="H2767" t="str">
        <f>VLOOKUP(D2767,'DETALLE PRECIO INGREDIENTES'!B:B,1,0)</f>
        <v>HARINA BIZCOCHERA</v>
      </c>
    </row>
    <row r="2768" spans="2:8" hidden="1" x14ac:dyDescent="0.35">
      <c r="B2768" s="80" t="s">
        <v>166</v>
      </c>
      <c r="C2768" s="80" t="s">
        <v>164</v>
      </c>
      <c r="D2768" s="73" t="s">
        <v>375</v>
      </c>
      <c r="E2768" s="74">
        <v>2.5000000000000001E-2</v>
      </c>
      <c r="F2768" s="78" t="s">
        <v>237</v>
      </c>
      <c r="G2768" s="77" t="s">
        <v>220</v>
      </c>
      <c r="H2768" t="str">
        <f>VLOOKUP(D2768,'DETALLE PRECIO INGREDIENTES'!B:B,1,0)</f>
        <v>MAICENA</v>
      </c>
    </row>
    <row r="2769" spans="2:8" hidden="1" x14ac:dyDescent="0.35">
      <c r="B2769" s="80" t="s">
        <v>166</v>
      </c>
      <c r="C2769" s="80" t="s">
        <v>164</v>
      </c>
      <c r="D2769" s="73" t="s">
        <v>432</v>
      </c>
      <c r="E2769" s="74">
        <v>5.0000000000000001E-3</v>
      </c>
      <c r="F2769" s="78" t="s">
        <v>237</v>
      </c>
      <c r="G2769" s="77" t="s">
        <v>220</v>
      </c>
      <c r="H2769" t="str">
        <f>VLOOKUP(D2769,'DETALLE PRECIO INGREDIENTES'!B:B,1,0)</f>
        <v>POLVOS DE HORNEAR</v>
      </c>
    </row>
    <row r="2770" spans="2:8" hidden="1" x14ac:dyDescent="0.35">
      <c r="B2770" s="80" t="s">
        <v>166</v>
      </c>
      <c r="C2770" s="80" t="s">
        <v>164</v>
      </c>
      <c r="D2770" s="73" t="s">
        <v>445</v>
      </c>
      <c r="E2770" s="74">
        <v>1E-3</v>
      </c>
      <c r="F2770" s="78" t="s">
        <v>237</v>
      </c>
      <c r="G2770" s="77" t="s">
        <v>220</v>
      </c>
      <c r="H2770" t="str">
        <f>VLOOKUP(D2770,'DETALLE PRECIO INGREDIENTES'!B:B,1,0)</f>
        <v>SAL DE MESA LOBOS</v>
      </c>
    </row>
    <row r="2771" spans="2:8" hidden="1" x14ac:dyDescent="0.35">
      <c r="B2771" s="80" t="s">
        <v>166</v>
      </c>
      <c r="C2771" s="80" t="s">
        <v>164</v>
      </c>
      <c r="D2771" s="73" t="s">
        <v>749</v>
      </c>
      <c r="E2771" s="74">
        <v>0.06</v>
      </c>
      <c r="F2771" s="78" t="s">
        <v>237</v>
      </c>
      <c r="G2771" s="77" t="s">
        <v>736</v>
      </c>
      <c r="H2771" t="str">
        <f>VLOOKUP(D2771,'DETALLE PRECIO INGREDIENTES'!B:B,1,0)</f>
        <v>MANJAR</v>
      </c>
    </row>
    <row r="2772" spans="2:8" hidden="1" x14ac:dyDescent="0.35">
      <c r="B2772" s="80" t="s">
        <v>166</v>
      </c>
      <c r="C2772" s="80" t="s">
        <v>164</v>
      </c>
      <c r="D2772" s="73" t="s">
        <v>680</v>
      </c>
      <c r="E2772" s="74">
        <v>0.12</v>
      </c>
      <c r="F2772" s="78" t="s">
        <v>237</v>
      </c>
      <c r="G2772" s="77" t="s">
        <v>621</v>
      </c>
      <c r="H2772" t="str">
        <f>VLOOKUP(D2772,'DETALLE PRECIO INGREDIENTES'!B:B,1,0)</f>
        <v>LIMON DE JUGO</v>
      </c>
    </row>
    <row r="2773" spans="2:8" hidden="1" x14ac:dyDescent="0.35">
      <c r="B2773" s="80" t="s">
        <v>166</v>
      </c>
      <c r="C2773" s="80" t="s">
        <v>164</v>
      </c>
      <c r="D2773" s="73" t="s">
        <v>513</v>
      </c>
      <c r="E2773" s="74">
        <v>0.5</v>
      </c>
      <c r="F2773" s="78" t="s">
        <v>259</v>
      </c>
      <c r="G2773" s="77" t="s">
        <v>485</v>
      </c>
      <c r="H2773" t="str">
        <f>VLOOKUP(D2773,'DETALLE PRECIO INGREDIENTES'!B:B,1,0)</f>
        <v>PAPEL MANTEQUILLA 75 X100</v>
      </c>
    </row>
    <row r="2774" spans="2:8" hidden="1" x14ac:dyDescent="0.35">
      <c r="B2774" s="80" t="s">
        <v>166</v>
      </c>
      <c r="C2774" s="80" t="s">
        <v>164</v>
      </c>
      <c r="D2774" s="73" t="s">
        <v>329</v>
      </c>
      <c r="E2774" s="74">
        <v>0.02</v>
      </c>
      <c r="F2774" s="78" t="s">
        <v>222</v>
      </c>
      <c r="G2774" s="77" t="s">
        <v>220</v>
      </c>
      <c r="H2774" t="str">
        <f>VLOOKUP(D2774,'DETALLE PRECIO INGREDIENTES'!B:B,1,0)</f>
        <v>ESENCIA DE VAINILLA</v>
      </c>
    </row>
    <row r="2775" spans="2:8" hidden="1" x14ac:dyDescent="0.35">
      <c r="B2775" s="80" t="s">
        <v>166</v>
      </c>
      <c r="C2775" s="80" t="s">
        <v>164</v>
      </c>
      <c r="D2775" s="73" t="s">
        <v>565</v>
      </c>
      <c r="E2775" s="74">
        <v>0.04</v>
      </c>
      <c r="F2775" s="78" t="s">
        <v>237</v>
      </c>
      <c r="G2775" s="77" t="s">
        <v>551</v>
      </c>
      <c r="H2775" t="str">
        <f>VLOOKUP(D2775,'DETALLE PRECIO INGREDIENTES'!B:B,1,0)</f>
        <v>COBERTURA AMARGA</v>
      </c>
    </row>
    <row r="2776" spans="2:8" hidden="1" x14ac:dyDescent="0.35">
      <c r="B2776" s="80" t="s">
        <v>166</v>
      </c>
      <c r="C2776" s="80" t="s">
        <v>164</v>
      </c>
      <c r="D2776" s="73" t="s">
        <v>389</v>
      </c>
      <c r="E2776" s="74">
        <v>0.15</v>
      </c>
      <c r="F2776" s="78" t="s">
        <v>237</v>
      </c>
      <c r="G2776" s="77" t="s">
        <v>220</v>
      </c>
      <c r="H2776" t="str">
        <f>VLOOKUP(D2776,'DETALLE PRECIO INGREDIENTES'!B:B,1,0)</f>
        <v>MERMELADA DE FRAMBUESA</v>
      </c>
    </row>
    <row r="2777" spans="2:8" hidden="1" x14ac:dyDescent="0.35">
      <c r="B2777" s="80" t="s">
        <v>166</v>
      </c>
      <c r="C2777" s="80" t="s">
        <v>164</v>
      </c>
      <c r="D2777" s="73" t="s">
        <v>554</v>
      </c>
      <c r="E2777" s="74">
        <v>5.0000000000000001E-3</v>
      </c>
      <c r="F2777" s="78" t="s">
        <v>237</v>
      </c>
      <c r="G2777" s="77" t="s">
        <v>551</v>
      </c>
      <c r="H2777" t="str">
        <f>VLOOKUP(D2777,'DETALLE PRECIO INGREDIENTES'!B:B,1,0)</f>
        <v>CACAO EN POLVO AMARGO</v>
      </c>
    </row>
    <row r="2778" spans="2:8" hidden="1" x14ac:dyDescent="0.35">
      <c r="B2778" s="80" t="s">
        <v>166</v>
      </c>
      <c r="C2778" s="80" t="s">
        <v>164</v>
      </c>
      <c r="D2778" s="73" t="s">
        <v>452</v>
      </c>
      <c r="E2778" s="74">
        <v>3.0000000000000001E-3</v>
      </c>
      <c r="F2778" s="78" t="s">
        <v>237</v>
      </c>
      <c r="G2778" s="77" t="s">
        <v>220</v>
      </c>
      <c r="H2778" t="str">
        <f>VLOOKUP(D2778,'DETALLE PRECIO INGREDIENTES'!B:B,1,0)</f>
        <v>SEMILLA DE AMAPOLA</v>
      </c>
    </row>
    <row r="2779" spans="2:8" hidden="1" x14ac:dyDescent="0.35">
      <c r="B2779" s="80" t="s">
        <v>166</v>
      </c>
      <c r="C2779" s="80" t="s">
        <v>164</v>
      </c>
      <c r="D2779" s="73" t="s">
        <v>492</v>
      </c>
      <c r="E2779" s="74">
        <v>1</v>
      </c>
      <c r="F2779" s="78" t="s">
        <v>259</v>
      </c>
      <c r="G2779" s="77" t="s">
        <v>485</v>
      </c>
      <c r="H2779" t="str">
        <f>VLOOKUP(D2779,'DETALLE PRECIO INGREDIENTES'!B:B,1,0)</f>
        <v>BOLSA PREPICADA 20 X 30</v>
      </c>
    </row>
    <row r="2780" spans="2:8" hidden="1" x14ac:dyDescent="0.35">
      <c r="B2780" s="80" t="s">
        <v>166</v>
      </c>
      <c r="C2780" s="80" t="s">
        <v>164</v>
      </c>
      <c r="D2780" s="73" t="s">
        <v>502</v>
      </c>
      <c r="E2780" s="74">
        <v>2</v>
      </c>
      <c r="F2780" s="78" t="s">
        <v>259</v>
      </c>
      <c r="G2780" s="77" t="s">
        <v>485</v>
      </c>
      <c r="H2780" t="str">
        <f>VLOOKUP(D2780,'DETALLE PRECIO INGREDIENTES'!B:B,1,0)</f>
        <v>MANGAS DESECHABLES MEDIANAS</v>
      </c>
    </row>
    <row r="2781" spans="2:8" hidden="1" x14ac:dyDescent="0.35">
      <c r="B2781" s="80" t="s">
        <v>166</v>
      </c>
      <c r="C2781" s="80" t="s">
        <v>163</v>
      </c>
      <c r="D2781" s="73" t="s">
        <v>354</v>
      </c>
      <c r="E2781" s="74">
        <v>0.18</v>
      </c>
      <c r="F2781" s="78" t="s">
        <v>237</v>
      </c>
      <c r="G2781" s="77" t="s">
        <v>220</v>
      </c>
      <c r="H2781" t="str">
        <f>VLOOKUP(D2781,'DETALLE PRECIO INGREDIENTES'!B:B,1,0)</f>
        <v>HARINA BIZCOCHERA</v>
      </c>
    </row>
    <row r="2782" spans="2:8" hidden="1" x14ac:dyDescent="0.35">
      <c r="B2782" s="80" t="s">
        <v>166</v>
      </c>
      <c r="C2782" s="80" t="s">
        <v>163</v>
      </c>
      <c r="D2782" s="73" t="s">
        <v>751</v>
      </c>
      <c r="E2782" s="74">
        <v>0.1</v>
      </c>
      <c r="F2782" s="78" t="s">
        <v>237</v>
      </c>
      <c r="G2782" s="77" t="s">
        <v>736</v>
      </c>
      <c r="H2782" t="str">
        <f>VLOOKUP(D2782,'DETALLE PRECIO INGREDIENTES'!B:B,1,0)</f>
        <v>MANTEQUILLA SIN SAL</v>
      </c>
    </row>
    <row r="2783" spans="2:8" hidden="1" x14ac:dyDescent="0.35">
      <c r="B2783" s="80" t="s">
        <v>166</v>
      </c>
      <c r="C2783" s="80" t="s">
        <v>163</v>
      </c>
      <c r="D2783" s="73" t="s">
        <v>278</v>
      </c>
      <c r="E2783" s="74">
        <v>0.05</v>
      </c>
      <c r="F2783" s="78" t="s">
        <v>237</v>
      </c>
      <c r="G2783" s="77" t="s">
        <v>220</v>
      </c>
      <c r="H2783" t="str">
        <f>VLOOKUP(D2783,'DETALLE PRECIO INGREDIENTES'!B:B,1,0)</f>
        <v>AZUCAR FLOR</v>
      </c>
    </row>
    <row r="2784" spans="2:8" hidden="1" x14ac:dyDescent="0.35">
      <c r="B2784" s="80" t="s">
        <v>166</v>
      </c>
      <c r="C2784" s="80" t="s">
        <v>163</v>
      </c>
      <c r="D2784" s="73" t="s">
        <v>329</v>
      </c>
      <c r="E2784" s="74">
        <v>8.9999999999999993E-3</v>
      </c>
      <c r="F2784" s="78" t="s">
        <v>222</v>
      </c>
      <c r="G2784" s="77" t="s">
        <v>220</v>
      </c>
      <c r="H2784" t="str">
        <f>VLOOKUP(D2784,'DETALLE PRECIO INGREDIENTES'!B:B,1,0)</f>
        <v>ESENCIA DE VAINILLA</v>
      </c>
    </row>
    <row r="2785" spans="2:8" hidden="1" x14ac:dyDescent="0.35">
      <c r="B2785" s="80" t="s">
        <v>166</v>
      </c>
      <c r="C2785" s="80" t="s">
        <v>163</v>
      </c>
      <c r="D2785" s="73" t="s">
        <v>748</v>
      </c>
      <c r="E2785" s="74">
        <v>0.3</v>
      </c>
      <c r="F2785" s="78" t="s">
        <v>222</v>
      </c>
      <c r="G2785" s="77" t="s">
        <v>736</v>
      </c>
      <c r="H2785" t="str">
        <f>VLOOKUP(D2785,'DETALLE PRECIO INGREDIENTES'!B:B,1,0)</f>
        <v>LECHE ENTERA</v>
      </c>
    </row>
    <row r="2786" spans="2:8" hidden="1" x14ac:dyDescent="0.35">
      <c r="B2786" s="80" t="s">
        <v>166</v>
      </c>
      <c r="C2786" s="80" t="s">
        <v>163</v>
      </c>
      <c r="D2786" s="73" t="s">
        <v>729</v>
      </c>
      <c r="E2786" s="74">
        <v>4</v>
      </c>
      <c r="F2786" s="78" t="s">
        <v>259</v>
      </c>
      <c r="G2786" s="77" t="s">
        <v>728</v>
      </c>
      <c r="H2786" t="str">
        <f>VLOOKUP(D2786,'DETALLE PRECIO INGREDIENTES'!B:B,1,0)</f>
        <v>HUEVO EXTRA BLANCO</v>
      </c>
    </row>
    <row r="2787" spans="2:8" hidden="1" x14ac:dyDescent="0.35">
      <c r="B2787" s="80" t="s">
        <v>166</v>
      </c>
      <c r="C2787" s="80" t="s">
        <v>163</v>
      </c>
      <c r="D2787" s="73" t="s">
        <v>277</v>
      </c>
      <c r="E2787" s="74">
        <v>0.2</v>
      </c>
      <c r="F2787" s="78" t="s">
        <v>237</v>
      </c>
      <c r="G2787" s="77" t="s">
        <v>220</v>
      </c>
      <c r="H2787" t="str">
        <f>VLOOKUP(D2787,'DETALLE PRECIO INGREDIENTES'!B:B,1,0)</f>
        <v>AZUCAR BLANCA GRANULADA</v>
      </c>
    </row>
    <row r="2788" spans="2:8" hidden="1" x14ac:dyDescent="0.35">
      <c r="B2788" s="80" t="s">
        <v>166</v>
      </c>
      <c r="C2788" s="80" t="s">
        <v>163</v>
      </c>
      <c r="D2788" s="73" t="s">
        <v>375</v>
      </c>
      <c r="E2788" s="74">
        <v>0.03</v>
      </c>
      <c r="F2788" s="78" t="s">
        <v>237</v>
      </c>
      <c r="G2788" s="77" t="s">
        <v>220</v>
      </c>
      <c r="H2788" t="str">
        <f>VLOOKUP(D2788,'DETALLE PRECIO INGREDIENTES'!B:B,1,0)</f>
        <v>MAICENA</v>
      </c>
    </row>
    <row r="2789" spans="2:8" hidden="1" x14ac:dyDescent="0.35">
      <c r="B2789" s="80" t="s">
        <v>166</v>
      </c>
      <c r="C2789" s="80" t="s">
        <v>163</v>
      </c>
      <c r="D2789" s="73" t="s">
        <v>323</v>
      </c>
      <c r="E2789" s="74">
        <v>7.0000000000000007E-2</v>
      </c>
      <c r="F2789" s="78" t="s">
        <v>237</v>
      </c>
      <c r="G2789" s="77" t="s">
        <v>220</v>
      </c>
      <c r="H2789" t="str">
        <f>VLOOKUP(D2789,'DETALLE PRECIO INGREDIENTES'!B:B,1,0)</f>
        <v>DURAZNO EN MITADES LATA</v>
      </c>
    </row>
    <row r="2790" spans="2:8" hidden="1" x14ac:dyDescent="0.35">
      <c r="B2790" s="80" t="s">
        <v>166</v>
      </c>
      <c r="C2790" s="80" t="s">
        <v>163</v>
      </c>
      <c r="D2790" s="73" t="s">
        <v>429</v>
      </c>
      <c r="E2790" s="74">
        <v>0.05</v>
      </c>
      <c r="F2790" s="78" t="s">
        <v>237</v>
      </c>
      <c r="G2790" s="77" t="s">
        <v>220</v>
      </c>
      <c r="H2790" t="str">
        <f>VLOOKUP(D2790,'DETALLE PRECIO INGREDIENTES'!B:B,1,0)</f>
        <v>PIÑA RODAJA CONSERVA</v>
      </c>
    </row>
    <row r="2791" spans="2:8" hidden="1" x14ac:dyDescent="0.35">
      <c r="B2791" s="80" t="s">
        <v>166</v>
      </c>
      <c r="C2791" s="80" t="s">
        <v>163</v>
      </c>
      <c r="D2791" s="73" t="s">
        <v>671</v>
      </c>
      <c r="E2791" s="74">
        <v>2.5000000000000001E-2</v>
      </c>
      <c r="F2791" s="78" t="s">
        <v>237</v>
      </c>
      <c r="G2791" s="77" t="s">
        <v>621</v>
      </c>
      <c r="H2791" t="str">
        <f>VLOOKUP(D2791,'DETALLE PRECIO INGREDIENTES'!B:B,1,0)</f>
        <v>FRUTILLA FRESCA</v>
      </c>
    </row>
    <row r="2792" spans="2:8" hidden="1" x14ac:dyDescent="0.35">
      <c r="B2792" s="80" t="s">
        <v>166</v>
      </c>
      <c r="C2792" s="80" t="s">
        <v>163</v>
      </c>
      <c r="D2792" s="73" t="s">
        <v>676</v>
      </c>
      <c r="E2792" s="74">
        <v>0.05</v>
      </c>
      <c r="F2792" s="78" t="s">
        <v>237</v>
      </c>
      <c r="G2792" s="77" t="s">
        <v>621</v>
      </c>
      <c r="H2792" t="str">
        <f>VLOOKUP(D2792,'DETALLE PRECIO INGREDIENTES'!B:B,1,0)</f>
        <v>KIWI</v>
      </c>
    </row>
    <row r="2793" spans="2:8" hidden="1" x14ac:dyDescent="0.35">
      <c r="B2793" s="80" t="s">
        <v>166</v>
      </c>
      <c r="C2793" s="80" t="s">
        <v>163</v>
      </c>
      <c r="D2793" s="73" t="s">
        <v>669</v>
      </c>
      <c r="E2793" s="74">
        <v>0.02</v>
      </c>
      <c r="F2793" s="78" t="s">
        <v>237</v>
      </c>
      <c r="G2793" s="77" t="s">
        <v>621</v>
      </c>
      <c r="H2793" t="str">
        <f>VLOOKUP(D2793,'DETALLE PRECIO INGREDIENTES'!B:B,1,0)</f>
        <v>FRAMBUESA FRESCA</v>
      </c>
    </row>
    <row r="2794" spans="2:8" hidden="1" x14ac:dyDescent="0.35">
      <c r="B2794" s="80" t="s">
        <v>166</v>
      </c>
      <c r="C2794" s="80" t="s">
        <v>163</v>
      </c>
      <c r="D2794" s="73" t="s">
        <v>299</v>
      </c>
      <c r="E2794" s="74">
        <v>1.4999999999999999E-2</v>
      </c>
      <c r="F2794" s="78" t="s">
        <v>237</v>
      </c>
      <c r="G2794" s="77" t="s">
        <v>220</v>
      </c>
      <c r="H2794" t="str">
        <f>VLOOKUP(D2794,'DETALLE PRECIO INGREDIENTES'!B:B,1,0)</f>
        <v>CEREZAS CONFITADAS</v>
      </c>
    </row>
    <row r="2795" spans="2:8" hidden="1" x14ac:dyDescent="0.35">
      <c r="B2795" s="80" t="s">
        <v>166</v>
      </c>
      <c r="C2795" s="80" t="s">
        <v>163</v>
      </c>
      <c r="D2795" s="73" t="s">
        <v>285</v>
      </c>
      <c r="E2795" s="74">
        <v>0.1</v>
      </c>
      <c r="F2795" s="78" t="s">
        <v>237</v>
      </c>
      <c r="G2795" s="77" t="s">
        <v>220</v>
      </c>
      <c r="H2795" t="str">
        <f>VLOOKUP(D2795,'DETALLE PRECIO INGREDIENTES'!B:B,1,0)</f>
        <v>BRILLOX GEL / MIROIR</v>
      </c>
    </row>
    <row r="2796" spans="2:8" hidden="1" x14ac:dyDescent="0.35">
      <c r="B2796" s="80" t="s">
        <v>166</v>
      </c>
      <c r="C2796" s="80" t="s">
        <v>163</v>
      </c>
      <c r="D2796" s="73" t="s">
        <v>680</v>
      </c>
      <c r="E2796" s="74">
        <v>0.2</v>
      </c>
      <c r="F2796" s="78" t="s">
        <v>237</v>
      </c>
      <c r="G2796" s="77" t="s">
        <v>621</v>
      </c>
      <c r="H2796" t="str">
        <f>VLOOKUP(D2796,'DETALLE PRECIO INGREDIENTES'!B:B,1,0)</f>
        <v>LIMON DE JUGO</v>
      </c>
    </row>
    <row r="2797" spans="2:8" hidden="1" x14ac:dyDescent="0.35">
      <c r="B2797" s="80" t="s">
        <v>166</v>
      </c>
      <c r="C2797" s="80" t="s">
        <v>163</v>
      </c>
      <c r="D2797" s="73" t="s">
        <v>740</v>
      </c>
      <c r="E2797" s="74">
        <v>0.2</v>
      </c>
      <c r="F2797" s="78" t="s">
        <v>237</v>
      </c>
      <c r="G2797" s="77" t="s">
        <v>736</v>
      </c>
      <c r="H2797" t="str">
        <f>VLOOKUP(D2797,'DETALLE PRECIO INGREDIENTES'!B:B,1,0)</f>
        <v>LECHE CONDENSADA</v>
      </c>
    </row>
    <row r="2798" spans="2:8" hidden="1" x14ac:dyDescent="0.35">
      <c r="B2798" s="80" t="s">
        <v>166</v>
      </c>
      <c r="C2798" s="80" t="s">
        <v>163</v>
      </c>
      <c r="D2798" s="73" t="s">
        <v>503</v>
      </c>
      <c r="E2798" s="74">
        <v>1</v>
      </c>
      <c r="F2798" s="78" t="s">
        <v>259</v>
      </c>
      <c r="G2798" s="77" t="s">
        <v>485</v>
      </c>
      <c r="H2798" t="str">
        <f>VLOOKUP(D2798,'DETALLE PRECIO INGREDIENTES'!B:B,1,0)</f>
        <v>MANGAS DESECHABLES PEQUEÑAS</v>
      </c>
    </row>
    <row r="2799" spans="2:8" hidden="1" x14ac:dyDescent="0.35">
      <c r="B2799" s="80" t="s">
        <v>166</v>
      </c>
      <c r="C2799" s="80" t="s">
        <v>163</v>
      </c>
      <c r="D2799" s="73" t="s">
        <v>513</v>
      </c>
      <c r="E2799" s="74">
        <v>0.5</v>
      </c>
      <c r="F2799" s="78" t="s">
        <v>259</v>
      </c>
      <c r="G2799" s="77" t="s">
        <v>485</v>
      </c>
      <c r="H2799" t="str">
        <f>VLOOKUP(D2799,'DETALLE PRECIO INGREDIENTES'!B:B,1,0)</f>
        <v>PAPEL MANTEQUILLA 75 X100</v>
      </c>
    </row>
    <row r="2800" spans="2:8" hidden="1" x14ac:dyDescent="0.35">
      <c r="B2800" s="80" t="s">
        <v>166</v>
      </c>
      <c r="C2800" s="80" t="s">
        <v>163</v>
      </c>
      <c r="D2800" s="73" t="s">
        <v>489</v>
      </c>
      <c r="E2800" s="74">
        <v>1</v>
      </c>
      <c r="F2800" s="78" t="s">
        <v>259</v>
      </c>
      <c r="G2800" s="77" t="s">
        <v>485</v>
      </c>
      <c r="H2800" t="str">
        <f>VLOOKUP(D2800,'DETALLE PRECIO INGREDIENTES'!B:B,1,0)</f>
        <v>BLONDA 22 CM</v>
      </c>
    </row>
    <row r="2801" spans="2:8" hidden="1" x14ac:dyDescent="0.35">
      <c r="B2801" s="80" t="s">
        <v>166</v>
      </c>
      <c r="C2801" s="80" t="s">
        <v>163</v>
      </c>
      <c r="D2801" s="73" t="s">
        <v>488</v>
      </c>
      <c r="E2801" s="74">
        <v>1</v>
      </c>
      <c r="F2801" s="78" t="s">
        <v>259</v>
      </c>
      <c r="G2801" s="77" t="s">
        <v>485</v>
      </c>
      <c r="H2801" t="str">
        <f>VLOOKUP(D2801,'DETALLE PRECIO INGREDIENTES'!B:B,1,0)</f>
        <v>BASE CARTON TORTA 22 CM</v>
      </c>
    </row>
    <row r="2802" spans="2:8" hidden="1" x14ac:dyDescent="0.35">
      <c r="B2802" s="80" t="s">
        <v>166</v>
      </c>
      <c r="C2802" s="80" t="s">
        <v>163</v>
      </c>
      <c r="D2802" s="73" t="s">
        <v>690</v>
      </c>
      <c r="E2802" s="74">
        <v>0.2</v>
      </c>
      <c r="F2802" s="78" t="s">
        <v>237</v>
      </c>
      <c r="G2802" s="77" t="s">
        <v>621</v>
      </c>
      <c r="H2802" t="str">
        <f>VLOOKUP(D2802,'DETALLE PRECIO INGREDIENTES'!B:B,1,0)</f>
        <v>NARANJA DE JUGO</v>
      </c>
    </row>
    <row r="2803" spans="2:8" hidden="1" x14ac:dyDescent="0.35">
      <c r="B2803" s="80" t="s">
        <v>166</v>
      </c>
      <c r="C2803" s="80" t="s">
        <v>162</v>
      </c>
      <c r="D2803" s="73" t="s">
        <v>751</v>
      </c>
      <c r="E2803" s="74">
        <v>8.5000000000000006E-2</v>
      </c>
      <c r="F2803" s="78" t="s">
        <v>237</v>
      </c>
      <c r="G2803" s="77" t="s">
        <v>736</v>
      </c>
      <c r="H2803" t="str">
        <f>VLOOKUP(D2803,'DETALLE PRECIO INGREDIENTES'!B:B,1,0)</f>
        <v>MANTEQUILLA SIN SAL</v>
      </c>
    </row>
    <row r="2804" spans="2:8" hidden="1" x14ac:dyDescent="0.35">
      <c r="B2804" s="80" t="s">
        <v>166</v>
      </c>
      <c r="C2804" s="80" t="s">
        <v>162</v>
      </c>
      <c r="D2804" s="73" t="s">
        <v>445</v>
      </c>
      <c r="E2804" s="74">
        <v>3.0000000000000001E-3</v>
      </c>
      <c r="F2804" s="78" t="s">
        <v>237</v>
      </c>
      <c r="G2804" s="77" t="s">
        <v>220</v>
      </c>
      <c r="H2804" t="str">
        <f>VLOOKUP(D2804,'DETALLE PRECIO INGREDIENTES'!B:B,1,0)</f>
        <v>SAL DE MESA LOBOS</v>
      </c>
    </row>
    <row r="2805" spans="2:8" hidden="1" x14ac:dyDescent="0.35">
      <c r="B2805" s="80" t="s">
        <v>166</v>
      </c>
      <c r="C2805" s="80" t="s">
        <v>162</v>
      </c>
      <c r="D2805" s="73" t="s">
        <v>354</v>
      </c>
      <c r="E2805" s="74">
        <v>0.254</v>
      </c>
      <c r="F2805" s="78" t="s">
        <v>237</v>
      </c>
      <c r="G2805" s="77" t="s">
        <v>220</v>
      </c>
      <c r="H2805" t="str">
        <f>VLOOKUP(D2805,'DETALLE PRECIO INGREDIENTES'!B:B,1,0)</f>
        <v>HARINA BIZCOCHERA</v>
      </c>
    </row>
    <row r="2806" spans="2:8" hidden="1" x14ac:dyDescent="0.35">
      <c r="B2806" s="80" t="s">
        <v>166</v>
      </c>
      <c r="C2806" s="80" t="s">
        <v>162</v>
      </c>
      <c r="D2806" s="73" t="s">
        <v>729</v>
      </c>
      <c r="E2806" s="74">
        <v>6</v>
      </c>
      <c r="F2806" s="78" t="s">
        <v>259</v>
      </c>
      <c r="G2806" s="77" t="s">
        <v>728</v>
      </c>
      <c r="H2806" t="str">
        <f>VLOOKUP(D2806,'DETALLE PRECIO INGREDIENTES'!B:B,1,0)</f>
        <v>HUEVO EXTRA BLANCO</v>
      </c>
    </row>
    <row r="2807" spans="2:8" hidden="1" x14ac:dyDescent="0.35">
      <c r="B2807" s="80" t="s">
        <v>166</v>
      </c>
      <c r="C2807" s="80" t="s">
        <v>162</v>
      </c>
      <c r="D2807" s="73" t="s">
        <v>511</v>
      </c>
      <c r="E2807" s="74">
        <v>1</v>
      </c>
      <c r="F2807" s="78" t="s">
        <v>259</v>
      </c>
      <c r="G2807" s="77" t="s">
        <v>485</v>
      </c>
      <c r="H2807" t="str">
        <f>VLOOKUP(D2807,'DETALLE PRECIO INGREDIENTES'!B:B,1,0)</f>
        <v>PAPEL CERESINADO PLIEGO</v>
      </c>
    </row>
    <row r="2808" spans="2:8" hidden="1" x14ac:dyDescent="0.35">
      <c r="B2808" s="80" t="s">
        <v>166</v>
      </c>
      <c r="C2808" s="80" t="s">
        <v>162</v>
      </c>
      <c r="D2808" s="73" t="s">
        <v>277</v>
      </c>
      <c r="E2808" s="74">
        <v>0.12</v>
      </c>
      <c r="F2808" s="78" t="s">
        <v>237</v>
      </c>
      <c r="G2808" s="77" t="s">
        <v>220</v>
      </c>
      <c r="H2808" t="str">
        <f>VLOOKUP(D2808,'DETALLE PRECIO INGREDIENTES'!B:B,1,0)</f>
        <v>AZUCAR BLANCA GRANULADA</v>
      </c>
    </row>
    <row r="2809" spans="2:8" hidden="1" x14ac:dyDescent="0.35">
      <c r="B2809" s="80" t="s">
        <v>166</v>
      </c>
      <c r="C2809" s="80" t="s">
        <v>162</v>
      </c>
      <c r="D2809" s="73" t="s">
        <v>553</v>
      </c>
      <c r="E2809" s="74">
        <v>0.1</v>
      </c>
      <c r="F2809" s="78" t="s">
        <v>237</v>
      </c>
      <c r="G2809" s="77" t="s">
        <v>551</v>
      </c>
      <c r="H2809" t="str">
        <f>VLOOKUP(D2809,'DETALLE PRECIO INGREDIENTES'!B:B,1,0)</f>
        <v>CACAO EN POLVO ALCALINO</v>
      </c>
    </row>
    <row r="2810" spans="2:8" hidden="1" x14ac:dyDescent="0.35">
      <c r="B2810" s="80" t="s">
        <v>166</v>
      </c>
      <c r="C2810" s="80" t="s">
        <v>162</v>
      </c>
      <c r="D2810" s="73" t="s">
        <v>288</v>
      </c>
      <c r="E2810" s="74">
        <v>0.01</v>
      </c>
      <c r="F2810" s="78" t="s">
        <v>237</v>
      </c>
      <c r="G2810" s="77" t="s">
        <v>220</v>
      </c>
      <c r="H2810" t="str">
        <f>VLOOKUP(D2810,'DETALLE PRECIO INGREDIENTES'!B:B,1,0)</f>
        <v>CAFE INSTANTANEO</v>
      </c>
    </row>
    <row r="2811" spans="2:8" hidden="1" x14ac:dyDescent="0.35">
      <c r="B2811" s="80" t="s">
        <v>166</v>
      </c>
      <c r="C2811" s="80" t="s">
        <v>162</v>
      </c>
      <c r="D2811" s="73" t="s">
        <v>748</v>
      </c>
      <c r="E2811" s="74">
        <v>0.35</v>
      </c>
      <c r="F2811" s="78" t="s">
        <v>222</v>
      </c>
      <c r="G2811" s="77" t="s">
        <v>736</v>
      </c>
      <c r="H2811" t="str">
        <f>VLOOKUP(D2811,'DETALLE PRECIO INGREDIENTES'!B:B,1,0)</f>
        <v>LECHE ENTERA</v>
      </c>
    </row>
    <row r="2812" spans="2:8" hidden="1" x14ac:dyDescent="0.35">
      <c r="B2812" s="80" t="s">
        <v>166</v>
      </c>
      <c r="C2812" s="80" t="s">
        <v>162</v>
      </c>
      <c r="D2812" s="73" t="s">
        <v>329</v>
      </c>
      <c r="E2812" s="74">
        <v>0.01</v>
      </c>
      <c r="F2812" s="78" t="s">
        <v>222</v>
      </c>
      <c r="G2812" s="77" t="s">
        <v>220</v>
      </c>
      <c r="H2812" t="str">
        <f>VLOOKUP(D2812,'DETALLE PRECIO INGREDIENTES'!B:B,1,0)</f>
        <v>ESENCIA DE VAINILLA</v>
      </c>
    </row>
    <row r="2813" spans="2:8" hidden="1" x14ac:dyDescent="0.35">
      <c r="B2813" s="80" t="s">
        <v>166</v>
      </c>
      <c r="C2813" s="80" t="s">
        <v>162</v>
      </c>
      <c r="D2813" s="73" t="s">
        <v>375</v>
      </c>
      <c r="E2813" s="74">
        <v>0.05</v>
      </c>
      <c r="F2813" s="78" t="s">
        <v>237</v>
      </c>
      <c r="G2813" s="77" t="s">
        <v>220</v>
      </c>
      <c r="H2813" t="str">
        <f>VLOOKUP(D2813,'DETALLE PRECIO INGREDIENTES'!B:B,1,0)</f>
        <v>MAICENA</v>
      </c>
    </row>
    <row r="2814" spans="2:8" hidden="1" x14ac:dyDescent="0.35">
      <c r="B2814" s="80" t="s">
        <v>166</v>
      </c>
      <c r="C2814" s="80" t="s">
        <v>162</v>
      </c>
      <c r="D2814" s="73" t="s">
        <v>492</v>
      </c>
      <c r="E2814" s="74">
        <v>1</v>
      </c>
      <c r="F2814" s="78" t="s">
        <v>259</v>
      </c>
      <c r="G2814" s="77" t="s">
        <v>485</v>
      </c>
      <c r="H2814" t="str">
        <f>VLOOKUP(D2814,'DETALLE PRECIO INGREDIENTES'!B:B,1,0)</f>
        <v>BOLSA PREPICADA 20 X 30</v>
      </c>
    </row>
    <row r="2815" spans="2:8" hidden="1" x14ac:dyDescent="0.35">
      <c r="B2815" s="80" t="s">
        <v>166</v>
      </c>
      <c r="C2815" s="80" t="s">
        <v>162</v>
      </c>
      <c r="D2815" s="73" t="s">
        <v>502</v>
      </c>
      <c r="E2815" s="74">
        <v>2</v>
      </c>
      <c r="F2815" s="78" t="s">
        <v>259</v>
      </c>
      <c r="G2815" s="77" t="s">
        <v>485</v>
      </c>
      <c r="H2815" t="str">
        <f>VLOOKUP(D2815,'DETALLE PRECIO INGREDIENTES'!B:B,1,0)</f>
        <v>MANGAS DESECHABLES MEDIANAS</v>
      </c>
    </row>
    <row r="2816" spans="2:8" hidden="1" x14ac:dyDescent="0.35">
      <c r="B2816" s="80" t="s">
        <v>166</v>
      </c>
      <c r="C2816" s="80" t="s">
        <v>162</v>
      </c>
      <c r="D2816" s="73" t="s">
        <v>749</v>
      </c>
      <c r="E2816" s="74">
        <v>0.3</v>
      </c>
      <c r="F2816" s="78" t="s">
        <v>237</v>
      </c>
      <c r="G2816" s="77" t="s">
        <v>736</v>
      </c>
      <c r="H2816" t="str">
        <f>VLOOKUP(D2816,'DETALLE PRECIO INGREDIENTES'!B:B,1,0)</f>
        <v>MANJAR</v>
      </c>
    </row>
    <row r="2817" spans="2:8" hidden="1" x14ac:dyDescent="0.35">
      <c r="B2817" s="80" t="s">
        <v>166</v>
      </c>
      <c r="C2817" s="80" t="s">
        <v>162</v>
      </c>
      <c r="D2817" s="73" t="s">
        <v>293</v>
      </c>
      <c r="E2817" s="74">
        <v>5.0000000000000001E-3</v>
      </c>
      <c r="F2817" s="78" t="s">
        <v>237</v>
      </c>
      <c r="G2817" s="77" t="s">
        <v>220</v>
      </c>
      <c r="H2817" t="str">
        <f>VLOOKUP(D2817,'DETALLE PRECIO INGREDIENTES'!B:B,1,0)</f>
        <v>CANELA ENTERA</v>
      </c>
    </row>
    <row r="2818" spans="2:8" hidden="1" x14ac:dyDescent="0.35">
      <c r="B2818" s="80" t="s">
        <v>166</v>
      </c>
      <c r="C2818" s="80" t="s">
        <v>162</v>
      </c>
      <c r="D2818" s="73" t="s">
        <v>565</v>
      </c>
      <c r="E2818" s="74">
        <v>0.08</v>
      </c>
      <c r="F2818" s="78" t="s">
        <v>237</v>
      </c>
      <c r="G2818" s="77" t="s">
        <v>551</v>
      </c>
      <c r="H2818" t="str">
        <f>VLOOKUP(D2818,'DETALLE PRECIO INGREDIENTES'!B:B,1,0)</f>
        <v>COBERTURA AMARGA</v>
      </c>
    </row>
    <row r="2819" spans="2:8" hidden="1" x14ac:dyDescent="0.35">
      <c r="B2819" s="80" t="s">
        <v>166</v>
      </c>
      <c r="C2819" s="80" t="s">
        <v>161</v>
      </c>
      <c r="D2819" s="73" t="s">
        <v>751</v>
      </c>
      <c r="E2819" s="74">
        <v>7.0000000000000007E-2</v>
      </c>
      <c r="F2819" s="78" t="s">
        <v>237</v>
      </c>
      <c r="G2819" s="77" t="s">
        <v>736</v>
      </c>
      <c r="H2819" t="str">
        <f>VLOOKUP(D2819,'DETALLE PRECIO INGREDIENTES'!B:B,1,0)</f>
        <v>MANTEQUILLA SIN SAL</v>
      </c>
    </row>
    <row r="2820" spans="2:8" hidden="1" x14ac:dyDescent="0.35">
      <c r="B2820" s="80" t="s">
        <v>166</v>
      </c>
      <c r="C2820" s="80" t="s">
        <v>161</v>
      </c>
      <c r="D2820" s="73" t="s">
        <v>445</v>
      </c>
      <c r="E2820" s="74">
        <v>1E-3</v>
      </c>
      <c r="F2820" s="78" t="s">
        <v>237</v>
      </c>
      <c r="G2820" s="77" t="s">
        <v>220</v>
      </c>
      <c r="H2820" t="str">
        <f>VLOOKUP(D2820,'DETALLE PRECIO INGREDIENTES'!B:B,1,0)</f>
        <v>SAL DE MESA LOBOS</v>
      </c>
    </row>
    <row r="2821" spans="2:8" hidden="1" x14ac:dyDescent="0.35">
      <c r="B2821" s="80" t="s">
        <v>166</v>
      </c>
      <c r="C2821" s="80" t="s">
        <v>161</v>
      </c>
      <c r="D2821" s="73" t="s">
        <v>354</v>
      </c>
      <c r="E2821" s="74">
        <v>0.12</v>
      </c>
      <c r="F2821" s="78" t="s">
        <v>237</v>
      </c>
      <c r="G2821" s="77" t="s">
        <v>220</v>
      </c>
      <c r="H2821" t="str">
        <f>VLOOKUP(D2821,'DETALLE PRECIO INGREDIENTES'!B:B,1,0)</f>
        <v>HARINA BIZCOCHERA</v>
      </c>
    </row>
    <row r="2822" spans="2:8" hidden="1" x14ac:dyDescent="0.35">
      <c r="B2822" s="80" t="s">
        <v>166</v>
      </c>
      <c r="C2822" s="80" t="s">
        <v>161</v>
      </c>
      <c r="D2822" s="73" t="s">
        <v>729</v>
      </c>
      <c r="E2822" s="74">
        <v>4</v>
      </c>
      <c r="F2822" s="78" t="s">
        <v>259</v>
      </c>
      <c r="G2822" s="77" t="s">
        <v>728</v>
      </c>
      <c r="H2822" t="str">
        <f>VLOOKUP(D2822,'DETALLE PRECIO INGREDIENTES'!B:B,1,0)</f>
        <v>HUEVO EXTRA BLANCO</v>
      </c>
    </row>
    <row r="2823" spans="2:8" hidden="1" x14ac:dyDescent="0.35">
      <c r="B2823" s="80" t="s">
        <v>166</v>
      </c>
      <c r="C2823" s="80" t="s">
        <v>161</v>
      </c>
      <c r="D2823" s="73" t="s">
        <v>511</v>
      </c>
      <c r="E2823" s="74">
        <v>1</v>
      </c>
      <c r="F2823" s="78" t="s">
        <v>259</v>
      </c>
      <c r="G2823" s="77" t="s">
        <v>485</v>
      </c>
      <c r="H2823" t="str">
        <f>VLOOKUP(D2823,'DETALLE PRECIO INGREDIENTES'!B:B,1,0)</f>
        <v>PAPEL CERESINADO PLIEGO</v>
      </c>
    </row>
    <row r="2824" spans="2:8" hidden="1" x14ac:dyDescent="0.35">
      <c r="B2824" s="80" t="s">
        <v>166</v>
      </c>
      <c r="C2824" s="80" t="s">
        <v>161</v>
      </c>
      <c r="D2824" s="73" t="s">
        <v>277</v>
      </c>
      <c r="E2824" s="74">
        <v>7.6999999999999999E-2</v>
      </c>
      <c r="F2824" s="78" t="s">
        <v>237</v>
      </c>
      <c r="G2824" s="77" t="s">
        <v>220</v>
      </c>
      <c r="H2824" t="str">
        <f>VLOOKUP(D2824,'DETALLE PRECIO INGREDIENTES'!B:B,1,0)</f>
        <v>AZUCAR BLANCA GRANULADA</v>
      </c>
    </row>
    <row r="2825" spans="2:8" hidden="1" x14ac:dyDescent="0.35">
      <c r="B2825" s="80" t="s">
        <v>166</v>
      </c>
      <c r="C2825" s="80" t="s">
        <v>161</v>
      </c>
      <c r="D2825" s="73" t="s">
        <v>553</v>
      </c>
      <c r="E2825" s="74">
        <v>5.0000000000000001E-3</v>
      </c>
      <c r="F2825" s="78" t="s">
        <v>237</v>
      </c>
      <c r="G2825" s="77" t="s">
        <v>551</v>
      </c>
      <c r="H2825" t="str">
        <f>VLOOKUP(D2825,'DETALLE PRECIO INGREDIENTES'!B:B,1,0)</f>
        <v>CACAO EN POLVO ALCALINO</v>
      </c>
    </row>
    <row r="2826" spans="2:8" hidden="1" x14ac:dyDescent="0.35">
      <c r="B2826" s="80" t="s">
        <v>166</v>
      </c>
      <c r="C2826" s="80" t="s">
        <v>161</v>
      </c>
      <c r="D2826" s="73" t="s">
        <v>288</v>
      </c>
      <c r="E2826" s="74">
        <v>0.01</v>
      </c>
      <c r="F2826" s="78" t="s">
        <v>237</v>
      </c>
      <c r="G2826" s="77" t="s">
        <v>220</v>
      </c>
      <c r="H2826" t="str">
        <f>VLOOKUP(D2826,'DETALLE PRECIO INGREDIENTES'!B:B,1,0)</f>
        <v>CAFE INSTANTANEO</v>
      </c>
    </row>
    <row r="2827" spans="2:8" hidden="1" x14ac:dyDescent="0.35">
      <c r="B2827" s="80" t="s">
        <v>166</v>
      </c>
      <c r="C2827" s="80" t="s">
        <v>161</v>
      </c>
      <c r="D2827" s="73" t="s">
        <v>748</v>
      </c>
      <c r="E2827" s="74">
        <v>0.25</v>
      </c>
      <c r="F2827" s="78" t="s">
        <v>222</v>
      </c>
      <c r="G2827" s="77" t="s">
        <v>736</v>
      </c>
      <c r="H2827" t="str">
        <f>VLOOKUP(D2827,'DETALLE PRECIO INGREDIENTES'!B:B,1,0)</f>
        <v>LECHE ENTERA</v>
      </c>
    </row>
    <row r="2828" spans="2:8" hidden="1" x14ac:dyDescent="0.35">
      <c r="B2828" s="80" t="s">
        <v>166</v>
      </c>
      <c r="C2828" s="80" t="s">
        <v>161</v>
      </c>
      <c r="D2828" s="73" t="s">
        <v>329</v>
      </c>
      <c r="E2828" s="74">
        <v>0.01</v>
      </c>
      <c r="F2828" s="78" t="s">
        <v>222</v>
      </c>
      <c r="G2828" s="77" t="s">
        <v>220</v>
      </c>
      <c r="H2828" t="str">
        <f>VLOOKUP(D2828,'DETALLE PRECIO INGREDIENTES'!B:B,1,0)</f>
        <v>ESENCIA DE VAINILLA</v>
      </c>
    </row>
    <row r="2829" spans="2:8" hidden="1" x14ac:dyDescent="0.35">
      <c r="B2829" s="80" t="s">
        <v>166</v>
      </c>
      <c r="C2829" s="80" t="s">
        <v>161</v>
      </c>
      <c r="D2829" s="73" t="s">
        <v>375</v>
      </c>
      <c r="E2829" s="74">
        <v>0.02</v>
      </c>
      <c r="F2829" s="78" t="s">
        <v>237</v>
      </c>
      <c r="G2829" s="77" t="s">
        <v>220</v>
      </c>
      <c r="H2829" t="str">
        <f>VLOOKUP(D2829,'DETALLE PRECIO INGREDIENTES'!B:B,1,0)</f>
        <v>MAICENA</v>
      </c>
    </row>
    <row r="2830" spans="2:8" hidden="1" x14ac:dyDescent="0.35">
      <c r="B2830" s="80" t="s">
        <v>166</v>
      </c>
      <c r="C2830" s="80" t="s">
        <v>161</v>
      </c>
      <c r="D2830" s="73" t="s">
        <v>492</v>
      </c>
      <c r="E2830" s="74">
        <v>1</v>
      </c>
      <c r="F2830" s="78" t="s">
        <v>259</v>
      </c>
      <c r="G2830" s="77" t="s">
        <v>485</v>
      </c>
      <c r="H2830" t="str">
        <f>VLOOKUP(D2830,'DETALLE PRECIO INGREDIENTES'!B:B,1,0)</f>
        <v>BOLSA PREPICADA 20 X 30</v>
      </c>
    </row>
    <row r="2831" spans="2:8" hidden="1" x14ac:dyDescent="0.35">
      <c r="B2831" s="80" t="s">
        <v>166</v>
      </c>
      <c r="C2831" s="80" t="s">
        <v>161</v>
      </c>
      <c r="D2831" s="73" t="s">
        <v>502</v>
      </c>
      <c r="E2831" s="74">
        <v>2</v>
      </c>
      <c r="F2831" s="78" t="s">
        <v>259</v>
      </c>
      <c r="G2831" s="77" t="s">
        <v>485</v>
      </c>
      <c r="H2831" t="str">
        <f>VLOOKUP(D2831,'DETALLE PRECIO INGREDIENTES'!B:B,1,0)</f>
        <v>MANGAS DESECHABLES MEDIANAS</v>
      </c>
    </row>
    <row r="2832" spans="2:8" hidden="1" x14ac:dyDescent="0.35">
      <c r="B2832" s="80" t="s">
        <v>166</v>
      </c>
      <c r="C2832" s="80" t="s">
        <v>161</v>
      </c>
      <c r="D2832" s="73" t="s">
        <v>277</v>
      </c>
      <c r="E2832" s="74">
        <v>0.45</v>
      </c>
      <c r="F2832" s="78" t="s">
        <v>237</v>
      </c>
      <c r="G2832" s="77" t="s">
        <v>220</v>
      </c>
      <c r="H2832" t="str">
        <f>VLOOKUP(D2832,'DETALLE PRECIO INGREDIENTES'!B:B,1,0)</f>
        <v>AZUCAR BLANCA GRANULADA</v>
      </c>
    </row>
    <row r="2833" spans="2:8" hidden="1" x14ac:dyDescent="0.35">
      <c r="B2833" s="80" t="s">
        <v>166</v>
      </c>
      <c r="C2833" s="80" t="s">
        <v>161</v>
      </c>
      <c r="D2833" s="73" t="s">
        <v>729</v>
      </c>
      <c r="E2833" s="74">
        <v>9</v>
      </c>
      <c r="F2833" s="78" t="s">
        <v>259</v>
      </c>
      <c r="G2833" s="77" t="s">
        <v>728</v>
      </c>
      <c r="H2833" t="str">
        <f>VLOOKUP(D2833,'DETALLE PRECIO INGREDIENTES'!B:B,1,0)</f>
        <v>HUEVO EXTRA BLANCO</v>
      </c>
    </row>
    <row r="2834" spans="2:8" hidden="1" x14ac:dyDescent="0.35">
      <c r="B2834" s="80" t="s">
        <v>166</v>
      </c>
      <c r="C2834" s="80" t="s">
        <v>161</v>
      </c>
      <c r="D2834" s="73" t="s">
        <v>354</v>
      </c>
      <c r="E2834" s="74">
        <v>0.15</v>
      </c>
      <c r="F2834" s="78" t="s">
        <v>237</v>
      </c>
      <c r="G2834" s="77" t="s">
        <v>220</v>
      </c>
      <c r="H2834" t="str">
        <f>VLOOKUP(D2834,'DETALLE PRECIO INGREDIENTES'!B:B,1,0)</f>
        <v>HARINA BIZCOCHERA</v>
      </c>
    </row>
    <row r="2835" spans="2:8" hidden="1" x14ac:dyDescent="0.35">
      <c r="B2835" s="80" t="s">
        <v>166</v>
      </c>
      <c r="C2835" s="80" t="s">
        <v>161</v>
      </c>
      <c r="D2835" s="73" t="s">
        <v>375</v>
      </c>
      <c r="E2835" s="74">
        <v>1.4999999999999999E-2</v>
      </c>
      <c r="F2835" s="78" t="s">
        <v>237</v>
      </c>
      <c r="G2835" s="77" t="s">
        <v>220</v>
      </c>
      <c r="H2835" t="str">
        <f>VLOOKUP(D2835,'DETALLE PRECIO INGREDIENTES'!B:B,1,0)</f>
        <v>MAICENA</v>
      </c>
    </row>
    <row r="2836" spans="2:8" hidden="1" x14ac:dyDescent="0.35">
      <c r="B2836" s="80" t="s">
        <v>166</v>
      </c>
      <c r="C2836" s="80" t="s">
        <v>161</v>
      </c>
      <c r="D2836" s="73" t="s">
        <v>278</v>
      </c>
      <c r="E2836" s="74">
        <v>7.0000000000000007E-2</v>
      </c>
      <c r="F2836" s="78" t="s">
        <v>237</v>
      </c>
      <c r="G2836" s="77" t="s">
        <v>220</v>
      </c>
      <c r="H2836" t="str">
        <f>VLOOKUP(D2836,'DETALLE PRECIO INGREDIENTES'!B:B,1,0)</f>
        <v>AZUCAR FLOR</v>
      </c>
    </row>
    <row r="2837" spans="2:8" hidden="1" x14ac:dyDescent="0.35">
      <c r="B2837" s="80" t="s">
        <v>166</v>
      </c>
      <c r="C2837" s="80" t="s">
        <v>161</v>
      </c>
      <c r="D2837" s="73" t="s">
        <v>680</v>
      </c>
      <c r="E2837" s="74">
        <v>0.05</v>
      </c>
      <c r="F2837" s="78" t="s">
        <v>237</v>
      </c>
      <c r="G2837" s="77" t="s">
        <v>621</v>
      </c>
      <c r="H2837" t="str">
        <f>VLOOKUP(D2837,'DETALLE PRECIO INGREDIENTES'!B:B,1,0)</f>
        <v>LIMON DE JUGO</v>
      </c>
    </row>
    <row r="2838" spans="2:8" hidden="1" x14ac:dyDescent="0.35">
      <c r="B2838" s="80" t="s">
        <v>166</v>
      </c>
      <c r="C2838" s="80" t="s">
        <v>161</v>
      </c>
      <c r="D2838" s="73" t="s">
        <v>787</v>
      </c>
      <c r="E2838" s="74">
        <v>0.1</v>
      </c>
      <c r="F2838" s="78" t="s">
        <v>259</v>
      </c>
      <c r="G2838" s="77" t="s">
        <v>776</v>
      </c>
      <c r="H2838" t="str">
        <f>VLOOKUP(D2838,'DETALLE PRECIO INGREDIENTES'!B:B,1,0)</f>
        <v>RON MITJANS DORADO</v>
      </c>
    </row>
    <row r="2839" spans="2:8" hidden="1" x14ac:dyDescent="0.35">
      <c r="B2839" s="80" t="s">
        <v>166</v>
      </c>
      <c r="C2839" s="80" t="s">
        <v>161</v>
      </c>
      <c r="D2839" s="73" t="s">
        <v>749</v>
      </c>
      <c r="E2839" s="74">
        <v>0.4</v>
      </c>
      <c r="F2839" s="78" t="s">
        <v>237</v>
      </c>
      <c r="G2839" s="77" t="s">
        <v>736</v>
      </c>
      <c r="H2839" t="str">
        <f>VLOOKUP(D2839,'DETALLE PRECIO INGREDIENTES'!B:B,1,0)</f>
        <v>MANJAR</v>
      </c>
    </row>
    <row r="2840" spans="2:8" hidden="1" x14ac:dyDescent="0.35">
      <c r="B2840" s="80" t="s">
        <v>166</v>
      </c>
      <c r="C2840" s="80" t="s">
        <v>161</v>
      </c>
      <c r="D2840" s="73" t="s">
        <v>293</v>
      </c>
      <c r="E2840" s="74">
        <v>5.0000000000000001E-3</v>
      </c>
      <c r="F2840" s="78" t="s">
        <v>237</v>
      </c>
      <c r="G2840" s="77" t="s">
        <v>220</v>
      </c>
      <c r="H2840" t="str">
        <f>VLOOKUP(D2840,'DETALLE PRECIO INGREDIENTES'!B:B,1,0)</f>
        <v>CANELA ENTERA</v>
      </c>
    </row>
    <row r="2841" spans="2:8" hidden="1" x14ac:dyDescent="0.35">
      <c r="B2841" s="80" t="s">
        <v>166</v>
      </c>
      <c r="C2841" s="80" t="s">
        <v>161</v>
      </c>
      <c r="D2841" s="73" t="s">
        <v>565</v>
      </c>
      <c r="E2841" s="74">
        <v>0.05</v>
      </c>
      <c r="F2841" s="78" t="s">
        <v>237</v>
      </c>
      <c r="G2841" s="77" t="s">
        <v>551</v>
      </c>
      <c r="H2841" t="str">
        <f>VLOOKUP(D2841,'DETALLE PRECIO INGREDIENTES'!B:B,1,0)</f>
        <v>COBERTURA AMARGA</v>
      </c>
    </row>
    <row r="2842" spans="2:8" hidden="1" x14ac:dyDescent="0.35">
      <c r="B2842" s="80" t="s">
        <v>166</v>
      </c>
      <c r="C2842" s="80" t="s">
        <v>161</v>
      </c>
      <c r="D2842" s="73" t="s">
        <v>503</v>
      </c>
      <c r="E2842" s="74">
        <v>2</v>
      </c>
      <c r="F2842" s="78" t="s">
        <v>259</v>
      </c>
      <c r="G2842" s="77" t="s">
        <v>485</v>
      </c>
      <c r="H2842" t="str">
        <f>VLOOKUP(D2842,'DETALLE PRECIO INGREDIENTES'!B:B,1,0)</f>
        <v>MANGAS DESECHABLES PEQUEÑAS</v>
      </c>
    </row>
    <row r="2843" spans="2:8" hidden="1" x14ac:dyDescent="0.35">
      <c r="B2843" s="80" t="s">
        <v>166</v>
      </c>
      <c r="C2843" s="80" t="s">
        <v>161</v>
      </c>
      <c r="D2843" s="73" t="s">
        <v>513</v>
      </c>
      <c r="E2843" s="74">
        <v>2</v>
      </c>
      <c r="F2843" s="78" t="s">
        <v>259</v>
      </c>
      <c r="G2843" s="77" t="s">
        <v>485</v>
      </c>
      <c r="H2843" t="str">
        <f>VLOOKUP(D2843,'DETALLE PRECIO INGREDIENTES'!B:B,1,0)</f>
        <v>PAPEL MANTEQUILLA 75 X100</v>
      </c>
    </row>
    <row r="2844" spans="2:8" hidden="1" x14ac:dyDescent="0.35">
      <c r="B2844" s="80" t="s">
        <v>166</v>
      </c>
      <c r="C2844" s="80" t="s">
        <v>161</v>
      </c>
      <c r="D2844" s="73" t="s">
        <v>228</v>
      </c>
      <c r="E2844" s="74">
        <v>0.03</v>
      </c>
      <c r="F2844" s="78" t="s">
        <v>222</v>
      </c>
      <c r="G2844" s="77" t="s">
        <v>220</v>
      </c>
      <c r="H2844" t="str">
        <f>VLOOKUP(D2844,'DETALLE PRECIO INGREDIENTES'!B:B,1,0)</f>
        <v>ACEITE DE MARAVILLA</v>
      </c>
    </row>
    <row r="2845" spans="2:8" hidden="1" x14ac:dyDescent="0.35">
      <c r="B2845" s="80" t="s">
        <v>166</v>
      </c>
      <c r="C2845" s="80" t="s">
        <v>160</v>
      </c>
      <c r="D2845" s="73" t="s">
        <v>751</v>
      </c>
      <c r="E2845" s="74">
        <v>7.0000000000000007E-2</v>
      </c>
      <c r="F2845" s="78" t="s">
        <v>237</v>
      </c>
      <c r="G2845" s="77" t="s">
        <v>736</v>
      </c>
      <c r="H2845" t="str">
        <f>VLOOKUP(D2845,'DETALLE PRECIO INGREDIENTES'!B:B,1,0)</f>
        <v>MANTEQUILLA SIN SAL</v>
      </c>
    </row>
    <row r="2846" spans="2:8" hidden="1" x14ac:dyDescent="0.35">
      <c r="B2846" s="80" t="s">
        <v>166</v>
      </c>
      <c r="C2846" s="80" t="s">
        <v>160</v>
      </c>
      <c r="D2846" s="73" t="s">
        <v>445</v>
      </c>
      <c r="E2846" s="74">
        <v>1E-3</v>
      </c>
      <c r="F2846" s="78" t="s">
        <v>237</v>
      </c>
      <c r="G2846" s="77" t="s">
        <v>220</v>
      </c>
      <c r="H2846" t="str">
        <f>VLOOKUP(D2846,'DETALLE PRECIO INGREDIENTES'!B:B,1,0)</f>
        <v>SAL DE MESA LOBOS</v>
      </c>
    </row>
    <row r="2847" spans="2:8" hidden="1" x14ac:dyDescent="0.35">
      <c r="B2847" s="80" t="s">
        <v>166</v>
      </c>
      <c r="C2847" s="80" t="s">
        <v>160</v>
      </c>
      <c r="D2847" s="73" t="s">
        <v>354</v>
      </c>
      <c r="E2847" s="74">
        <v>0.12</v>
      </c>
      <c r="F2847" s="78" t="s">
        <v>237</v>
      </c>
      <c r="G2847" s="77" t="s">
        <v>220</v>
      </c>
      <c r="H2847" t="str">
        <f>VLOOKUP(D2847,'DETALLE PRECIO INGREDIENTES'!B:B,1,0)</f>
        <v>HARINA BIZCOCHERA</v>
      </c>
    </row>
    <row r="2848" spans="2:8" hidden="1" x14ac:dyDescent="0.35">
      <c r="B2848" s="80" t="s">
        <v>166</v>
      </c>
      <c r="C2848" s="80" t="s">
        <v>160</v>
      </c>
      <c r="D2848" s="73" t="s">
        <v>729</v>
      </c>
      <c r="E2848" s="74">
        <v>4</v>
      </c>
      <c r="F2848" s="78" t="s">
        <v>259</v>
      </c>
      <c r="G2848" s="77" t="s">
        <v>728</v>
      </c>
      <c r="H2848" t="str">
        <f>VLOOKUP(D2848,'DETALLE PRECIO INGREDIENTES'!B:B,1,0)</f>
        <v>HUEVO EXTRA BLANCO</v>
      </c>
    </row>
    <row r="2849" spans="2:8" hidden="1" x14ac:dyDescent="0.35">
      <c r="B2849" s="80" t="s">
        <v>166</v>
      </c>
      <c r="C2849" s="80" t="s">
        <v>160</v>
      </c>
      <c r="D2849" s="73" t="s">
        <v>511</v>
      </c>
      <c r="E2849" s="74">
        <v>1</v>
      </c>
      <c r="F2849" s="78" t="s">
        <v>259</v>
      </c>
      <c r="G2849" s="77" t="s">
        <v>485</v>
      </c>
      <c r="H2849" t="str">
        <f>VLOOKUP(D2849,'DETALLE PRECIO INGREDIENTES'!B:B,1,0)</f>
        <v>PAPEL CERESINADO PLIEGO</v>
      </c>
    </row>
    <row r="2850" spans="2:8" hidden="1" x14ac:dyDescent="0.35">
      <c r="B2850" s="80" t="s">
        <v>166</v>
      </c>
      <c r="C2850" s="80" t="s">
        <v>160</v>
      </c>
      <c r="D2850" s="73" t="s">
        <v>277</v>
      </c>
      <c r="E2850" s="74">
        <v>7.6999999999999999E-2</v>
      </c>
      <c r="F2850" s="78" t="s">
        <v>237</v>
      </c>
      <c r="G2850" s="77" t="s">
        <v>220</v>
      </c>
      <c r="H2850" t="str">
        <f>VLOOKUP(D2850,'DETALLE PRECIO INGREDIENTES'!B:B,1,0)</f>
        <v>AZUCAR BLANCA GRANULADA</v>
      </c>
    </row>
    <row r="2851" spans="2:8" hidden="1" x14ac:dyDescent="0.35">
      <c r="B2851" s="80" t="s">
        <v>166</v>
      </c>
      <c r="C2851" s="80" t="s">
        <v>160</v>
      </c>
      <c r="D2851" s="73" t="s">
        <v>553</v>
      </c>
      <c r="E2851" s="74">
        <v>5.0000000000000001E-3</v>
      </c>
      <c r="F2851" s="78" t="s">
        <v>237</v>
      </c>
      <c r="G2851" s="77" t="s">
        <v>551</v>
      </c>
      <c r="H2851" t="str">
        <f>VLOOKUP(D2851,'DETALLE PRECIO INGREDIENTES'!B:B,1,0)</f>
        <v>CACAO EN POLVO ALCALINO</v>
      </c>
    </row>
    <row r="2852" spans="2:8" hidden="1" x14ac:dyDescent="0.35">
      <c r="B2852" s="80" t="s">
        <v>166</v>
      </c>
      <c r="C2852" s="80" t="s">
        <v>160</v>
      </c>
      <c r="D2852" s="73" t="s">
        <v>288</v>
      </c>
      <c r="E2852" s="74">
        <v>0.01</v>
      </c>
      <c r="F2852" s="78" t="s">
        <v>237</v>
      </c>
      <c r="G2852" s="77" t="s">
        <v>220</v>
      </c>
      <c r="H2852" t="str">
        <f>VLOOKUP(D2852,'DETALLE PRECIO INGREDIENTES'!B:B,1,0)</f>
        <v>CAFE INSTANTANEO</v>
      </c>
    </row>
    <row r="2853" spans="2:8" hidden="1" x14ac:dyDescent="0.35">
      <c r="B2853" s="80" t="s">
        <v>166</v>
      </c>
      <c r="C2853" s="80" t="s">
        <v>160</v>
      </c>
      <c r="D2853" s="73" t="s">
        <v>748</v>
      </c>
      <c r="E2853" s="74">
        <v>0.25</v>
      </c>
      <c r="F2853" s="78" t="s">
        <v>222</v>
      </c>
      <c r="G2853" s="77" t="s">
        <v>736</v>
      </c>
      <c r="H2853" t="str">
        <f>VLOOKUP(D2853,'DETALLE PRECIO INGREDIENTES'!B:B,1,0)</f>
        <v>LECHE ENTERA</v>
      </c>
    </row>
    <row r="2854" spans="2:8" hidden="1" x14ac:dyDescent="0.35">
      <c r="B2854" s="80" t="s">
        <v>166</v>
      </c>
      <c r="C2854" s="80" t="s">
        <v>160</v>
      </c>
      <c r="D2854" s="73" t="s">
        <v>329</v>
      </c>
      <c r="E2854" s="74">
        <v>0.01</v>
      </c>
      <c r="F2854" s="78" t="s">
        <v>222</v>
      </c>
      <c r="G2854" s="77" t="s">
        <v>220</v>
      </c>
      <c r="H2854" t="str">
        <f>VLOOKUP(D2854,'DETALLE PRECIO INGREDIENTES'!B:B,1,0)</f>
        <v>ESENCIA DE VAINILLA</v>
      </c>
    </row>
    <row r="2855" spans="2:8" hidden="1" x14ac:dyDescent="0.35">
      <c r="B2855" s="80" t="s">
        <v>166</v>
      </c>
      <c r="C2855" s="80" t="s">
        <v>160</v>
      </c>
      <c r="D2855" s="73" t="s">
        <v>375</v>
      </c>
      <c r="E2855" s="74">
        <v>0.02</v>
      </c>
      <c r="F2855" s="78" t="s">
        <v>237</v>
      </c>
      <c r="G2855" s="77" t="s">
        <v>220</v>
      </c>
      <c r="H2855" t="str">
        <f>VLOOKUP(D2855,'DETALLE PRECIO INGREDIENTES'!B:B,1,0)</f>
        <v>MAICENA</v>
      </c>
    </row>
    <row r="2856" spans="2:8" hidden="1" x14ac:dyDescent="0.35">
      <c r="B2856" s="80" t="s">
        <v>166</v>
      </c>
      <c r="C2856" s="80" t="s">
        <v>160</v>
      </c>
      <c r="D2856" s="73" t="s">
        <v>492</v>
      </c>
      <c r="E2856" s="74">
        <v>1</v>
      </c>
      <c r="F2856" s="78" t="s">
        <v>259</v>
      </c>
      <c r="G2856" s="77" t="s">
        <v>485</v>
      </c>
      <c r="H2856" t="str">
        <f>VLOOKUP(D2856,'DETALLE PRECIO INGREDIENTES'!B:B,1,0)</f>
        <v>BOLSA PREPICADA 20 X 30</v>
      </c>
    </row>
    <row r="2857" spans="2:8" hidden="1" x14ac:dyDescent="0.35">
      <c r="B2857" s="80" t="s">
        <v>166</v>
      </c>
      <c r="C2857" s="80" t="s">
        <v>160</v>
      </c>
      <c r="D2857" s="73" t="s">
        <v>502</v>
      </c>
      <c r="E2857" s="74">
        <v>2</v>
      </c>
      <c r="F2857" s="78" t="s">
        <v>259</v>
      </c>
      <c r="G2857" s="77" t="s">
        <v>485</v>
      </c>
      <c r="H2857" t="str">
        <f>VLOOKUP(D2857,'DETALLE PRECIO INGREDIENTES'!B:B,1,0)</f>
        <v>MANGAS DESECHABLES MEDIANAS</v>
      </c>
    </row>
    <row r="2858" spans="2:8" hidden="1" x14ac:dyDescent="0.35">
      <c r="B2858" s="80" t="s">
        <v>166</v>
      </c>
      <c r="C2858" s="80" t="s">
        <v>160</v>
      </c>
      <c r="D2858" s="73" t="s">
        <v>277</v>
      </c>
      <c r="E2858" s="74">
        <v>0.45</v>
      </c>
      <c r="F2858" s="78" t="s">
        <v>237</v>
      </c>
      <c r="G2858" s="77" t="s">
        <v>220</v>
      </c>
      <c r="H2858" t="str">
        <f>VLOOKUP(D2858,'DETALLE PRECIO INGREDIENTES'!B:B,1,0)</f>
        <v>AZUCAR BLANCA GRANULADA</v>
      </c>
    </row>
    <row r="2859" spans="2:8" hidden="1" x14ac:dyDescent="0.35">
      <c r="B2859" s="80" t="s">
        <v>166</v>
      </c>
      <c r="C2859" s="80" t="s">
        <v>160</v>
      </c>
      <c r="D2859" s="73" t="s">
        <v>729</v>
      </c>
      <c r="E2859" s="74">
        <v>9</v>
      </c>
      <c r="F2859" s="78" t="s">
        <v>259</v>
      </c>
      <c r="G2859" s="77" t="s">
        <v>728</v>
      </c>
      <c r="H2859" t="str">
        <f>VLOOKUP(D2859,'DETALLE PRECIO INGREDIENTES'!B:B,1,0)</f>
        <v>HUEVO EXTRA BLANCO</v>
      </c>
    </row>
    <row r="2860" spans="2:8" hidden="1" x14ac:dyDescent="0.35">
      <c r="B2860" s="80" t="s">
        <v>166</v>
      </c>
      <c r="C2860" s="80" t="s">
        <v>160</v>
      </c>
      <c r="D2860" s="73" t="s">
        <v>354</v>
      </c>
      <c r="E2860" s="74">
        <v>0.15</v>
      </c>
      <c r="F2860" s="78" t="s">
        <v>237</v>
      </c>
      <c r="G2860" s="77" t="s">
        <v>220</v>
      </c>
      <c r="H2860" t="str">
        <f>VLOOKUP(D2860,'DETALLE PRECIO INGREDIENTES'!B:B,1,0)</f>
        <v>HARINA BIZCOCHERA</v>
      </c>
    </row>
    <row r="2861" spans="2:8" hidden="1" x14ac:dyDescent="0.35">
      <c r="B2861" s="80" t="s">
        <v>166</v>
      </c>
      <c r="C2861" s="80" t="s">
        <v>160</v>
      </c>
      <c r="D2861" s="73" t="s">
        <v>375</v>
      </c>
      <c r="E2861" s="74">
        <v>1.4999999999999999E-2</v>
      </c>
      <c r="F2861" s="78" t="s">
        <v>237</v>
      </c>
      <c r="G2861" s="77" t="s">
        <v>220</v>
      </c>
      <c r="H2861" t="str">
        <f>VLOOKUP(D2861,'DETALLE PRECIO INGREDIENTES'!B:B,1,0)</f>
        <v>MAICENA</v>
      </c>
    </row>
    <row r="2862" spans="2:8" hidden="1" x14ac:dyDescent="0.35">
      <c r="B2862" s="80" t="s">
        <v>166</v>
      </c>
      <c r="C2862" s="80" t="s">
        <v>160</v>
      </c>
      <c r="D2862" s="73" t="s">
        <v>278</v>
      </c>
      <c r="E2862" s="74">
        <v>7.0000000000000007E-2</v>
      </c>
      <c r="F2862" s="78" t="s">
        <v>237</v>
      </c>
      <c r="G2862" s="77" t="s">
        <v>220</v>
      </c>
      <c r="H2862" t="str">
        <f>VLOOKUP(D2862,'DETALLE PRECIO INGREDIENTES'!B:B,1,0)</f>
        <v>AZUCAR FLOR</v>
      </c>
    </row>
    <row r="2863" spans="2:8" hidden="1" x14ac:dyDescent="0.35">
      <c r="B2863" s="80" t="s">
        <v>166</v>
      </c>
      <c r="C2863" s="80" t="s">
        <v>160</v>
      </c>
      <c r="D2863" s="73" t="s">
        <v>680</v>
      </c>
      <c r="E2863" s="74">
        <v>0.05</v>
      </c>
      <c r="F2863" s="78" t="s">
        <v>237</v>
      </c>
      <c r="G2863" s="77" t="s">
        <v>621</v>
      </c>
      <c r="H2863" t="str">
        <f>VLOOKUP(D2863,'DETALLE PRECIO INGREDIENTES'!B:B,1,0)</f>
        <v>LIMON DE JUGO</v>
      </c>
    </row>
    <row r="2864" spans="2:8" hidden="1" x14ac:dyDescent="0.35">
      <c r="B2864" s="80" t="s">
        <v>166</v>
      </c>
      <c r="C2864" s="80" t="s">
        <v>160</v>
      </c>
      <c r="D2864" s="73" t="s">
        <v>787</v>
      </c>
      <c r="E2864" s="74">
        <v>0.1</v>
      </c>
      <c r="F2864" s="78" t="s">
        <v>259</v>
      </c>
      <c r="G2864" s="77" t="s">
        <v>776</v>
      </c>
      <c r="H2864" t="str">
        <f>VLOOKUP(D2864,'DETALLE PRECIO INGREDIENTES'!B:B,1,0)</f>
        <v>RON MITJANS DORADO</v>
      </c>
    </row>
    <row r="2865" spans="2:8" hidden="1" x14ac:dyDescent="0.35">
      <c r="B2865" s="80" t="s">
        <v>166</v>
      </c>
      <c r="C2865" s="80" t="s">
        <v>160</v>
      </c>
      <c r="D2865" s="73" t="s">
        <v>749</v>
      </c>
      <c r="E2865" s="74">
        <v>0.4</v>
      </c>
      <c r="F2865" s="78" t="s">
        <v>237</v>
      </c>
      <c r="G2865" s="77" t="s">
        <v>736</v>
      </c>
      <c r="H2865" t="str">
        <f>VLOOKUP(D2865,'DETALLE PRECIO INGREDIENTES'!B:B,1,0)</f>
        <v>MANJAR</v>
      </c>
    </row>
    <row r="2866" spans="2:8" hidden="1" x14ac:dyDescent="0.35">
      <c r="B2866" s="80" t="s">
        <v>166</v>
      </c>
      <c r="C2866" s="80" t="s">
        <v>160</v>
      </c>
      <c r="D2866" s="73" t="s">
        <v>293</v>
      </c>
      <c r="E2866" s="74">
        <v>5.0000000000000001E-3</v>
      </c>
      <c r="F2866" s="78" t="s">
        <v>237</v>
      </c>
      <c r="G2866" s="77" t="s">
        <v>220</v>
      </c>
      <c r="H2866" t="str">
        <f>VLOOKUP(D2866,'DETALLE PRECIO INGREDIENTES'!B:B,1,0)</f>
        <v>CANELA ENTERA</v>
      </c>
    </row>
    <row r="2867" spans="2:8" hidden="1" x14ac:dyDescent="0.35">
      <c r="B2867" s="80" t="s">
        <v>166</v>
      </c>
      <c r="C2867" s="80" t="s">
        <v>160</v>
      </c>
      <c r="D2867" s="73" t="s">
        <v>565</v>
      </c>
      <c r="E2867" s="74">
        <v>0.05</v>
      </c>
      <c r="F2867" s="78" t="s">
        <v>237</v>
      </c>
      <c r="G2867" s="77" t="s">
        <v>551</v>
      </c>
      <c r="H2867" t="str">
        <f>VLOOKUP(D2867,'DETALLE PRECIO INGREDIENTES'!B:B,1,0)</f>
        <v>COBERTURA AMARGA</v>
      </c>
    </row>
    <row r="2868" spans="2:8" hidden="1" x14ac:dyDescent="0.35">
      <c r="B2868" s="80" t="s">
        <v>166</v>
      </c>
      <c r="C2868" s="80" t="s">
        <v>160</v>
      </c>
      <c r="D2868" s="73" t="s">
        <v>503</v>
      </c>
      <c r="E2868" s="74">
        <v>2</v>
      </c>
      <c r="F2868" s="78" t="s">
        <v>259</v>
      </c>
      <c r="G2868" s="77" t="s">
        <v>485</v>
      </c>
      <c r="H2868" t="str">
        <f>VLOOKUP(D2868,'DETALLE PRECIO INGREDIENTES'!B:B,1,0)</f>
        <v>MANGAS DESECHABLES PEQUEÑAS</v>
      </c>
    </row>
    <row r="2869" spans="2:8" hidden="1" x14ac:dyDescent="0.35">
      <c r="B2869" s="80" t="s">
        <v>166</v>
      </c>
      <c r="C2869" s="80" t="s">
        <v>160</v>
      </c>
      <c r="D2869" s="73" t="s">
        <v>513</v>
      </c>
      <c r="E2869" s="74">
        <v>2</v>
      </c>
      <c r="F2869" s="78" t="s">
        <v>259</v>
      </c>
      <c r="G2869" s="77" t="s">
        <v>485</v>
      </c>
      <c r="H2869" t="str">
        <f>VLOOKUP(D2869,'DETALLE PRECIO INGREDIENTES'!B:B,1,0)</f>
        <v>PAPEL MANTEQUILLA 75 X100</v>
      </c>
    </row>
    <row r="2870" spans="2:8" hidden="1" x14ac:dyDescent="0.35">
      <c r="B2870" s="80" t="s">
        <v>166</v>
      </c>
      <c r="C2870" s="80" t="s">
        <v>160</v>
      </c>
      <c r="D2870" s="73" t="s">
        <v>228</v>
      </c>
      <c r="E2870" s="74">
        <v>4.3999999999999997E-2</v>
      </c>
      <c r="F2870" s="78" t="s">
        <v>222</v>
      </c>
      <c r="G2870" s="77" t="s">
        <v>220</v>
      </c>
      <c r="H2870" t="str">
        <f>VLOOKUP(D2870,'DETALLE PRECIO INGREDIENTES'!B:B,1,0)</f>
        <v>ACEITE DE MARAVILLA</v>
      </c>
    </row>
    <row r="2871" spans="2:8" hidden="1" x14ac:dyDescent="0.35">
      <c r="B2871" s="80" t="s">
        <v>166</v>
      </c>
      <c r="C2871" s="80" t="s">
        <v>159</v>
      </c>
      <c r="D2871" s="73" t="s">
        <v>354</v>
      </c>
      <c r="E2871" s="74">
        <v>0.2</v>
      </c>
      <c r="F2871" s="78" t="s">
        <v>237</v>
      </c>
      <c r="G2871" s="77" t="s">
        <v>220</v>
      </c>
      <c r="H2871" t="str">
        <f>VLOOKUP(D2871,'DETALLE PRECIO INGREDIENTES'!B:B,1,0)</f>
        <v>HARINA BIZCOCHERA</v>
      </c>
    </row>
    <row r="2872" spans="2:8" hidden="1" x14ac:dyDescent="0.35">
      <c r="B2872" s="80" t="s">
        <v>166</v>
      </c>
      <c r="C2872" s="80" t="s">
        <v>159</v>
      </c>
      <c r="D2872" s="73" t="s">
        <v>751</v>
      </c>
      <c r="E2872" s="74">
        <v>0.11</v>
      </c>
      <c r="F2872" s="78" t="s">
        <v>237</v>
      </c>
      <c r="G2872" s="77" t="s">
        <v>736</v>
      </c>
      <c r="H2872" t="str">
        <f>VLOOKUP(D2872,'DETALLE PRECIO INGREDIENTES'!B:B,1,0)</f>
        <v>MANTEQUILLA SIN SAL</v>
      </c>
    </row>
    <row r="2873" spans="2:8" hidden="1" x14ac:dyDescent="0.35">
      <c r="B2873" s="80" t="s">
        <v>166</v>
      </c>
      <c r="C2873" s="80" t="s">
        <v>159</v>
      </c>
      <c r="D2873" s="73" t="s">
        <v>278</v>
      </c>
      <c r="E2873" s="74">
        <v>0.1</v>
      </c>
      <c r="F2873" s="78" t="s">
        <v>237</v>
      </c>
      <c r="G2873" s="77" t="s">
        <v>220</v>
      </c>
      <c r="H2873" t="str">
        <f>VLOOKUP(D2873,'DETALLE PRECIO INGREDIENTES'!B:B,1,0)</f>
        <v>AZUCAR FLOR</v>
      </c>
    </row>
    <row r="2874" spans="2:8" hidden="1" x14ac:dyDescent="0.35">
      <c r="B2874" s="80" t="s">
        <v>166</v>
      </c>
      <c r="C2874" s="80" t="s">
        <v>159</v>
      </c>
      <c r="D2874" s="73" t="s">
        <v>729</v>
      </c>
      <c r="E2874" s="74">
        <v>7</v>
      </c>
      <c r="F2874" s="78" t="s">
        <v>259</v>
      </c>
      <c r="G2874" s="77" t="s">
        <v>728</v>
      </c>
      <c r="H2874" t="str">
        <f>VLOOKUP(D2874,'DETALLE PRECIO INGREDIENTES'!B:B,1,0)</f>
        <v>HUEVO EXTRA BLANCO</v>
      </c>
    </row>
    <row r="2875" spans="2:8" hidden="1" x14ac:dyDescent="0.35">
      <c r="B2875" s="80" t="s">
        <v>166</v>
      </c>
      <c r="C2875" s="80" t="s">
        <v>159</v>
      </c>
      <c r="D2875" s="73" t="s">
        <v>329</v>
      </c>
      <c r="E2875" s="74">
        <v>0.01</v>
      </c>
      <c r="F2875" s="78" t="s">
        <v>222</v>
      </c>
      <c r="G2875" s="77" t="s">
        <v>220</v>
      </c>
      <c r="H2875" t="str">
        <f>VLOOKUP(D2875,'DETALLE PRECIO INGREDIENTES'!B:B,1,0)</f>
        <v>ESENCIA DE VAINILLA</v>
      </c>
    </row>
    <row r="2876" spans="2:8" hidden="1" x14ac:dyDescent="0.35">
      <c r="B2876" s="80" t="s">
        <v>166</v>
      </c>
      <c r="C2876" s="80" t="s">
        <v>159</v>
      </c>
      <c r="D2876" s="73" t="s">
        <v>389</v>
      </c>
      <c r="E2876" s="74">
        <v>0.1</v>
      </c>
      <c r="F2876" s="78" t="s">
        <v>237</v>
      </c>
      <c r="G2876" s="77" t="s">
        <v>220</v>
      </c>
      <c r="H2876" t="str">
        <f>VLOOKUP(D2876,'DETALLE PRECIO INGREDIENTES'!B:B,1,0)</f>
        <v>MERMELADA DE FRAMBUESA</v>
      </c>
    </row>
    <row r="2877" spans="2:8" hidden="1" x14ac:dyDescent="0.35">
      <c r="B2877" s="80" t="s">
        <v>166</v>
      </c>
      <c r="C2877" s="80" t="s">
        <v>159</v>
      </c>
      <c r="D2877" s="73" t="s">
        <v>277</v>
      </c>
      <c r="E2877" s="74">
        <v>0.35</v>
      </c>
      <c r="F2877" s="78" t="s">
        <v>237</v>
      </c>
      <c r="G2877" s="77" t="s">
        <v>220</v>
      </c>
      <c r="H2877" t="str">
        <f>VLOOKUP(D2877,'DETALLE PRECIO INGREDIENTES'!B:B,1,0)</f>
        <v>AZUCAR BLANCA GRANULADA</v>
      </c>
    </row>
    <row r="2878" spans="2:8" hidden="1" x14ac:dyDescent="0.35">
      <c r="B2878" s="80" t="s">
        <v>166</v>
      </c>
      <c r="C2878" s="80" t="s">
        <v>159</v>
      </c>
      <c r="D2878" s="73" t="s">
        <v>375</v>
      </c>
      <c r="E2878" s="74">
        <v>6.4999999999999997E-3</v>
      </c>
      <c r="F2878" s="78" t="s">
        <v>237</v>
      </c>
      <c r="G2878" s="77" t="s">
        <v>220</v>
      </c>
      <c r="H2878" t="str">
        <f>VLOOKUP(D2878,'DETALLE PRECIO INGREDIENTES'!B:B,1,0)</f>
        <v>MAICENA</v>
      </c>
    </row>
    <row r="2879" spans="2:8" hidden="1" x14ac:dyDescent="0.35">
      <c r="B2879" s="80" t="s">
        <v>166</v>
      </c>
      <c r="C2879" s="80" t="s">
        <v>159</v>
      </c>
      <c r="D2879" s="73" t="s">
        <v>565</v>
      </c>
      <c r="E2879" s="74">
        <v>0.05</v>
      </c>
      <c r="F2879" s="78" t="s">
        <v>237</v>
      </c>
      <c r="G2879" s="77" t="s">
        <v>551</v>
      </c>
      <c r="H2879" t="str">
        <f>VLOOKUP(D2879,'DETALLE PRECIO INGREDIENTES'!B:B,1,0)</f>
        <v>COBERTURA AMARGA</v>
      </c>
    </row>
    <row r="2880" spans="2:8" hidden="1" x14ac:dyDescent="0.35">
      <c r="B2880" s="80" t="s">
        <v>166</v>
      </c>
      <c r="C2880" s="80" t="s">
        <v>159</v>
      </c>
      <c r="D2880" s="73" t="s">
        <v>787</v>
      </c>
      <c r="E2880" s="74">
        <v>2.5000000000000001E-2</v>
      </c>
      <c r="F2880" s="78" t="s">
        <v>259</v>
      </c>
      <c r="G2880" s="77" t="s">
        <v>776</v>
      </c>
      <c r="H2880" t="str">
        <f>VLOOKUP(D2880,'DETALLE PRECIO INGREDIENTES'!B:B,1,0)</f>
        <v>RON MITJANS DORADO</v>
      </c>
    </row>
    <row r="2881" spans="2:8" hidden="1" x14ac:dyDescent="0.35">
      <c r="B2881" s="80" t="s">
        <v>166</v>
      </c>
      <c r="C2881" s="80" t="s">
        <v>159</v>
      </c>
      <c r="D2881" s="73" t="s">
        <v>680</v>
      </c>
      <c r="E2881" s="74">
        <v>0.05</v>
      </c>
      <c r="F2881" s="78" t="s">
        <v>237</v>
      </c>
      <c r="G2881" s="77" t="s">
        <v>621</v>
      </c>
      <c r="H2881" t="str">
        <f>VLOOKUP(D2881,'DETALLE PRECIO INGREDIENTES'!B:B,1,0)</f>
        <v>LIMON DE JUGO</v>
      </c>
    </row>
    <row r="2882" spans="2:8" hidden="1" x14ac:dyDescent="0.35">
      <c r="B2882" s="80" t="s">
        <v>166</v>
      </c>
      <c r="C2882" s="80" t="s">
        <v>159</v>
      </c>
      <c r="D2882" s="73" t="s">
        <v>749</v>
      </c>
      <c r="E2882" s="74">
        <v>0.22</v>
      </c>
      <c r="F2882" s="78" t="s">
        <v>237</v>
      </c>
      <c r="G2882" s="77" t="s">
        <v>736</v>
      </c>
      <c r="H2882" t="str">
        <f>VLOOKUP(D2882,'DETALLE PRECIO INGREDIENTES'!B:B,1,0)</f>
        <v>MANJAR</v>
      </c>
    </row>
    <row r="2883" spans="2:8" hidden="1" x14ac:dyDescent="0.35">
      <c r="B2883" s="80" t="s">
        <v>166</v>
      </c>
      <c r="C2883" s="80" t="s">
        <v>159</v>
      </c>
      <c r="D2883" s="73" t="s">
        <v>502</v>
      </c>
      <c r="E2883" s="74">
        <v>1</v>
      </c>
      <c r="F2883" s="78" t="s">
        <v>259</v>
      </c>
      <c r="G2883" s="77" t="s">
        <v>485</v>
      </c>
      <c r="H2883" t="str">
        <f>VLOOKUP(D2883,'DETALLE PRECIO INGREDIENTES'!B:B,1,0)</f>
        <v>MANGAS DESECHABLES MEDIANAS</v>
      </c>
    </row>
    <row r="2884" spans="2:8" hidden="1" x14ac:dyDescent="0.35">
      <c r="B2884" s="80" t="s">
        <v>166</v>
      </c>
      <c r="C2884" s="80" t="s">
        <v>159</v>
      </c>
      <c r="D2884" s="73" t="s">
        <v>511</v>
      </c>
      <c r="E2884" s="74">
        <v>2</v>
      </c>
      <c r="F2884" s="78" t="s">
        <v>259</v>
      </c>
      <c r="G2884" s="77" t="s">
        <v>485</v>
      </c>
      <c r="H2884" t="str">
        <f>VLOOKUP(D2884,'DETALLE PRECIO INGREDIENTES'!B:B,1,0)</f>
        <v>PAPEL CERESINADO PLIEGO</v>
      </c>
    </row>
    <row r="2885" spans="2:8" hidden="1" x14ac:dyDescent="0.35">
      <c r="B2885" s="80" t="s">
        <v>166</v>
      </c>
      <c r="C2885" s="80" t="s">
        <v>158</v>
      </c>
      <c r="D2885" s="73" t="s">
        <v>354</v>
      </c>
      <c r="E2885" s="74">
        <v>0.34</v>
      </c>
      <c r="F2885" s="78" t="s">
        <v>237</v>
      </c>
      <c r="G2885" s="77" t="s">
        <v>220</v>
      </c>
      <c r="H2885" t="str">
        <f>VLOOKUP(D2885,'DETALLE PRECIO INGREDIENTES'!B:B,1,0)</f>
        <v>HARINA BIZCOCHERA</v>
      </c>
    </row>
    <row r="2886" spans="2:8" hidden="1" x14ac:dyDescent="0.35">
      <c r="B2886" s="80" t="s">
        <v>166</v>
      </c>
      <c r="C2886" s="80" t="s">
        <v>158</v>
      </c>
      <c r="D2886" s="73" t="s">
        <v>432</v>
      </c>
      <c r="E2886" s="74">
        <v>0.02</v>
      </c>
      <c r="F2886" s="78" t="s">
        <v>237</v>
      </c>
      <c r="G2886" s="77" t="s">
        <v>220</v>
      </c>
      <c r="H2886" t="str">
        <f>VLOOKUP(D2886,'DETALLE PRECIO INGREDIENTES'!B:B,1,0)</f>
        <v>POLVOS DE HORNEAR</v>
      </c>
    </row>
    <row r="2887" spans="2:8" hidden="1" x14ac:dyDescent="0.35">
      <c r="B2887" s="80" t="s">
        <v>166</v>
      </c>
      <c r="C2887" s="80" t="s">
        <v>158</v>
      </c>
      <c r="D2887" s="73" t="s">
        <v>751</v>
      </c>
      <c r="E2887" s="74">
        <v>0.34</v>
      </c>
      <c r="F2887" s="78" t="s">
        <v>237</v>
      </c>
      <c r="G2887" s="77" t="s">
        <v>736</v>
      </c>
      <c r="H2887" t="str">
        <f>VLOOKUP(D2887,'DETALLE PRECIO INGREDIENTES'!B:B,1,0)</f>
        <v>MANTEQUILLA SIN SAL</v>
      </c>
    </row>
    <row r="2888" spans="2:8" hidden="1" x14ac:dyDescent="0.35">
      <c r="B2888" s="80" t="s">
        <v>166</v>
      </c>
      <c r="C2888" s="80" t="s">
        <v>158</v>
      </c>
      <c r="D2888" s="73" t="s">
        <v>277</v>
      </c>
      <c r="E2888" s="74">
        <v>0.17499999999999999</v>
      </c>
      <c r="F2888" s="78" t="s">
        <v>237</v>
      </c>
      <c r="G2888" s="77" t="s">
        <v>220</v>
      </c>
      <c r="H2888" t="str">
        <f>VLOOKUP(D2888,'DETALLE PRECIO INGREDIENTES'!B:B,1,0)</f>
        <v>AZUCAR BLANCA GRANULADA</v>
      </c>
    </row>
    <row r="2889" spans="2:8" hidden="1" x14ac:dyDescent="0.35">
      <c r="B2889" s="80" t="s">
        <v>166</v>
      </c>
      <c r="C2889" s="80" t="s">
        <v>158</v>
      </c>
      <c r="D2889" s="73" t="s">
        <v>748</v>
      </c>
      <c r="E2889" s="74">
        <v>0.15</v>
      </c>
      <c r="F2889" s="78" t="s">
        <v>222</v>
      </c>
      <c r="G2889" s="77" t="s">
        <v>736</v>
      </c>
      <c r="H2889" t="str">
        <f>VLOOKUP(D2889,'DETALLE PRECIO INGREDIENTES'!B:B,1,0)</f>
        <v>LECHE ENTERA</v>
      </c>
    </row>
    <row r="2890" spans="2:8" hidden="1" x14ac:dyDescent="0.35">
      <c r="B2890" s="80" t="s">
        <v>166</v>
      </c>
      <c r="C2890" s="80" t="s">
        <v>158</v>
      </c>
      <c r="D2890" s="73" t="s">
        <v>680</v>
      </c>
      <c r="E2890" s="74">
        <v>0.08</v>
      </c>
      <c r="F2890" s="78" t="s">
        <v>237</v>
      </c>
      <c r="G2890" s="77" t="s">
        <v>621</v>
      </c>
      <c r="H2890" t="str">
        <f>VLOOKUP(D2890,'DETALLE PRECIO INGREDIENTES'!B:B,1,0)</f>
        <v>LIMON DE JUGO</v>
      </c>
    </row>
    <row r="2891" spans="2:8" hidden="1" x14ac:dyDescent="0.35">
      <c r="B2891" s="80" t="s">
        <v>166</v>
      </c>
      <c r="C2891" s="80" t="s">
        <v>158</v>
      </c>
      <c r="D2891" s="73" t="s">
        <v>752</v>
      </c>
      <c r="E2891" s="74">
        <v>0.04</v>
      </c>
      <c r="F2891" s="78" t="s">
        <v>237</v>
      </c>
      <c r="G2891" s="77" t="s">
        <v>736</v>
      </c>
      <c r="H2891" t="str">
        <f>VLOOKUP(D2891,'DETALLE PRECIO INGREDIENTES'!B:B,1,0)</f>
        <v>MARGARINA</v>
      </c>
    </row>
    <row r="2892" spans="2:8" hidden="1" x14ac:dyDescent="0.35">
      <c r="B2892" s="80" t="s">
        <v>166</v>
      </c>
      <c r="C2892" s="80" t="s">
        <v>158</v>
      </c>
      <c r="D2892" s="73" t="s">
        <v>729</v>
      </c>
      <c r="E2892" s="74">
        <v>3.5</v>
      </c>
      <c r="F2892" s="78" t="s">
        <v>259</v>
      </c>
      <c r="G2892" s="77" t="s">
        <v>728</v>
      </c>
      <c r="H2892" t="str">
        <f>VLOOKUP(D2892,'DETALLE PRECIO INGREDIENTES'!B:B,1,0)</f>
        <v>HUEVO EXTRA BLANCO</v>
      </c>
    </row>
    <row r="2893" spans="2:8" hidden="1" x14ac:dyDescent="0.35">
      <c r="B2893" s="80" t="s">
        <v>166</v>
      </c>
      <c r="C2893" s="80" t="s">
        <v>158</v>
      </c>
      <c r="D2893" s="73" t="s">
        <v>278</v>
      </c>
      <c r="E2893" s="74">
        <v>0.1</v>
      </c>
      <c r="F2893" s="78" t="s">
        <v>237</v>
      </c>
      <c r="G2893" s="77" t="s">
        <v>220</v>
      </c>
      <c r="H2893" t="str">
        <f>VLOOKUP(D2893,'DETALLE PRECIO INGREDIENTES'!B:B,1,0)</f>
        <v>AZUCAR FLOR</v>
      </c>
    </row>
    <row r="2894" spans="2:8" hidden="1" x14ac:dyDescent="0.35">
      <c r="B2894" s="80" t="s">
        <v>166</v>
      </c>
      <c r="C2894" s="80" t="s">
        <v>158</v>
      </c>
      <c r="D2894" s="73" t="s">
        <v>329</v>
      </c>
      <c r="E2894" s="74">
        <v>1.0999999999999999E-2</v>
      </c>
      <c r="F2894" s="78" t="s">
        <v>222</v>
      </c>
      <c r="G2894" s="77" t="s">
        <v>220</v>
      </c>
      <c r="H2894" t="str">
        <f>VLOOKUP(D2894,'DETALLE PRECIO INGREDIENTES'!B:B,1,0)</f>
        <v>ESENCIA DE VAINILLA</v>
      </c>
    </row>
    <row r="2895" spans="2:8" hidden="1" x14ac:dyDescent="0.35">
      <c r="B2895" s="80" t="s">
        <v>166</v>
      </c>
      <c r="C2895" s="80" t="s">
        <v>158</v>
      </c>
      <c r="D2895" s="73" t="s">
        <v>553</v>
      </c>
      <c r="E2895" s="74">
        <v>1.4999999999999999E-2</v>
      </c>
      <c r="F2895" s="78" t="s">
        <v>237</v>
      </c>
      <c r="G2895" s="77" t="s">
        <v>551</v>
      </c>
      <c r="H2895" t="str">
        <f>VLOOKUP(D2895,'DETALLE PRECIO INGREDIENTES'!B:B,1,0)</f>
        <v>CACAO EN POLVO ALCALINO</v>
      </c>
    </row>
    <row r="2896" spans="2:8" hidden="1" x14ac:dyDescent="0.35">
      <c r="B2896" s="80" t="s">
        <v>166</v>
      </c>
      <c r="C2896" s="80" t="s">
        <v>158</v>
      </c>
      <c r="D2896" s="73" t="s">
        <v>511</v>
      </c>
      <c r="E2896" s="74">
        <v>0.5</v>
      </c>
      <c r="F2896" s="78" t="s">
        <v>259</v>
      </c>
      <c r="G2896" s="77" t="s">
        <v>485</v>
      </c>
      <c r="H2896" t="str">
        <f>VLOOKUP(D2896,'DETALLE PRECIO INGREDIENTES'!B:B,1,0)</f>
        <v>PAPEL CERESINADO PLIEGO</v>
      </c>
    </row>
    <row r="2897" spans="2:8" hidden="1" x14ac:dyDescent="0.35">
      <c r="B2897" s="80" t="s">
        <v>166</v>
      </c>
      <c r="C2897" s="80" t="s">
        <v>158</v>
      </c>
      <c r="D2897" s="73" t="s">
        <v>505</v>
      </c>
      <c r="E2897" s="74">
        <v>0.5</v>
      </c>
      <c r="F2897" s="78" t="s">
        <v>259</v>
      </c>
      <c r="G2897" s="77" t="s">
        <v>485</v>
      </c>
      <c r="H2897" t="str">
        <f>VLOOKUP(D2897,'DETALLE PRECIO INGREDIENTES'!B:B,1,0)</f>
        <v>MOLDE PAN DE PASCUA 1/2 KG</v>
      </c>
    </row>
    <row r="2898" spans="2:8" hidden="1" x14ac:dyDescent="0.35">
      <c r="B2898" s="80" t="s">
        <v>166</v>
      </c>
      <c r="C2898" s="80" t="s">
        <v>158</v>
      </c>
      <c r="D2898" s="73" t="s">
        <v>739</v>
      </c>
      <c r="E2898" s="74">
        <v>0.03</v>
      </c>
      <c r="F2898" s="78" t="s">
        <v>222</v>
      </c>
      <c r="G2898" s="77" t="s">
        <v>736</v>
      </c>
      <c r="H2898" t="str">
        <f>VLOOKUP(D2898,'DETALLE PRECIO INGREDIENTES'!B:B,1,0)</f>
        <v>CREMA DE LECHE</v>
      </c>
    </row>
    <row r="2899" spans="2:8" hidden="1" x14ac:dyDescent="0.35">
      <c r="B2899" s="80" t="s">
        <v>166</v>
      </c>
      <c r="C2899" s="80" t="s">
        <v>158</v>
      </c>
      <c r="D2899" s="73" t="s">
        <v>787</v>
      </c>
      <c r="E2899" s="74">
        <v>5.0000000000000001E-3</v>
      </c>
      <c r="F2899" s="78" t="s">
        <v>259</v>
      </c>
      <c r="G2899" s="77" t="s">
        <v>776</v>
      </c>
      <c r="H2899" t="str">
        <f>VLOOKUP(D2899,'DETALLE PRECIO INGREDIENTES'!B:B,1,0)</f>
        <v>RON MITJANS DORADO</v>
      </c>
    </row>
    <row r="2900" spans="2:8" hidden="1" x14ac:dyDescent="0.35">
      <c r="B2900" s="80" t="s">
        <v>166</v>
      </c>
      <c r="C2900" s="80" t="s">
        <v>158</v>
      </c>
      <c r="D2900" s="73" t="s">
        <v>558</v>
      </c>
      <c r="E2900" s="74">
        <v>2.5000000000000001E-2</v>
      </c>
      <c r="F2900" s="78" t="s">
        <v>237</v>
      </c>
      <c r="G2900" s="77" t="s">
        <v>551</v>
      </c>
      <c r="H2900" t="str">
        <f>VLOOKUP(D2900,'DETALLE PRECIO INGREDIENTES'!B:B,1,0)</f>
        <v>CHOCOLATE AMARGO 65%</v>
      </c>
    </row>
    <row r="2901" spans="2:8" hidden="1" x14ac:dyDescent="0.35">
      <c r="B2901" s="80" t="s">
        <v>166</v>
      </c>
      <c r="C2901" s="80" t="s">
        <v>158</v>
      </c>
      <c r="D2901" s="73" t="s">
        <v>403</v>
      </c>
      <c r="E2901" s="74">
        <v>0.02</v>
      </c>
      <c r="F2901" s="78" t="s">
        <v>237</v>
      </c>
      <c r="G2901" s="77" t="s">
        <v>220</v>
      </c>
      <c r="H2901" t="str">
        <f>VLOOKUP(D2901,'DETALLE PRECIO INGREDIENTES'!B:B,1,0)</f>
        <v>NUEZ MARIPOSA</v>
      </c>
    </row>
    <row r="2902" spans="2:8" hidden="1" x14ac:dyDescent="0.35">
      <c r="B2902" s="80" t="s">
        <v>166</v>
      </c>
      <c r="C2902" s="80" t="s">
        <v>158</v>
      </c>
      <c r="D2902" s="73" t="s">
        <v>445</v>
      </c>
      <c r="E2902" s="74">
        <v>1E-3</v>
      </c>
      <c r="F2902" s="78" t="s">
        <v>237</v>
      </c>
      <c r="G2902" s="77" t="s">
        <v>220</v>
      </c>
      <c r="H2902" t="str">
        <f>VLOOKUP(D2902,'DETALLE PRECIO INGREDIENTES'!B:B,1,0)</f>
        <v>SAL DE MESA LOBOS</v>
      </c>
    </row>
    <row r="2903" spans="2:8" hidden="1" x14ac:dyDescent="0.35">
      <c r="B2903" s="80" t="s">
        <v>166</v>
      </c>
      <c r="C2903" s="80" t="s">
        <v>158</v>
      </c>
      <c r="D2903" s="73" t="s">
        <v>496</v>
      </c>
      <c r="E2903" s="74">
        <v>2.5</v>
      </c>
      <c r="F2903" s="78" t="s">
        <v>259</v>
      </c>
      <c r="G2903" s="77" t="s">
        <v>485</v>
      </c>
      <c r="H2903" t="str">
        <f>VLOOKUP(D2903,'DETALLE PRECIO INGREDIENTES'!B:B,1,0)</f>
        <v>CAPSULAS CERECINADAS N°8</v>
      </c>
    </row>
    <row r="2904" spans="2:8" hidden="1" x14ac:dyDescent="0.35">
      <c r="B2904" s="80" t="s">
        <v>166</v>
      </c>
      <c r="C2904" s="80" t="s">
        <v>158</v>
      </c>
      <c r="D2904" s="73" t="s">
        <v>566</v>
      </c>
      <c r="E2904" s="74">
        <v>0.02</v>
      </c>
      <c r="F2904" s="78" t="s">
        <v>237</v>
      </c>
      <c r="G2904" s="77" t="s">
        <v>551</v>
      </c>
      <c r="H2904" t="str">
        <f>VLOOKUP(D2904,'DETALLE PRECIO INGREDIENTES'!B:B,1,0)</f>
        <v>COBERTURA BLANCA</v>
      </c>
    </row>
    <row r="2905" spans="2:8" hidden="1" x14ac:dyDescent="0.35">
      <c r="B2905" s="80" t="s">
        <v>166</v>
      </c>
      <c r="C2905" s="80" t="s">
        <v>158</v>
      </c>
      <c r="D2905" s="73" t="s">
        <v>565</v>
      </c>
      <c r="E2905" s="74">
        <v>0.03</v>
      </c>
      <c r="F2905" s="78" t="s">
        <v>237</v>
      </c>
      <c r="G2905" s="77" t="s">
        <v>551</v>
      </c>
      <c r="H2905" t="str">
        <f>VLOOKUP(D2905,'DETALLE PRECIO INGREDIENTES'!B:B,1,0)</f>
        <v>COBERTURA AMARGA</v>
      </c>
    </row>
    <row r="2906" spans="2:8" hidden="1" x14ac:dyDescent="0.35">
      <c r="B2906" s="80" t="s">
        <v>166</v>
      </c>
      <c r="C2906" s="80" t="s">
        <v>158</v>
      </c>
      <c r="D2906" s="73" t="s">
        <v>502</v>
      </c>
      <c r="E2906" s="74">
        <v>1</v>
      </c>
      <c r="F2906" s="78" t="s">
        <v>259</v>
      </c>
      <c r="G2906" s="77" t="s">
        <v>485</v>
      </c>
      <c r="H2906" t="str">
        <f>VLOOKUP(D2906,'DETALLE PRECIO INGREDIENTES'!B:B,1,0)</f>
        <v>MANGAS DESECHABLES MEDIANAS</v>
      </c>
    </row>
    <row r="2907" spans="2:8" hidden="1" x14ac:dyDescent="0.35">
      <c r="B2907" s="80" t="s">
        <v>166</v>
      </c>
      <c r="C2907" s="80" t="s">
        <v>157</v>
      </c>
      <c r="D2907" s="73" t="s">
        <v>729</v>
      </c>
      <c r="E2907" s="74">
        <v>4</v>
      </c>
      <c r="F2907" s="78" t="s">
        <v>259</v>
      </c>
      <c r="G2907" s="77" t="s">
        <v>728</v>
      </c>
      <c r="H2907" t="str">
        <f>VLOOKUP(D2907,'DETALLE PRECIO INGREDIENTES'!B:B,1,0)</f>
        <v>HUEVO EXTRA BLANCO</v>
      </c>
    </row>
    <row r="2908" spans="2:8" hidden="1" x14ac:dyDescent="0.35">
      <c r="B2908" s="80" t="s">
        <v>166</v>
      </c>
      <c r="C2908" s="80" t="s">
        <v>157</v>
      </c>
      <c r="D2908" s="73" t="s">
        <v>278</v>
      </c>
      <c r="E2908" s="74">
        <v>0.23</v>
      </c>
      <c r="F2908" s="78" t="s">
        <v>237</v>
      </c>
      <c r="G2908" s="77" t="s">
        <v>220</v>
      </c>
      <c r="H2908" t="str">
        <f>VLOOKUP(D2908,'DETALLE PRECIO INGREDIENTES'!B:B,1,0)</f>
        <v>AZUCAR FLOR</v>
      </c>
    </row>
    <row r="2909" spans="2:8" hidden="1" x14ac:dyDescent="0.35">
      <c r="B2909" s="80" t="s">
        <v>166</v>
      </c>
      <c r="C2909" s="80" t="s">
        <v>157</v>
      </c>
      <c r="D2909" s="73" t="s">
        <v>634</v>
      </c>
      <c r="E2909" s="74">
        <v>0.1</v>
      </c>
      <c r="F2909" s="78" t="s">
        <v>237</v>
      </c>
      <c r="G2909" s="77" t="s">
        <v>621</v>
      </c>
      <c r="H2909" t="str">
        <f>VLOOKUP(D2909,'DETALLE PRECIO INGREDIENTES'!B:B,1,0)</f>
        <v>ARANDANOS FRESCOS</v>
      </c>
    </row>
    <row r="2910" spans="2:8" hidden="1" x14ac:dyDescent="0.35">
      <c r="B2910" s="80" t="s">
        <v>166</v>
      </c>
      <c r="C2910" s="80" t="s">
        <v>157</v>
      </c>
      <c r="D2910" s="73" t="s">
        <v>669</v>
      </c>
      <c r="E2910" s="74">
        <v>0.05</v>
      </c>
      <c r="F2910" s="78" t="s">
        <v>237</v>
      </c>
      <c r="G2910" s="77" t="s">
        <v>621</v>
      </c>
      <c r="H2910" t="str">
        <f>VLOOKUP(D2910,'DETALLE PRECIO INGREDIENTES'!B:B,1,0)</f>
        <v>FRAMBUESA FRESCA</v>
      </c>
    </row>
    <row r="2911" spans="2:8" hidden="1" x14ac:dyDescent="0.35">
      <c r="B2911" s="80" t="s">
        <v>166</v>
      </c>
      <c r="C2911" s="80" t="s">
        <v>157</v>
      </c>
      <c r="D2911" s="73" t="s">
        <v>739</v>
      </c>
      <c r="E2911" s="74">
        <v>0.15</v>
      </c>
      <c r="F2911" s="78" t="s">
        <v>222</v>
      </c>
      <c r="G2911" s="77" t="s">
        <v>736</v>
      </c>
      <c r="H2911" t="str">
        <f>VLOOKUP(D2911,'DETALLE PRECIO INGREDIENTES'!B:B,1,0)</f>
        <v>CREMA DE LECHE</v>
      </c>
    </row>
    <row r="2912" spans="2:8" hidden="1" x14ac:dyDescent="0.35">
      <c r="B2912" s="80" t="s">
        <v>166</v>
      </c>
      <c r="C2912" s="80" t="s">
        <v>157</v>
      </c>
      <c r="D2912" s="73" t="s">
        <v>749</v>
      </c>
      <c r="E2912" s="74">
        <v>0.08</v>
      </c>
      <c r="F2912" s="78" t="s">
        <v>237</v>
      </c>
      <c r="G2912" s="77" t="s">
        <v>736</v>
      </c>
      <c r="H2912" t="str">
        <f>VLOOKUP(D2912,'DETALLE PRECIO INGREDIENTES'!B:B,1,0)</f>
        <v>MANJAR</v>
      </c>
    </row>
    <row r="2913" spans="2:8" hidden="1" x14ac:dyDescent="0.35">
      <c r="B2913" s="80" t="s">
        <v>166</v>
      </c>
      <c r="C2913" s="80" t="s">
        <v>157</v>
      </c>
      <c r="D2913" s="73" t="s">
        <v>329</v>
      </c>
      <c r="E2913" s="74">
        <v>1E-3</v>
      </c>
      <c r="F2913" s="78" t="s">
        <v>222</v>
      </c>
      <c r="G2913" s="77" t="s">
        <v>220</v>
      </c>
      <c r="H2913" t="str">
        <f>VLOOKUP(D2913,'DETALLE PRECIO INGREDIENTES'!B:B,1,0)</f>
        <v>ESENCIA DE VAINILLA</v>
      </c>
    </row>
    <row r="2914" spans="2:8" hidden="1" x14ac:dyDescent="0.35">
      <c r="B2914" s="80" t="s">
        <v>166</v>
      </c>
      <c r="C2914" s="80" t="s">
        <v>157</v>
      </c>
      <c r="D2914" s="73" t="s">
        <v>598</v>
      </c>
      <c r="E2914" s="74">
        <v>0.1</v>
      </c>
      <c r="F2914" s="78" t="s">
        <v>237</v>
      </c>
      <c r="G2914" s="77" t="s">
        <v>587</v>
      </c>
      <c r="H2914" t="str">
        <f>VLOOKUP(D2914,'DETALLE PRECIO INGREDIENTES'!B:B,1,0)</f>
        <v>PULPA DE MARACUYA S/AZUCAR</v>
      </c>
    </row>
    <row r="2915" spans="2:8" hidden="1" x14ac:dyDescent="0.35">
      <c r="B2915" s="80" t="s">
        <v>166</v>
      </c>
      <c r="C2915" s="80" t="s">
        <v>157</v>
      </c>
      <c r="D2915" s="73" t="s">
        <v>597</v>
      </c>
      <c r="E2915" s="74">
        <v>0.03</v>
      </c>
      <c r="F2915" s="78" t="s">
        <v>237</v>
      </c>
      <c r="G2915" s="77" t="s">
        <v>587</v>
      </c>
      <c r="H2915" t="str">
        <f>VLOOKUP(D2915,'DETALLE PRECIO INGREDIENTES'!B:B,1,0)</f>
        <v>PULPA DE MANGO S/AZUCAR</v>
      </c>
    </row>
    <row r="2916" spans="2:8" hidden="1" x14ac:dyDescent="0.35">
      <c r="B2916" s="80" t="s">
        <v>166</v>
      </c>
      <c r="C2916" s="80" t="s">
        <v>157</v>
      </c>
      <c r="D2916" s="73" t="s">
        <v>375</v>
      </c>
      <c r="E2916" s="74">
        <v>0.02</v>
      </c>
      <c r="F2916" s="78" t="s">
        <v>237</v>
      </c>
      <c r="G2916" s="77" t="s">
        <v>220</v>
      </c>
      <c r="H2916" t="str">
        <f>VLOOKUP(D2916,'DETALLE PRECIO INGREDIENTES'!B:B,1,0)</f>
        <v>MAICENA</v>
      </c>
    </row>
    <row r="2917" spans="2:8" hidden="1" x14ac:dyDescent="0.35">
      <c r="B2917" s="80" t="s">
        <v>166</v>
      </c>
      <c r="C2917" s="80" t="s">
        <v>157</v>
      </c>
      <c r="D2917" s="73" t="s">
        <v>748</v>
      </c>
      <c r="E2917" s="74">
        <v>0.13</v>
      </c>
      <c r="F2917" s="78" t="s">
        <v>222</v>
      </c>
      <c r="G2917" s="77" t="s">
        <v>736</v>
      </c>
      <c r="H2917" t="str">
        <f>VLOOKUP(D2917,'DETALLE PRECIO INGREDIENTES'!B:B,1,0)</f>
        <v>LECHE ENTERA</v>
      </c>
    </row>
    <row r="2918" spans="2:8" hidden="1" x14ac:dyDescent="0.35">
      <c r="B2918" s="80" t="s">
        <v>166</v>
      </c>
      <c r="C2918" s="80" t="s">
        <v>157</v>
      </c>
      <c r="D2918" s="73" t="s">
        <v>277</v>
      </c>
      <c r="E2918" s="74">
        <v>0.18</v>
      </c>
      <c r="F2918" s="78" t="s">
        <v>237</v>
      </c>
      <c r="G2918" s="77" t="s">
        <v>220</v>
      </c>
      <c r="H2918" t="str">
        <f>VLOOKUP(D2918,'DETALLE PRECIO INGREDIENTES'!B:B,1,0)</f>
        <v>AZUCAR BLANCA GRANULADA</v>
      </c>
    </row>
    <row r="2919" spans="2:8" hidden="1" x14ac:dyDescent="0.35">
      <c r="B2919" s="80" t="s">
        <v>166</v>
      </c>
      <c r="C2919" s="80" t="s">
        <v>157</v>
      </c>
      <c r="D2919" s="73" t="s">
        <v>511</v>
      </c>
      <c r="E2919" s="74">
        <v>0.5</v>
      </c>
      <c r="F2919" s="78" t="s">
        <v>259</v>
      </c>
      <c r="G2919" s="77" t="s">
        <v>485</v>
      </c>
      <c r="H2919" t="str">
        <f>VLOOKUP(D2919,'DETALLE PRECIO INGREDIENTES'!B:B,1,0)</f>
        <v>PAPEL CERESINADO PLIEGO</v>
      </c>
    </row>
    <row r="2920" spans="2:8" hidden="1" x14ac:dyDescent="0.35">
      <c r="B2920" s="80" t="s">
        <v>166</v>
      </c>
      <c r="C2920" s="80" t="s">
        <v>157</v>
      </c>
      <c r="D2920" s="73" t="s">
        <v>502</v>
      </c>
      <c r="E2920" s="74">
        <v>1</v>
      </c>
      <c r="F2920" s="78" t="s">
        <v>259</v>
      </c>
      <c r="G2920" s="77" t="s">
        <v>485</v>
      </c>
      <c r="H2920" t="str">
        <f>VLOOKUP(D2920,'DETALLE PRECIO INGREDIENTES'!B:B,1,0)</f>
        <v>MANGAS DESECHABLES MEDIANAS</v>
      </c>
    </row>
    <row r="2921" spans="2:8" hidden="1" x14ac:dyDescent="0.35">
      <c r="B2921" s="80" t="s">
        <v>166</v>
      </c>
      <c r="C2921" s="80" t="s">
        <v>157</v>
      </c>
      <c r="D2921" s="73" t="s">
        <v>445</v>
      </c>
      <c r="E2921" s="74">
        <v>1.0999999999999999E-2</v>
      </c>
      <c r="F2921" s="78" t="s">
        <v>237</v>
      </c>
      <c r="G2921" s="77" t="s">
        <v>220</v>
      </c>
      <c r="H2921" t="str">
        <f>VLOOKUP(D2921,'DETALLE PRECIO INGREDIENTES'!B:B,1,0)</f>
        <v>SAL DE MESA LOBOS</v>
      </c>
    </row>
    <row r="2922" spans="2:8" hidden="1" x14ac:dyDescent="0.35">
      <c r="B2922" s="80" t="s">
        <v>166</v>
      </c>
      <c r="C2922" s="80" t="s">
        <v>156</v>
      </c>
      <c r="D2922" s="73" t="s">
        <v>729</v>
      </c>
      <c r="E2922" s="74">
        <v>4</v>
      </c>
      <c r="F2922" s="78" t="s">
        <v>259</v>
      </c>
      <c r="G2922" s="77" t="s">
        <v>728</v>
      </c>
      <c r="H2922" t="str">
        <f>VLOOKUP(D2922,'DETALLE PRECIO INGREDIENTES'!B:B,1,0)</f>
        <v>HUEVO EXTRA BLANCO</v>
      </c>
    </row>
    <row r="2923" spans="2:8" hidden="1" x14ac:dyDescent="0.35">
      <c r="B2923" s="80" t="s">
        <v>166</v>
      </c>
      <c r="C2923" s="80" t="s">
        <v>156</v>
      </c>
      <c r="D2923" s="73" t="s">
        <v>354</v>
      </c>
      <c r="E2923" s="74">
        <v>0.1</v>
      </c>
      <c r="F2923" s="78" t="s">
        <v>237</v>
      </c>
      <c r="G2923" s="77" t="s">
        <v>220</v>
      </c>
      <c r="H2923" t="str">
        <f>VLOOKUP(D2923,'DETALLE PRECIO INGREDIENTES'!B:B,1,0)</f>
        <v>HARINA BIZCOCHERA</v>
      </c>
    </row>
    <row r="2924" spans="2:8" hidden="1" x14ac:dyDescent="0.35">
      <c r="B2924" s="80" t="s">
        <v>166</v>
      </c>
      <c r="C2924" s="80" t="s">
        <v>156</v>
      </c>
      <c r="D2924" s="73" t="s">
        <v>277</v>
      </c>
      <c r="E2924" s="74">
        <v>0.1</v>
      </c>
      <c r="F2924" s="78" t="s">
        <v>237</v>
      </c>
      <c r="G2924" s="77" t="s">
        <v>220</v>
      </c>
      <c r="H2924" t="str">
        <f>VLOOKUP(D2924,'DETALLE PRECIO INGREDIENTES'!B:B,1,0)</f>
        <v>AZUCAR BLANCA GRANULADA</v>
      </c>
    </row>
    <row r="2925" spans="2:8" hidden="1" x14ac:dyDescent="0.35">
      <c r="B2925" s="80" t="s">
        <v>166</v>
      </c>
      <c r="C2925" s="80" t="s">
        <v>156</v>
      </c>
      <c r="D2925" s="73" t="s">
        <v>329</v>
      </c>
      <c r="E2925" s="74">
        <v>0.01</v>
      </c>
      <c r="F2925" s="78" t="s">
        <v>222</v>
      </c>
      <c r="G2925" s="77" t="s">
        <v>220</v>
      </c>
      <c r="H2925" t="str">
        <f>VLOOKUP(D2925,'DETALLE PRECIO INGREDIENTES'!B:B,1,0)</f>
        <v>ESENCIA DE VAINILLA</v>
      </c>
    </row>
    <row r="2926" spans="2:8" hidden="1" x14ac:dyDescent="0.35">
      <c r="B2926" s="80" t="s">
        <v>166</v>
      </c>
      <c r="C2926" s="80" t="s">
        <v>156</v>
      </c>
      <c r="D2926" s="73" t="s">
        <v>375</v>
      </c>
      <c r="E2926" s="74">
        <v>4.5499999999999999E-2</v>
      </c>
      <c r="F2926" s="78" t="s">
        <v>237</v>
      </c>
      <c r="G2926" s="77" t="s">
        <v>220</v>
      </c>
      <c r="H2926" t="str">
        <f>VLOOKUP(D2926,'DETALLE PRECIO INGREDIENTES'!B:B,1,0)</f>
        <v>MAICENA</v>
      </c>
    </row>
    <row r="2927" spans="2:8" hidden="1" x14ac:dyDescent="0.35">
      <c r="B2927" s="80" t="s">
        <v>166</v>
      </c>
      <c r="C2927" s="80" t="s">
        <v>156</v>
      </c>
      <c r="D2927" s="73" t="s">
        <v>429</v>
      </c>
      <c r="E2927" s="74">
        <v>0.1</v>
      </c>
      <c r="F2927" s="78" t="s">
        <v>237</v>
      </c>
      <c r="G2927" s="77" t="s">
        <v>220</v>
      </c>
      <c r="H2927" t="str">
        <f>VLOOKUP(D2927,'DETALLE PRECIO INGREDIENTES'!B:B,1,0)</f>
        <v>PIÑA RODAJA CONSERVA</v>
      </c>
    </row>
    <row r="2928" spans="2:8" hidden="1" x14ac:dyDescent="0.35">
      <c r="B2928" s="80" t="s">
        <v>166</v>
      </c>
      <c r="C2928" s="80" t="s">
        <v>156</v>
      </c>
      <c r="D2928" s="73" t="s">
        <v>313</v>
      </c>
      <c r="E2928" s="74">
        <v>0.06</v>
      </c>
      <c r="F2928" s="78" t="s">
        <v>222</v>
      </c>
      <c r="G2928" s="77" t="s">
        <v>220</v>
      </c>
      <c r="H2928" t="str">
        <f>VLOOKUP(D2928,'DETALLE PRECIO INGREDIENTES'!B:B,1,0)</f>
        <v>CREMA MIX VEGETAL</v>
      </c>
    </row>
    <row r="2929" spans="2:8" hidden="1" x14ac:dyDescent="0.35">
      <c r="B2929" s="80" t="s">
        <v>166</v>
      </c>
      <c r="C2929" s="80" t="s">
        <v>156</v>
      </c>
      <c r="D2929" s="73" t="s">
        <v>739</v>
      </c>
      <c r="E2929" s="74">
        <v>0.35</v>
      </c>
      <c r="F2929" s="78" t="s">
        <v>222</v>
      </c>
      <c r="G2929" s="77" t="s">
        <v>736</v>
      </c>
      <c r="H2929" t="str">
        <f>VLOOKUP(D2929,'DETALLE PRECIO INGREDIENTES'!B:B,1,0)</f>
        <v>CREMA DE LECHE</v>
      </c>
    </row>
    <row r="2930" spans="2:8" hidden="1" x14ac:dyDescent="0.35">
      <c r="B2930" s="80" t="s">
        <v>166</v>
      </c>
      <c r="C2930" s="80" t="s">
        <v>156</v>
      </c>
      <c r="D2930" s="73" t="s">
        <v>278</v>
      </c>
      <c r="E2930" s="74">
        <v>7.0000000000000007E-2</v>
      </c>
      <c r="F2930" s="78" t="s">
        <v>237</v>
      </c>
      <c r="G2930" s="77" t="s">
        <v>220</v>
      </c>
      <c r="H2930" t="str">
        <f>VLOOKUP(D2930,'DETALLE PRECIO INGREDIENTES'!B:B,1,0)</f>
        <v>AZUCAR FLOR</v>
      </c>
    </row>
    <row r="2931" spans="2:8" hidden="1" x14ac:dyDescent="0.35">
      <c r="B2931" s="80" t="s">
        <v>166</v>
      </c>
      <c r="C2931" s="80" t="s">
        <v>156</v>
      </c>
      <c r="D2931" s="73" t="s">
        <v>391</v>
      </c>
      <c r="E2931" s="74">
        <v>0.05</v>
      </c>
      <c r="F2931" s="78" t="s">
        <v>237</v>
      </c>
      <c r="G2931" s="77" t="s">
        <v>220</v>
      </c>
      <c r="H2931" t="str">
        <f>VLOOKUP(D2931,'DETALLE PRECIO INGREDIENTES'!B:B,1,0)</f>
        <v>MERMELADA DE PIÑA</v>
      </c>
    </row>
    <row r="2932" spans="2:8" hidden="1" x14ac:dyDescent="0.35">
      <c r="B2932" s="80" t="s">
        <v>166</v>
      </c>
      <c r="C2932" s="80" t="s">
        <v>156</v>
      </c>
      <c r="D2932" s="73" t="s">
        <v>565</v>
      </c>
      <c r="E2932" s="74">
        <v>7.0000000000000007E-2</v>
      </c>
      <c r="F2932" s="78" t="s">
        <v>237</v>
      </c>
      <c r="G2932" s="77" t="s">
        <v>551</v>
      </c>
      <c r="H2932" t="str">
        <f>VLOOKUP(D2932,'DETALLE PRECIO INGREDIENTES'!B:B,1,0)</f>
        <v>COBERTURA AMARGA</v>
      </c>
    </row>
    <row r="2933" spans="2:8" hidden="1" x14ac:dyDescent="0.35">
      <c r="B2933" s="80" t="s">
        <v>166</v>
      </c>
      <c r="C2933" s="80" t="s">
        <v>156</v>
      </c>
      <c r="D2933" s="73" t="s">
        <v>554</v>
      </c>
      <c r="E2933" s="74">
        <v>0.01</v>
      </c>
      <c r="F2933" s="78" t="s">
        <v>237</v>
      </c>
      <c r="G2933" s="77" t="s">
        <v>551</v>
      </c>
      <c r="H2933" t="str">
        <f>VLOOKUP(D2933,'DETALLE PRECIO INGREDIENTES'!B:B,1,0)</f>
        <v>CACAO EN POLVO AMARGO</v>
      </c>
    </row>
    <row r="2934" spans="2:8" hidden="1" x14ac:dyDescent="0.35">
      <c r="B2934" s="80" t="s">
        <v>166</v>
      </c>
      <c r="C2934" s="80" t="s">
        <v>156</v>
      </c>
      <c r="D2934" s="73" t="s">
        <v>432</v>
      </c>
      <c r="E2934" s="74">
        <v>5.0000000000000001E-3</v>
      </c>
      <c r="F2934" s="78" t="s">
        <v>237</v>
      </c>
      <c r="G2934" s="77" t="s">
        <v>220</v>
      </c>
      <c r="H2934" t="str">
        <f>VLOOKUP(D2934,'DETALLE PRECIO INGREDIENTES'!B:B,1,0)</f>
        <v>POLVOS DE HORNEAR</v>
      </c>
    </row>
    <row r="2935" spans="2:8" hidden="1" x14ac:dyDescent="0.35">
      <c r="B2935" s="80" t="s">
        <v>166</v>
      </c>
      <c r="C2935" s="80" t="s">
        <v>156</v>
      </c>
      <c r="D2935" s="73" t="s">
        <v>390</v>
      </c>
      <c r="E2935" s="74">
        <v>0.1</v>
      </c>
      <c r="F2935" s="78" t="s">
        <v>237</v>
      </c>
      <c r="G2935" s="77" t="s">
        <v>220</v>
      </c>
      <c r="H2935" t="str">
        <f>VLOOKUP(D2935,'DETALLE PRECIO INGREDIENTES'!B:B,1,0)</f>
        <v>MERMELADA DE GUINDA</v>
      </c>
    </row>
    <row r="2936" spans="2:8" hidden="1" x14ac:dyDescent="0.35">
      <c r="B2936" s="80" t="s">
        <v>166</v>
      </c>
      <c r="C2936" s="80" t="s">
        <v>156</v>
      </c>
      <c r="D2936" s="73" t="s">
        <v>782</v>
      </c>
      <c r="E2936" s="74">
        <v>0.01</v>
      </c>
      <c r="F2936" s="78" t="s">
        <v>259</v>
      </c>
      <c r="G2936" s="77" t="s">
        <v>776</v>
      </c>
      <c r="H2936" t="str">
        <f>VLOOKUP(D2936,'DETALLE PRECIO INGREDIENTES'!B:B,1,0)</f>
        <v>LICOR DE GUINDA/KIRSCH</v>
      </c>
    </row>
    <row r="2937" spans="2:8" hidden="1" x14ac:dyDescent="0.35">
      <c r="B2937" s="80" t="s">
        <v>166</v>
      </c>
      <c r="C2937" s="80" t="s">
        <v>156</v>
      </c>
      <c r="D2937" s="73" t="s">
        <v>353</v>
      </c>
      <c r="E2937" s="74">
        <v>0.1</v>
      </c>
      <c r="F2937" s="78" t="s">
        <v>237</v>
      </c>
      <c r="G2937" s="77" t="s">
        <v>220</v>
      </c>
      <c r="H2937" t="str">
        <f>VLOOKUP(D2937,'DETALLE PRECIO INGREDIENTES'!B:B,1,0)</f>
        <v>GUINDA MARRASQUINO</v>
      </c>
    </row>
    <row r="2938" spans="2:8" hidden="1" x14ac:dyDescent="0.35">
      <c r="B2938" s="80" t="s">
        <v>166</v>
      </c>
      <c r="C2938" s="80" t="s">
        <v>156</v>
      </c>
      <c r="D2938" s="73" t="s">
        <v>513</v>
      </c>
      <c r="E2938" s="74">
        <v>0.5</v>
      </c>
      <c r="F2938" s="78" t="s">
        <v>259</v>
      </c>
      <c r="G2938" s="77" t="s">
        <v>485</v>
      </c>
      <c r="H2938" t="str">
        <f>VLOOKUP(D2938,'DETALLE PRECIO INGREDIENTES'!B:B,1,0)</f>
        <v>PAPEL MANTEQUILLA 75 X100</v>
      </c>
    </row>
    <row r="2939" spans="2:8" hidden="1" x14ac:dyDescent="0.35">
      <c r="B2939" s="80" t="s">
        <v>166</v>
      </c>
      <c r="C2939" s="80" t="s">
        <v>156</v>
      </c>
      <c r="D2939" s="73" t="s">
        <v>502</v>
      </c>
      <c r="E2939" s="74">
        <v>1</v>
      </c>
      <c r="F2939" s="78" t="s">
        <v>259</v>
      </c>
      <c r="G2939" s="77" t="s">
        <v>485</v>
      </c>
      <c r="H2939" t="str">
        <f>VLOOKUP(D2939,'DETALLE PRECIO INGREDIENTES'!B:B,1,0)</f>
        <v>MANGAS DESECHABLES MEDIANAS</v>
      </c>
    </row>
    <row r="2940" spans="2:8" hidden="1" x14ac:dyDescent="0.35">
      <c r="B2940" s="80" t="s">
        <v>166</v>
      </c>
      <c r="C2940" s="80" t="s">
        <v>156</v>
      </c>
      <c r="D2940" s="73" t="s">
        <v>680</v>
      </c>
      <c r="E2940" s="74">
        <v>2E-3</v>
      </c>
      <c r="F2940" s="78" t="s">
        <v>237</v>
      </c>
      <c r="G2940" s="77" t="s">
        <v>621</v>
      </c>
      <c r="H2940" t="str">
        <f>VLOOKUP(D2940,'DETALLE PRECIO INGREDIENTES'!B:B,1,0)</f>
        <v>LIMON DE JUGO</v>
      </c>
    </row>
    <row r="2941" spans="2:8" hidden="1" x14ac:dyDescent="0.35">
      <c r="B2941" s="80" t="s">
        <v>166</v>
      </c>
      <c r="C2941" s="80" t="s">
        <v>156</v>
      </c>
      <c r="D2941" s="73" t="s">
        <v>293</v>
      </c>
      <c r="E2941" s="74">
        <v>2E-3</v>
      </c>
      <c r="F2941" s="78" t="s">
        <v>237</v>
      </c>
      <c r="G2941" s="77" t="s">
        <v>220</v>
      </c>
      <c r="H2941" t="str">
        <f>VLOOKUP(D2941,'DETALLE PRECIO INGREDIENTES'!B:B,1,0)</f>
        <v>CANELA ENTERA</v>
      </c>
    </row>
    <row r="2942" spans="2:8" hidden="1" x14ac:dyDescent="0.35">
      <c r="B2942" s="80" t="s">
        <v>166</v>
      </c>
      <c r="C2942" s="80" t="s">
        <v>156</v>
      </c>
      <c r="D2942" s="73" t="s">
        <v>489</v>
      </c>
      <c r="E2942" s="74">
        <v>1</v>
      </c>
      <c r="F2942" s="78" t="s">
        <v>259</v>
      </c>
      <c r="G2942" s="77" t="s">
        <v>485</v>
      </c>
      <c r="H2942" t="str">
        <f>VLOOKUP(D2942,'DETALLE PRECIO INGREDIENTES'!B:B,1,0)</f>
        <v>BLONDA 22 CM</v>
      </c>
    </row>
    <row r="2943" spans="2:8" hidden="1" x14ac:dyDescent="0.35">
      <c r="B2943" s="80" t="s">
        <v>166</v>
      </c>
      <c r="C2943" s="80" t="s">
        <v>156</v>
      </c>
      <c r="D2943" s="73" t="s">
        <v>488</v>
      </c>
      <c r="E2943" s="74">
        <v>1</v>
      </c>
      <c r="F2943" s="78" t="s">
        <v>259</v>
      </c>
      <c r="G2943" s="77" t="s">
        <v>485</v>
      </c>
      <c r="H2943" t="str">
        <f>VLOOKUP(D2943,'DETALLE PRECIO INGREDIENTES'!B:B,1,0)</f>
        <v>BASE CARTON TORTA 22 CM</v>
      </c>
    </row>
    <row r="2944" spans="2:8" hidden="1" x14ac:dyDescent="0.35">
      <c r="B2944" s="80" t="s">
        <v>166</v>
      </c>
      <c r="C2944" s="80" t="s">
        <v>155</v>
      </c>
      <c r="D2944" s="73" t="s">
        <v>729</v>
      </c>
      <c r="E2944" s="74">
        <v>5</v>
      </c>
      <c r="F2944" s="78" t="s">
        <v>259</v>
      </c>
      <c r="G2944" s="77" t="s">
        <v>728</v>
      </c>
      <c r="H2944" t="str">
        <f>VLOOKUP(D2944,'DETALLE PRECIO INGREDIENTES'!B:B,1,0)</f>
        <v>HUEVO EXTRA BLANCO</v>
      </c>
    </row>
    <row r="2945" spans="2:8" hidden="1" x14ac:dyDescent="0.35">
      <c r="B2945" s="80" t="s">
        <v>166</v>
      </c>
      <c r="C2945" s="80" t="s">
        <v>155</v>
      </c>
      <c r="D2945" s="73" t="s">
        <v>354</v>
      </c>
      <c r="E2945" s="74">
        <v>0.11</v>
      </c>
      <c r="F2945" s="78" t="s">
        <v>237</v>
      </c>
      <c r="G2945" s="77" t="s">
        <v>220</v>
      </c>
      <c r="H2945" t="str">
        <f>VLOOKUP(D2945,'DETALLE PRECIO INGREDIENTES'!B:B,1,0)</f>
        <v>HARINA BIZCOCHERA</v>
      </c>
    </row>
    <row r="2946" spans="2:8" hidden="1" x14ac:dyDescent="0.35">
      <c r="B2946" s="80" t="s">
        <v>166</v>
      </c>
      <c r="C2946" s="80" t="s">
        <v>155</v>
      </c>
      <c r="D2946" s="73" t="s">
        <v>277</v>
      </c>
      <c r="E2946" s="74">
        <v>0.2</v>
      </c>
      <c r="F2946" s="78" t="s">
        <v>237</v>
      </c>
      <c r="G2946" s="77" t="s">
        <v>220</v>
      </c>
      <c r="H2946" t="str">
        <f>VLOOKUP(D2946,'DETALLE PRECIO INGREDIENTES'!B:B,1,0)</f>
        <v>AZUCAR BLANCA GRANULADA</v>
      </c>
    </row>
    <row r="2947" spans="2:8" hidden="1" x14ac:dyDescent="0.35">
      <c r="B2947" s="80" t="s">
        <v>166</v>
      </c>
      <c r="C2947" s="80" t="s">
        <v>155</v>
      </c>
      <c r="D2947" s="73" t="s">
        <v>329</v>
      </c>
      <c r="E2947" s="74">
        <v>5.0000000000000001E-3</v>
      </c>
      <c r="F2947" s="78" t="s">
        <v>222</v>
      </c>
      <c r="G2947" s="77" t="s">
        <v>220</v>
      </c>
      <c r="H2947" t="str">
        <f>VLOOKUP(D2947,'DETALLE PRECIO INGREDIENTES'!B:B,1,0)</f>
        <v>ESENCIA DE VAINILLA</v>
      </c>
    </row>
    <row r="2948" spans="2:8" hidden="1" x14ac:dyDescent="0.35">
      <c r="B2948" s="80" t="s">
        <v>166</v>
      </c>
      <c r="C2948" s="80" t="s">
        <v>155</v>
      </c>
      <c r="D2948" s="73" t="s">
        <v>375</v>
      </c>
      <c r="E2948" s="74">
        <v>0.02</v>
      </c>
      <c r="F2948" s="78" t="s">
        <v>237</v>
      </c>
      <c r="G2948" s="77" t="s">
        <v>220</v>
      </c>
      <c r="H2948" t="str">
        <f>VLOOKUP(D2948,'DETALLE PRECIO INGREDIENTES'!B:B,1,0)</f>
        <v>MAICENA</v>
      </c>
    </row>
    <row r="2949" spans="2:8" hidden="1" x14ac:dyDescent="0.35">
      <c r="B2949" s="80" t="s">
        <v>166</v>
      </c>
      <c r="C2949" s="80" t="s">
        <v>155</v>
      </c>
      <c r="D2949" s="73" t="s">
        <v>429</v>
      </c>
      <c r="E2949" s="74">
        <v>0.1</v>
      </c>
      <c r="F2949" s="78" t="s">
        <v>237</v>
      </c>
      <c r="G2949" s="77" t="s">
        <v>220</v>
      </c>
      <c r="H2949" t="str">
        <f>VLOOKUP(D2949,'DETALLE PRECIO INGREDIENTES'!B:B,1,0)</f>
        <v>PIÑA RODAJA CONSERVA</v>
      </c>
    </row>
    <row r="2950" spans="2:8" hidden="1" x14ac:dyDescent="0.35">
      <c r="B2950" s="80" t="s">
        <v>166</v>
      </c>
      <c r="C2950" s="80" t="s">
        <v>155</v>
      </c>
      <c r="D2950" s="73" t="s">
        <v>313</v>
      </c>
      <c r="E2950" s="74">
        <v>0.06</v>
      </c>
      <c r="F2950" s="78" t="s">
        <v>222</v>
      </c>
      <c r="G2950" s="77" t="s">
        <v>220</v>
      </c>
      <c r="H2950" t="str">
        <f>VLOOKUP(D2950,'DETALLE PRECIO INGREDIENTES'!B:B,1,0)</f>
        <v>CREMA MIX VEGETAL</v>
      </c>
    </row>
    <row r="2951" spans="2:8" hidden="1" x14ac:dyDescent="0.35">
      <c r="B2951" s="80" t="s">
        <v>166</v>
      </c>
      <c r="C2951" s="80" t="s">
        <v>155</v>
      </c>
      <c r="D2951" s="73" t="s">
        <v>739</v>
      </c>
      <c r="E2951" s="74">
        <v>0.35</v>
      </c>
      <c r="F2951" s="78" t="s">
        <v>222</v>
      </c>
      <c r="G2951" s="77" t="s">
        <v>736</v>
      </c>
      <c r="H2951" t="str">
        <f>VLOOKUP(D2951,'DETALLE PRECIO INGREDIENTES'!B:B,1,0)</f>
        <v>CREMA DE LECHE</v>
      </c>
    </row>
    <row r="2952" spans="2:8" hidden="1" x14ac:dyDescent="0.35">
      <c r="B2952" s="80" t="s">
        <v>166</v>
      </c>
      <c r="C2952" s="80" t="s">
        <v>155</v>
      </c>
      <c r="D2952" s="73" t="s">
        <v>278</v>
      </c>
      <c r="E2952" s="74">
        <v>7.0000000000000007E-2</v>
      </c>
      <c r="F2952" s="78" t="s">
        <v>237</v>
      </c>
      <c r="G2952" s="77" t="s">
        <v>220</v>
      </c>
      <c r="H2952" t="str">
        <f>VLOOKUP(D2952,'DETALLE PRECIO INGREDIENTES'!B:B,1,0)</f>
        <v>AZUCAR FLOR</v>
      </c>
    </row>
    <row r="2953" spans="2:8" hidden="1" x14ac:dyDescent="0.35">
      <c r="B2953" s="80" t="s">
        <v>166</v>
      </c>
      <c r="C2953" s="80" t="s">
        <v>155</v>
      </c>
      <c r="D2953" s="73" t="s">
        <v>391</v>
      </c>
      <c r="E2953" s="74">
        <v>0.05</v>
      </c>
      <c r="F2953" s="78" t="s">
        <v>237</v>
      </c>
      <c r="G2953" s="77" t="s">
        <v>220</v>
      </c>
      <c r="H2953" t="str">
        <f>VLOOKUP(D2953,'DETALLE PRECIO INGREDIENTES'!B:B,1,0)</f>
        <v>MERMELADA DE PIÑA</v>
      </c>
    </row>
    <row r="2954" spans="2:8" hidden="1" x14ac:dyDescent="0.35">
      <c r="B2954" s="80" t="s">
        <v>166</v>
      </c>
      <c r="C2954" s="80" t="s">
        <v>155</v>
      </c>
      <c r="D2954" s="73" t="s">
        <v>565</v>
      </c>
      <c r="E2954" s="74">
        <v>7.0000000000000007E-2</v>
      </c>
      <c r="F2954" s="78" t="s">
        <v>237</v>
      </c>
      <c r="G2954" s="77" t="s">
        <v>551</v>
      </c>
      <c r="H2954" t="str">
        <f>VLOOKUP(D2954,'DETALLE PRECIO INGREDIENTES'!B:B,1,0)</f>
        <v>COBERTURA AMARGA</v>
      </c>
    </row>
    <row r="2955" spans="2:8" hidden="1" x14ac:dyDescent="0.35">
      <c r="B2955" s="80" t="s">
        <v>166</v>
      </c>
      <c r="C2955" s="80" t="s">
        <v>155</v>
      </c>
      <c r="D2955" s="73" t="s">
        <v>554</v>
      </c>
      <c r="E2955" s="74">
        <v>0.01</v>
      </c>
      <c r="F2955" s="78" t="s">
        <v>237</v>
      </c>
      <c r="G2955" s="77" t="s">
        <v>551</v>
      </c>
      <c r="H2955" t="str">
        <f>VLOOKUP(D2955,'DETALLE PRECIO INGREDIENTES'!B:B,1,0)</f>
        <v>CACAO EN POLVO AMARGO</v>
      </c>
    </row>
    <row r="2956" spans="2:8" hidden="1" x14ac:dyDescent="0.35">
      <c r="B2956" s="80" t="s">
        <v>166</v>
      </c>
      <c r="C2956" s="80" t="s">
        <v>155</v>
      </c>
      <c r="D2956" s="73" t="s">
        <v>432</v>
      </c>
      <c r="E2956" s="74">
        <v>5.0000000000000001E-3</v>
      </c>
      <c r="F2956" s="78" t="s">
        <v>237</v>
      </c>
      <c r="G2956" s="77" t="s">
        <v>220</v>
      </c>
      <c r="H2956" t="str">
        <f>VLOOKUP(D2956,'DETALLE PRECIO INGREDIENTES'!B:B,1,0)</f>
        <v>POLVOS DE HORNEAR</v>
      </c>
    </row>
    <row r="2957" spans="2:8" hidden="1" x14ac:dyDescent="0.35">
      <c r="B2957" s="80" t="s">
        <v>166</v>
      </c>
      <c r="C2957" s="80" t="s">
        <v>155</v>
      </c>
      <c r="D2957" s="73" t="s">
        <v>390</v>
      </c>
      <c r="E2957" s="74">
        <v>0.1</v>
      </c>
      <c r="F2957" s="78" t="s">
        <v>237</v>
      </c>
      <c r="G2957" s="77" t="s">
        <v>220</v>
      </c>
      <c r="H2957" t="str">
        <f>VLOOKUP(D2957,'DETALLE PRECIO INGREDIENTES'!B:B,1,0)</f>
        <v>MERMELADA DE GUINDA</v>
      </c>
    </row>
    <row r="2958" spans="2:8" hidden="1" x14ac:dyDescent="0.35">
      <c r="B2958" s="80" t="s">
        <v>166</v>
      </c>
      <c r="C2958" s="80" t="s">
        <v>155</v>
      </c>
      <c r="D2958" s="73" t="s">
        <v>782</v>
      </c>
      <c r="E2958" s="74">
        <v>0.01</v>
      </c>
      <c r="F2958" s="78" t="s">
        <v>259</v>
      </c>
      <c r="G2958" s="77" t="s">
        <v>776</v>
      </c>
      <c r="H2958" t="str">
        <f>VLOOKUP(D2958,'DETALLE PRECIO INGREDIENTES'!B:B,1,0)</f>
        <v>LICOR DE GUINDA/KIRSCH</v>
      </c>
    </row>
    <row r="2959" spans="2:8" hidden="1" x14ac:dyDescent="0.35">
      <c r="B2959" s="80" t="s">
        <v>166</v>
      </c>
      <c r="C2959" s="80" t="s">
        <v>155</v>
      </c>
      <c r="D2959" s="73" t="s">
        <v>353</v>
      </c>
      <c r="E2959" s="74">
        <v>0.1</v>
      </c>
      <c r="F2959" s="78" t="s">
        <v>237</v>
      </c>
      <c r="G2959" s="77" t="s">
        <v>220</v>
      </c>
      <c r="H2959" t="str">
        <f>VLOOKUP(D2959,'DETALLE PRECIO INGREDIENTES'!B:B,1,0)</f>
        <v>GUINDA MARRASQUINO</v>
      </c>
    </row>
    <row r="2960" spans="2:8" hidden="1" x14ac:dyDescent="0.35">
      <c r="B2960" s="80" t="s">
        <v>166</v>
      </c>
      <c r="C2960" s="80" t="s">
        <v>155</v>
      </c>
      <c r="D2960" s="73" t="s">
        <v>513</v>
      </c>
      <c r="E2960" s="74">
        <v>0.5</v>
      </c>
      <c r="F2960" s="78" t="s">
        <v>259</v>
      </c>
      <c r="G2960" s="77" t="s">
        <v>485</v>
      </c>
      <c r="H2960" t="str">
        <f>VLOOKUP(D2960,'DETALLE PRECIO INGREDIENTES'!B:B,1,0)</f>
        <v>PAPEL MANTEQUILLA 75 X100</v>
      </c>
    </row>
    <row r="2961" spans="2:8" hidden="1" x14ac:dyDescent="0.35">
      <c r="B2961" s="80" t="s">
        <v>166</v>
      </c>
      <c r="C2961" s="80" t="s">
        <v>155</v>
      </c>
      <c r="D2961" s="73" t="s">
        <v>502</v>
      </c>
      <c r="E2961" s="74">
        <v>1</v>
      </c>
      <c r="F2961" s="78" t="s">
        <v>259</v>
      </c>
      <c r="G2961" s="77" t="s">
        <v>485</v>
      </c>
      <c r="H2961" t="str">
        <f>VLOOKUP(D2961,'DETALLE PRECIO INGREDIENTES'!B:B,1,0)</f>
        <v>MANGAS DESECHABLES MEDIANAS</v>
      </c>
    </row>
    <row r="2962" spans="2:8" hidden="1" x14ac:dyDescent="0.35">
      <c r="B2962" s="80" t="s">
        <v>166</v>
      </c>
      <c r="C2962" s="80" t="s">
        <v>155</v>
      </c>
      <c r="D2962" s="73" t="s">
        <v>680</v>
      </c>
      <c r="E2962" s="74">
        <v>5.4999999999999997E-3</v>
      </c>
      <c r="F2962" s="78" t="s">
        <v>237</v>
      </c>
      <c r="G2962" s="77" t="s">
        <v>621</v>
      </c>
      <c r="H2962" t="str">
        <f>VLOOKUP(D2962,'DETALLE PRECIO INGREDIENTES'!B:B,1,0)</f>
        <v>LIMON DE JUGO</v>
      </c>
    </row>
    <row r="2963" spans="2:8" hidden="1" x14ac:dyDescent="0.35">
      <c r="B2963" s="80" t="s">
        <v>166</v>
      </c>
      <c r="C2963" s="80" t="s">
        <v>155</v>
      </c>
      <c r="D2963" s="73" t="s">
        <v>293</v>
      </c>
      <c r="E2963" s="74">
        <v>2E-3</v>
      </c>
      <c r="F2963" s="78" t="s">
        <v>237</v>
      </c>
      <c r="G2963" s="77" t="s">
        <v>220</v>
      </c>
      <c r="H2963" t="str">
        <f>VLOOKUP(D2963,'DETALLE PRECIO INGREDIENTES'!B:B,1,0)</f>
        <v>CANELA ENTERA</v>
      </c>
    </row>
    <row r="2964" spans="2:8" hidden="1" x14ac:dyDescent="0.35">
      <c r="B2964" s="80" t="s">
        <v>166</v>
      </c>
      <c r="C2964" s="80" t="s">
        <v>155</v>
      </c>
      <c r="D2964" s="73" t="s">
        <v>489</v>
      </c>
      <c r="E2964" s="74">
        <v>1</v>
      </c>
      <c r="F2964" s="78" t="s">
        <v>259</v>
      </c>
      <c r="G2964" s="77" t="s">
        <v>485</v>
      </c>
      <c r="H2964" t="str">
        <f>VLOOKUP(D2964,'DETALLE PRECIO INGREDIENTES'!B:B,1,0)</f>
        <v>BLONDA 22 CM</v>
      </c>
    </row>
    <row r="2965" spans="2:8" hidden="1" x14ac:dyDescent="0.35">
      <c r="B2965" s="80" t="s">
        <v>166</v>
      </c>
      <c r="C2965" s="80" t="s">
        <v>155</v>
      </c>
      <c r="D2965" s="73" t="s">
        <v>488</v>
      </c>
      <c r="E2965" s="74">
        <v>1</v>
      </c>
      <c r="F2965" s="78" t="s">
        <v>259</v>
      </c>
      <c r="G2965" s="77" t="s">
        <v>485</v>
      </c>
      <c r="H2965" t="str">
        <f>VLOOKUP(D2965,'DETALLE PRECIO INGREDIENTES'!B:B,1,0)</f>
        <v>BASE CARTON TORTA 22 CM</v>
      </c>
    </row>
    <row r="2966" spans="2:8" hidden="1" x14ac:dyDescent="0.35">
      <c r="B2966" s="80" t="s">
        <v>166</v>
      </c>
      <c r="C2966" s="80" t="s">
        <v>154</v>
      </c>
      <c r="D2966" s="73" t="s">
        <v>751</v>
      </c>
      <c r="E2966" s="74">
        <v>0.14000000000000001</v>
      </c>
      <c r="F2966" s="78" t="s">
        <v>237</v>
      </c>
      <c r="G2966" s="77" t="s">
        <v>736</v>
      </c>
      <c r="H2966" t="str">
        <f>VLOOKUP(D2966,'DETALLE PRECIO INGREDIENTES'!B:B,1,0)</f>
        <v>MANTEQUILLA SIN SAL</v>
      </c>
    </row>
    <row r="2967" spans="2:8" hidden="1" x14ac:dyDescent="0.35">
      <c r="B2967" s="80" t="s">
        <v>166</v>
      </c>
      <c r="C2967" s="80" t="s">
        <v>154</v>
      </c>
      <c r="D2967" s="73" t="s">
        <v>278</v>
      </c>
      <c r="E2967" s="74">
        <v>9.8299999999999998E-2</v>
      </c>
      <c r="F2967" s="78" t="s">
        <v>237</v>
      </c>
      <c r="G2967" s="77" t="s">
        <v>220</v>
      </c>
      <c r="H2967" t="str">
        <f>VLOOKUP(D2967,'DETALLE PRECIO INGREDIENTES'!B:B,1,0)</f>
        <v>AZUCAR FLOR</v>
      </c>
    </row>
    <row r="2968" spans="2:8" hidden="1" x14ac:dyDescent="0.35">
      <c r="B2968" s="80" t="s">
        <v>166</v>
      </c>
      <c r="C2968" s="80" t="s">
        <v>154</v>
      </c>
      <c r="D2968" s="73" t="s">
        <v>729</v>
      </c>
      <c r="E2968" s="74">
        <v>6</v>
      </c>
      <c r="F2968" s="78" t="s">
        <v>259</v>
      </c>
      <c r="G2968" s="77" t="s">
        <v>728</v>
      </c>
      <c r="H2968" t="str">
        <f>VLOOKUP(D2968,'DETALLE PRECIO INGREDIENTES'!B:B,1,0)</f>
        <v>HUEVO EXTRA BLANCO</v>
      </c>
    </row>
    <row r="2969" spans="2:8" hidden="1" x14ac:dyDescent="0.35">
      <c r="B2969" s="80" t="s">
        <v>166</v>
      </c>
      <c r="C2969" s="80" t="s">
        <v>154</v>
      </c>
      <c r="D2969" s="73" t="s">
        <v>690</v>
      </c>
      <c r="E2969" s="74">
        <v>0.4</v>
      </c>
      <c r="F2969" s="78" t="s">
        <v>237</v>
      </c>
      <c r="G2969" s="77" t="s">
        <v>621</v>
      </c>
      <c r="H2969" t="str">
        <f>VLOOKUP(D2969,'DETALLE PRECIO INGREDIENTES'!B:B,1,0)</f>
        <v>NARANJA DE JUGO</v>
      </c>
    </row>
    <row r="2970" spans="2:8" hidden="1" x14ac:dyDescent="0.35">
      <c r="B2970" s="80" t="s">
        <v>166</v>
      </c>
      <c r="C2970" s="80" t="s">
        <v>154</v>
      </c>
      <c r="D2970" s="73" t="s">
        <v>354</v>
      </c>
      <c r="E2970" s="74">
        <v>0.3</v>
      </c>
      <c r="F2970" s="78" t="s">
        <v>237</v>
      </c>
      <c r="G2970" s="77" t="s">
        <v>220</v>
      </c>
      <c r="H2970" t="str">
        <f>VLOOKUP(D2970,'DETALLE PRECIO INGREDIENTES'!B:B,1,0)</f>
        <v>HARINA BIZCOCHERA</v>
      </c>
    </row>
    <row r="2971" spans="2:8" hidden="1" x14ac:dyDescent="0.35">
      <c r="B2971" s="80" t="s">
        <v>166</v>
      </c>
      <c r="C2971" s="80" t="s">
        <v>154</v>
      </c>
      <c r="D2971" s="73" t="s">
        <v>432</v>
      </c>
      <c r="E2971" s="74">
        <v>1E-3</v>
      </c>
      <c r="F2971" s="78" t="s">
        <v>237</v>
      </c>
      <c r="G2971" s="77" t="s">
        <v>220</v>
      </c>
      <c r="H2971" t="str">
        <f>VLOOKUP(D2971,'DETALLE PRECIO INGREDIENTES'!B:B,1,0)</f>
        <v>POLVOS DE HORNEAR</v>
      </c>
    </row>
    <row r="2972" spans="2:8" hidden="1" x14ac:dyDescent="0.35">
      <c r="B2972" s="80" t="s">
        <v>166</v>
      </c>
      <c r="C2972" s="80" t="s">
        <v>154</v>
      </c>
      <c r="D2972" s="73" t="s">
        <v>375</v>
      </c>
      <c r="E2972" s="74">
        <v>0.05</v>
      </c>
      <c r="F2972" s="78" t="s">
        <v>237</v>
      </c>
      <c r="G2972" s="77" t="s">
        <v>220</v>
      </c>
      <c r="H2972" t="str">
        <f>VLOOKUP(D2972,'DETALLE PRECIO INGREDIENTES'!B:B,1,0)</f>
        <v>MAICENA</v>
      </c>
    </row>
    <row r="2973" spans="2:8" hidden="1" x14ac:dyDescent="0.35">
      <c r="B2973" s="80" t="s">
        <v>166</v>
      </c>
      <c r="C2973" s="80" t="s">
        <v>154</v>
      </c>
      <c r="D2973" s="73" t="s">
        <v>277</v>
      </c>
      <c r="E2973" s="74">
        <v>0.2</v>
      </c>
      <c r="F2973" s="78" t="s">
        <v>237</v>
      </c>
      <c r="G2973" s="77" t="s">
        <v>220</v>
      </c>
      <c r="H2973" t="str">
        <f>VLOOKUP(D2973,'DETALLE PRECIO INGREDIENTES'!B:B,1,0)</f>
        <v>AZUCAR BLANCA GRANULADA</v>
      </c>
    </row>
    <row r="2974" spans="2:8" hidden="1" x14ac:dyDescent="0.35">
      <c r="B2974" s="80" t="s">
        <v>166</v>
      </c>
      <c r="C2974" s="80" t="s">
        <v>154</v>
      </c>
      <c r="D2974" s="73" t="s">
        <v>554</v>
      </c>
      <c r="E2974" s="74">
        <v>0.03</v>
      </c>
      <c r="F2974" s="78" t="s">
        <v>237</v>
      </c>
      <c r="G2974" s="77" t="s">
        <v>551</v>
      </c>
      <c r="H2974" t="str">
        <f>VLOOKUP(D2974,'DETALLE PRECIO INGREDIENTES'!B:B,1,0)</f>
        <v>CACAO EN POLVO AMARGO</v>
      </c>
    </row>
    <row r="2975" spans="2:8" hidden="1" x14ac:dyDescent="0.35">
      <c r="B2975" s="80" t="s">
        <v>166</v>
      </c>
      <c r="C2975" s="80" t="s">
        <v>154</v>
      </c>
      <c r="D2975" s="73" t="s">
        <v>748</v>
      </c>
      <c r="E2975" s="74">
        <v>0.3</v>
      </c>
      <c r="F2975" s="78" t="s">
        <v>222</v>
      </c>
      <c r="G2975" s="77" t="s">
        <v>736</v>
      </c>
      <c r="H2975" t="str">
        <f>VLOOKUP(D2975,'DETALLE PRECIO INGREDIENTES'!B:B,1,0)</f>
        <v>LECHE ENTERA</v>
      </c>
    </row>
    <row r="2976" spans="2:8" hidden="1" x14ac:dyDescent="0.35">
      <c r="B2976" s="80" t="s">
        <v>166</v>
      </c>
      <c r="C2976" s="80" t="s">
        <v>154</v>
      </c>
      <c r="D2976" s="73" t="s">
        <v>565</v>
      </c>
      <c r="E2976" s="74">
        <v>0.02</v>
      </c>
      <c r="F2976" s="78" t="s">
        <v>237</v>
      </c>
      <c r="G2976" s="77" t="s">
        <v>551</v>
      </c>
      <c r="H2976" t="str">
        <f>VLOOKUP(D2976,'DETALLE PRECIO INGREDIENTES'!B:B,1,0)</f>
        <v>COBERTURA AMARGA</v>
      </c>
    </row>
    <row r="2977" spans="2:8" hidden="1" x14ac:dyDescent="0.35">
      <c r="B2977" s="80" t="s">
        <v>166</v>
      </c>
      <c r="C2977" s="80" t="s">
        <v>154</v>
      </c>
      <c r="D2977" s="73" t="s">
        <v>631</v>
      </c>
      <c r="E2977" s="74">
        <v>0.01</v>
      </c>
      <c r="F2977" s="78" t="s">
        <v>237</v>
      </c>
      <c r="G2977" s="77" t="s">
        <v>621</v>
      </c>
      <c r="H2977" t="str">
        <f>VLOOKUP(D2977,'DETALLE PRECIO INGREDIENTES'!B:B,1,0)</f>
        <v>ALMENDRAS EFILADAS</v>
      </c>
    </row>
    <row r="2978" spans="2:8" hidden="1" x14ac:dyDescent="0.35">
      <c r="B2978" s="80" t="s">
        <v>166</v>
      </c>
      <c r="C2978" s="80" t="s">
        <v>154</v>
      </c>
      <c r="D2978" s="73" t="s">
        <v>740</v>
      </c>
      <c r="E2978" s="74">
        <v>0.03</v>
      </c>
      <c r="F2978" s="78" t="s">
        <v>237</v>
      </c>
      <c r="G2978" s="77" t="s">
        <v>736</v>
      </c>
      <c r="H2978" t="str">
        <f>VLOOKUP(D2978,'DETALLE PRECIO INGREDIENTES'!B:B,1,0)</f>
        <v>LECHE CONDENSADA</v>
      </c>
    </row>
    <row r="2979" spans="2:8" hidden="1" x14ac:dyDescent="0.35">
      <c r="B2979" s="80" t="s">
        <v>166</v>
      </c>
      <c r="C2979" s="80" t="s">
        <v>154</v>
      </c>
      <c r="D2979" s="73" t="s">
        <v>891</v>
      </c>
      <c r="E2979" s="74">
        <v>0.03</v>
      </c>
      <c r="F2979" s="78" t="e">
        <v>#N/A</v>
      </c>
      <c r="G2979" s="77" t="e">
        <v>#N/A</v>
      </c>
      <c r="H2979" t="str">
        <f>VLOOKUP(D2979,'DETALLE PRECIO INGREDIENTES'!B:B,1,0)</f>
        <v>LECHE EVAPORADA</v>
      </c>
    </row>
    <row r="2980" spans="2:8" hidden="1" x14ac:dyDescent="0.35">
      <c r="B2980" s="80" t="s">
        <v>166</v>
      </c>
      <c r="C2980" s="80" t="s">
        <v>154</v>
      </c>
      <c r="D2980" s="73" t="s">
        <v>739</v>
      </c>
      <c r="E2980" s="74">
        <v>0.15</v>
      </c>
      <c r="F2980" s="78" t="s">
        <v>222</v>
      </c>
      <c r="G2980" s="77" t="s">
        <v>736</v>
      </c>
      <c r="H2980" t="str">
        <f>VLOOKUP(D2980,'DETALLE PRECIO INGREDIENTES'!B:B,1,0)</f>
        <v>CREMA DE LECHE</v>
      </c>
    </row>
    <row r="2981" spans="2:8" hidden="1" x14ac:dyDescent="0.35">
      <c r="B2981" s="80" t="s">
        <v>166</v>
      </c>
      <c r="C2981" s="80" t="s">
        <v>154</v>
      </c>
      <c r="D2981" s="73" t="s">
        <v>749</v>
      </c>
      <c r="E2981" s="74">
        <v>0.1</v>
      </c>
      <c r="F2981" s="78" t="s">
        <v>237</v>
      </c>
      <c r="G2981" s="77" t="s">
        <v>736</v>
      </c>
      <c r="H2981" t="str">
        <f>VLOOKUP(D2981,'DETALLE PRECIO INGREDIENTES'!B:B,1,0)</f>
        <v>MANJAR</v>
      </c>
    </row>
    <row r="2982" spans="2:8" hidden="1" x14ac:dyDescent="0.35">
      <c r="B2982" s="80" t="s">
        <v>166</v>
      </c>
      <c r="C2982" s="80" t="s">
        <v>154</v>
      </c>
      <c r="D2982" s="73" t="s">
        <v>753</v>
      </c>
      <c r="E2982" s="74">
        <v>3.5000000000000003E-2</v>
      </c>
      <c r="F2982" s="78" t="s">
        <v>237</v>
      </c>
      <c r="G2982" s="77" t="s">
        <v>736</v>
      </c>
      <c r="H2982" t="str">
        <f>VLOOKUP(D2982,'DETALLE PRECIO INGREDIENTES'!B:B,1,0)</f>
        <v>MARGARINA DE HOJA</v>
      </c>
    </row>
    <row r="2983" spans="2:8" hidden="1" x14ac:dyDescent="0.35">
      <c r="B2983" s="80" t="s">
        <v>166</v>
      </c>
      <c r="C2983" s="80" t="s">
        <v>154</v>
      </c>
      <c r="D2983" s="73" t="s">
        <v>785</v>
      </c>
      <c r="E2983" s="74">
        <v>3.0000000000000001E-3</v>
      </c>
      <c r="F2983" s="78" t="s">
        <v>222</v>
      </c>
      <c r="G2983" s="77" t="s">
        <v>776</v>
      </c>
      <c r="H2983" t="str">
        <f>VLOOKUP(D2983,'DETALLE PRECIO INGREDIENTES'!B:B,1,0)</f>
        <v>PISCO</v>
      </c>
    </row>
    <row r="2984" spans="2:8" hidden="1" x14ac:dyDescent="0.35">
      <c r="B2984" s="80" t="s">
        <v>166</v>
      </c>
      <c r="C2984" s="80" t="s">
        <v>154</v>
      </c>
      <c r="D2984" s="73" t="s">
        <v>389</v>
      </c>
      <c r="E2984" s="74">
        <v>0.05</v>
      </c>
      <c r="F2984" s="78" t="s">
        <v>237</v>
      </c>
      <c r="G2984" s="77" t="s">
        <v>220</v>
      </c>
      <c r="H2984" t="str">
        <f>VLOOKUP(D2984,'DETALLE PRECIO INGREDIENTES'!B:B,1,0)</f>
        <v>MERMELADA DE FRAMBUESA</v>
      </c>
    </row>
    <row r="2985" spans="2:8" hidden="1" x14ac:dyDescent="0.35">
      <c r="B2985" s="80" t="s">
        <v>166</v>
      </c>
      <c r="C2985" s="80" t="s">
        <v>154</v>
      </c>
      <c r="D2985" s="73" t="s">
        <v>669</v>
      </c>
      <c r="E2985" s="74">
        <v>0.02</v>
      </c>
      <c r="F2985" s="78" t="s">
        <v>237</v>
      </c>
      <c r="G2985" s="77" t="s">
        <v>621</v>
      </c>
      <c r="H2985" t="str">
        <f>VLOOKUP(D2985,'DETALLE PRECIO INGREDIENTES'!B:B,1,0)</f>
        <v>FRAMBUESA FRESCA</v>
      </c>
    </row>
    <row r="2986" spans="2:8" hidden="1" x14ac:dyDescent="0.35">
      <c r="B2986" s="80" t="s">
        <v>166</v>
      </c>
      <c r="C2986" s="80" t="s">
        <v>154</v>
      </c>
      <c r="D2986" s="73" t="s">
        <v>502</v>
      </c>
      <c r="E2986" s="74">
        <v>1</v>
      </c>
      <c r="F2986" s="78" t="s">
        <v>259</v>
      </c>
      <c r="G2986" s="77" t="s">
        <v>485</v>
      </c>
      <c r="H2986" t="str">
        <f>VLOOKUP(D2986,'DETALLE PRECIO INGREDIENTES'!B:B,1,0)</f>
        <v>MANGAS DESECHABLES MEDIANAS</v>
      </c>
    </row>
    <row r="2987" spans="2:8" hidden="1" x14ac:dyDescent="0.35">
      <c r="B2987" s="80" t="s">
        <v>166</v>
      </c>
      <c r="C2987" s="80" t="s">
        <v>154</v>
      </c>
      <c r="D2987" s="73" t="s">
        <v>513</v>
      </c>
      <c r="E2987" s="74">
        <v>0.5</v>
      </c>
      <c r="F2987" s="78" t="s">
        <v>259</v>
      </c>
      <c r="G2987" s="77" t="s">
        <v>485</v>
      </c>
      <c r="H2987" t="str">
        <f>VLOOKUP(D2987,'DETALLE PRECIO INGREDIENTES'!B:B,1,0)</f>
        <v>PAPEL MANTEQUILLA 75 X100</v>
      </c>
    </row>
    <row r="2988" spans="2:8" hidden="1" x14ac:dyDescent="0.35">
      <c r="B2988" s="80" t="s">
        <v>166</v>
      </c>
      <c r="C2988" s="80" t="s">
        <v>154</v>
      </c>
      <c r="D2988" s="73" t="s">
        <v>489</v>
      </c>
      <c r="E2988" s="74">
        <v>1</v>
      </c>
      <c r="F2988" s="78" t="s">
        <v>259</v>
      </c>
      <c r="G2988" s="77" t="s">
        <v>485</v>
      </c>
      <c r="H2988" t="str">
        <f>VLOOKUP(D2988,'DETALLE PRECIO INGREDIENTES'!B:B,1,0)</f>
        <v>BLONDA 22 CM</v>
      </c>
    </row>
    <row r="2989" spans="2:8" hidden="1" x14ac:dyDescent="0.35">
      <c r="B2989" s="80" t="s">
        <v>166</v>
      </c>
      <c r="C2989" s="80" t="s">
        <v>153</v>
      </c>
      <c r="D2989" s="73" t="s">
        <v>683</v>
      </c>
      <c r="E2989" s="74">
        <v>2.5000000000000001E-2</v>
      </c>
      <c r="F2989" s="78" t="s">
        <v>237</v>
      </c>
      <c r="G2989" s="77" t="s">
        <v>621</v>
      </c>
      <c r="H2989" t="str">
        <f>VLOOKUP(D2989,'DETALLE PRECIO INGREDIENTES'!B:B,1,0)</f>
        <v>MANZANA ROJA</v>
      </c>
    </row>
    <row r="2990" spans="2:8" hidden="1" x14ac:dyDescent="0.35">
      <c r="B2990" s="80" t="s">
        <v>166</v>
      </c>
      <c r="C2990" s="80" t="s">
        <v>153</v>
      </c>
      <c r="D2990" s="73" t="s">
        <v>690</v>
      </c>
      <c r="E2990" s="74">
        <v>2.5000000000000001E-2</v>
      </c>
      <c r="F2990" s="78" t="s">
        <v>237</v>
      </c>
      <c r="G2990" s="77" t="s">
        <v>621</v>
      </c>
      <c r="H2990" t="str">
        <f>VLOOKUP(D2990,'DETALLE PRECIO INGREDIENTES'!B:B,1,0)</f>
        <v>NARANJA DE JUGO</v>
      </c>
    </row>
    <row r="2991" spans="2:8" hidden="1" x14ac:dyDescent="0.35">
      <c r="B2991" s="80" t="s">
        <v>166</v>
      </c>
      <c r="C2991" s="80" t="s">
        <v>153</v>
      </c>
      <c r="D2991" s="73" t="s">
        <v>676</v>
      </c>
      <c r="E2991" s="74">
        <v>2.5000000000000001E-2</v>
      </c>
      <c r="F2991" s="78" t="s">
        <v>237</v>
      </c>
      <c r="G2991" s="77" t="s">
        <v>621</v>
      </c>
      <c r="H2991" t="str">
        <f>VLOOKUP(D2991,'DETALLE PRECIO INGREDIENTES'!B:B,1,0)</f>
        <v>KIWI</v>
      </c>
    </row>
    <row r="2992" spans="2:8" hidden="1" x14ac:dyDescent="0.35">
      <c r="B2992" s="80" t="s">
        <v>166</v>
      </c>
      <c r="C2992" s="80" t="s">
        <v>153</v>
      </c>
      <c r="D2992" s="73" t="s">
        <v>671</v>
      </c>
      <c r="E2992" s="74">
        <v>4.5499999999999999E-2</v>
      </c>
      <c r="F2992" s="78" t="s">
        <v>237</v>
      </c>
      <c r="G2992" s="77" t="s">
        <v>621</v>
      </c>
      <c r="H2992" t="str">
        <f>VLOOKUP(D2992,'DETALLE PRECIO INGREDIENTES'!B:B,1,0)</f>
        <v>FRUTILLA FRESCA</v>
      </c>
    </row>
    <row r="2993" spans="2:8" hidden="1" x14ac:dyDescent="0.35">
      <c r="B2993" s="80" t="s">
        <v>166</v>
      </c>
      <c r="C2993" s="80" t="s">
        <v>153</v>
      </c>
      <c r="D2993" s="73" t="s">
        <v>277</v>
      </c>
      <c r="E2993" s="74">
        <v>0.17</v>
      </c>
      <c r="F2993" s="78" t="s">
        <v>237</v>
      </c>
      <c r="G2993" s="77" t="s">
        <v>220</v>
      </c>
      <c r="H2993" t="str">
        <f>VLOOKUP(D2993,'DETALLE PRECIO INGREDIENTES'!B:B,1,0)</f>
        <v>AZUCAR BLANCA GRANULADA</v>
      </c>
    </row>
    <row r="2994" spans="2:8" hidden="1" x14ac:dyDescent="0.35">
      <c r="B2994" s="80" t="s">
        <v>166</v>
      </c>
      <c r="C2994" s="80" t="s">
        <v>153</v>
      </c>
      <c r="D2994" s="73" t="s">
        <v>719</v>
      </c>
      <c r="E2994" s="74">
        <v>0.02</v>
      </c>
      <c r="F2994" s="78" t="s">
        <v>237</v>
      </c>
      <c r="G2994" s="77" t="s">
        <v>621</v>
      </c>
      <c r="H2994" t="str">
        <f>VLOOKUP(D2994,'DETALLE PRECIO INGREDIENTES'!B:B,1,0)</f>
        <v>UVA VERDE</v>
      </c>
    </row>
    <row r="2995" spans="2:8" hidden="1" x14ac:dyDescent="0.35">
      <c r="B2995" s="80" t="s">
        <v>166</v>
      </c>
      <c r="C2995" s="80" t="s">
        <v>153</v>
      </c>
      <c r="D2995" s="73" t="s">
        <v>634</v>
      </c>
      <c r="E2995" s="74">
        <v>4.4999999999999998E-2</v>
      </c>
      <c r="F2995" s="78" t="s">
        <v>237</v>
      </c>
      <c r="G2995" s="77" t="s">
        <v>621</v>
      </c>
      <c r="H2995" t="str">
        <f>VLOOKUP(D2995,'DETALLE PRECIO INGREDIENTES'!B:B,1,0)</f>
        <v>ARANDANOS FRESCOS</v>
      </c>
    </row>
    <row r="2996" spans="2:8" hidden="1" x14ac:dyDescent="0.35">
      <c r="B2996" s="80" t="s">
        <v>166</v>
      </c>
      <c r="C2996" s="80" t="s">
        <v>153</v>
      </c>
      <c r="D2996" s="73" t="s">
        <v>669</v>
      </c>
      <c r="E2996" s="74">
        <v>0.05</v>
      </c>
      <c r="F2996" s="78" t="s">
        <v>237</v>
      </c>
      <c r="G2996" s="77" t="s">
        <v>621</v>
      </c>
      <c r="H2996" t="str">
        <f>VLOOKUP(D2996,'DETALLE PRECIO INGREDIENTES'!B:B,1,0)</f>
        <v>FRAMBUESA FRESCA</v>
      </c>
    </row>
    <row r="2997" spans="2:8" hidden="1" x14ac:dyDescent="0.35">
      <c r="B2997" s="80" t="s">
        <v>166</v>
      </c>
      <c r="C2997" s="80" t="s">
        <v>153</v>
      </c>
      <c r="D2997" s="73" t="s">
        <v>307</v>
      </c>
      <c r="E2997" s="74">
        <v>1</v>
      </c>
      <c r="F2997" s="78" t="s">
        <v>259</v>
      </c>
      <c r="G2997" s="77" t="s">
        <v>220</v>
      </c>
      <c r="H2997" t="str">
        <f>VLOOKUP(D2997,'DETALLE PRECIO INGREDIENTES'!B:B,1,0)</f>
        <v>COLAPEZ POR HOJA</v>
      </c>
    </row>
    <row r="2998" spans="2:8" hidden="1" x14ac:dyDescent="0.35">
      <c r="B2998" s="80" t="s">
        <v>166</v>
      </c>
      <c r="C2998" s="80" t="s">
        <v>153</v>
      </c>
      <c r="D2998" s="73" t="s">
        <v>729</v>
      </c>
      <c r="E2998" s="74">
        <v>3</v>
      </c>
      <c r="F2998" s="78" t="s">
        <v>259</v>
      </c>
      <c r="G2998" s="77" t="s">
        <v>728</v>
      </c>
      <c r="H2998" t="str">
        <f>VLOOKUP(D2998,'DETALLE PRECIO INGREDIENTES'!B:B,1,0)</f>
        <v>HUEVO EXTRA BLANCO</v>
      </c>
    </row>
    <row r="2999" spans="2:8" hidden="1" x14ac:dyDescent="0.35">
      <c r="B2999" s="80" t="s">
        <v>166</v>
      </c>
      <c r="C2999" s="80" t="s">
        <v>153</v>
      </c>
      <c r="D2999" s="73" t="s">
        <v>348</v>
      </c>
      <c r="E2999" s="74">
        <v>0.01</v>
      </c>
      <c r="F2999" s="78" t="s">
        <v>237</v>
      </c>
      <c r="G2999" s="77" t="s">
        <v>220</v>
      </c>
      <c r="H2999" t="str">
        <f>VLOOKUP(D2999,'DETALLE PRECIO INGREDIENTES'!B:B,1,0)</f>
        <v>GLUCOSA</v>
      </c>
    </row>
    <row r="3000" spans="2:8" hidden="1" x14ac:dyDescent="0.35">
      <c r="B3000" s="80" t="s">
        <v>166</v>
      </c>
      <c r="C3000" s="80" t="s">
        <v>153</v>
      </c>
      <c r="D3000" s="73" t="s">
        <v>565</v>
      </c>
      <c r="E3000" s="74">
        <v>6.5000000000000002E-2</v>
      </c>
      <c r="F3000" s="78" t="s">
        <v>237</v>
      </c>
      <c r="G3000" s="77" t="s">
        <v>551</v>
      </c>
      <c r="H3000" t="str">
        <f>VLOOKUP(D3000,'DETALLE PRECIO INGREDIENTES'!B:B,1,0)</f>
        <v>COBERTURA AMARGA</v>
      </c>
    </row>
    <row r="3001" spans="2:8" hidden="1" x14ac:dyDescent="0.35">
      <c r="B3001" s="80" t="s">
        <v>166</v>
      </c>
      <c r="C3001" s="80" t="s">
        <v>153</v>
      </c>
      <c r="D3001" s="73" t="s">
        <v>278</v>
      </c>
      <c r="E3001" s="74">
        <v>0.04</v>
      </c>
      <c r="F3001" s="78" t="s">
        <v>237</v>
      </c>
      <c r="G3001" s="77" t="s">
        <v>220</v>
      </c>
      <c r="H3001" t="str">
        <f>VLOOKUP(D3001,'DETALLE PRECIO INGREDIENTES'!B:B,1,0)</f>
        <v>AZUCAR FLOR</v>
      </c>
    </row>
    <row r="3002" spans="2:8" hidden="1" x14ac:dyDescent="0.35">
      <c r="B3002" s="80" t="s">
        <v>166</v>
      </c>
      <c r="C3002" s="80" t="s">
        <v>153</v>
      </c>
      <c r="D3002" s="73" t="s">
        <v>751</v>
      </c>
      <c r="E3002" s="74">
        <v>0.06</v>
      </c>
      <c r="F3002" s="78" t="s">
        <v>237</v>
      </c>
      <c r="G3002" s="77" t="s">
        <v>736</v>
      </c>
      <c r="H3002" t="str">
        <f>VLOOKUP(D3002,'DETALLE PRECIO INGREDIENTES'!B:B,1,0)</f>
        <v>MANTEQUILLA SIN SAL</v>
      </c>
    </row>
    <row r="3003" spans="2:8" hidden="1" x14ac:dyDescent="0.35">
      <c r="B3003" s="80" t="s">
        <v>166</v>
      </c>
      <c r="C3003" s="80" t="s">
        <v>153</v>
      </c>
      <c r="D3003" s="73" t="s">
        <v>354</v>
      </c>
      <c r="E3003" s="74">
        <v>8.5000000000000006E-2</v>
      </c>
      <c r="F3003" s="78" t="s">
        <v>237</v>
      </c>
      <c r="G3003" s="77" t="s">
        <v>220</v>
      </c>
      <c r="H3003" t="str">
        <f>VLOOKUP(D3003,'DETALLE PRECIO INGREDIENTES'!B:B,1,0)</f>
        <v>HARINA BIZCOCHERA</v>
      </c>
    </row>
    <row r="3004" spans="2:8" hidden="1" x14ac:dyDescent="0.35">
      <c r="B3004" s="80" t="s">
        <v>166</v>
      </c>
      <c r="C3004" s="80" t="s">
        <v>153</v>
      </c>
      <c r="D3004" s="73" t="s">
        <v>513</v>
      </c>
      <c r="E3004" s="74">
        <v>0.25</v>
      </c>
      <c r="F3004" s="78" t="s">
        <v>259</v>
      </c>
      <c r="G3004" s="77" t="s">
        <v>485</v>
      </c>
      <c r="H3004" t="str">
        <f>VLOOKUP(D3004,'DETALLE PRECIO INGREDIENTES'!B:B,1,0)</f>
        <v>PAPEL MANTEQUILLA 75 X100</v>
      </c>
    </row>
    <row r="3005" spans="2:8" hidden="1" x14ac:dyDescent="0.35">
      <c r="B3005" s="80" t="s">
        <v>166</v>
      </c>
      <c r="C3005" s="80" t="s">
        <v>153</v>
      </c>
      <c r="D3005" s="73" t="s">
        <v>961</v>
      </c>
      <c r="E3005" s="74">
        <v>3.0000000000000001E-3</v>
      </c>
      <c r="F3005" s="78" t="s">
        <v>237</v>
      </c>
      <c r="G3005" s="77" t="s">
        <v>220</v>
      </c>
      <c r="H3005" t="str">
        <f>VLOOKUP(D3005,'DETALLE PRECIO INGREDIENTES'!B:B,1,0)</f>
        <v>miel</v>
      </c>
    </row>
    <row r="3006" spans="2:8" hidden="1" x14ac:dyDescent="0.35">
      <c r="B3006" s="80" t="s">
        <v>166</v>
      </c>
      <c r="C3006" s="80" t="s">
        <v>153</v>
      </c>
      <c r="D3006" s="73" t="s">
        <v>752</v>
      </c>
      <c r="E3006" s="74">
        <v>2.5000000000000001E-2</v>
      </c>
      <c r="F3006" s="78" t="s">
        <v>237</v>
      </c>
      <c r="G3006" s="77" t="s">
        <v>736</v>
      </c>
      <c r="H3006" t="str">
        <f>VLOOKUP(D3006,'DETALLE PRECIO INGREDIENTES'!B:B,1,0)</f>
        <v>MARGARINA</v>
      </c>
    </row>
    <row r="3007" spans="2:8" hidden="1" x14ac:dyDescent="0.35">
      <c r="B3007" s="80" t="s">
        <v>166</v>
      </c>
      <c r="C3007" s="80" t="s">
        <v>153</v>
      </c>
      <c r="D3007" s="73" t="s">
        <v>235</v>
      </c>
      <c r="E3007" s="74">
        <v>1.4999999999999999E-2</v>
      </c>
      <c r="F3007" s="78" t="s">
        <v>222</v>
      </c>
      <c r="G3007" s="77" t="s">
        <v>220</v>
      </c>
      <c r="H3007" t="str">
        <f>VLOOKUP(D3007,'DETALLE PRECIO INGREDIENTES'!B:B,1,0)</f>
        <v>ACEITE VEGETAL</v>
      </c>
    </row>
    <row r="3008" spans="2:8" hidden="1" x14ac:dyDescent="0.35">
      <c r="B3008" s="80" t="s">
        <v>166</v>
      </c>
      <c r="C3008" s="80" t="s">
        <v>153</v>
      </c>
      <c r="D3008" s="73" t="s">
        <v>308</v>
      </c>
      <c r="E3008" s="74">
        <v>0.1</v>
      </c>
      <c r="F3008" s="78" t="s">
        <v>259</v>
      </c>
      <c r="G3008" s="77" t="s">
        <v>220</v>
      </c>
      <c r="H3008" t="str">
        <f>VLOOKUP(D3008,'DETALLE PRECIO INGREDIENTES'!B:B,1,0)</f>
        <v>COLORANTE GEL AMARILLO</v>
      </c>
    </row>
    <row r="3009" spans="2:8" hidden="1" x14ac:dyDescent="0.35">
      <c r="B3009" s="80" t="s">
        <v>166</v>
      </c>
      <c r="C3009" s="80" t="s">
        <v>153</v>
      </c>
      <c r="D3009" s="73" t="s">
        <v>574</v>
      </c>
      <c r="E3009" s="74">
        <v>0.01</v>
      </c>
      <c r="F3009" s="78" t="s">
        <v>259</v>
      </c>
      <c r="G3009" s="77" t="s">
        <v>573</v>
      </c>
      <c r="H3009" t="str">
        <f>VLOOKUP(D3009,'DETALLE PRECIO INGREDIENTES'!B:B,1,0)</f>
        <v>COLORANTE GEL AZUL</v>
      </c>
    </row>
    <row r="3010" spans="2:8" hidden="1" x14ac:dyDescent="0.35">
      <c r="B3010" s="80" t="s">
        <v>166</v>
      </c>
      <c r="C3010" s="80" t="s">
        <v>153</v>
      </c>
      <c r="D3010" s="73" t="s">
        <v>575</v>
      </c>
      <c r="E3010" s="74">
        <v>0.1</v>
      </c>
      <c r="F3010" s="78" t="s">
        <v>259</v>
      </c>
      <c r="G3010" s="77" t="s">
        <v>573</v>
      </c>
      <c r="H3010" t="str">
        <f>VLOOKUP(D3010,'DETALLE PRECIO INGREDIENTES'!B:B,1,0)</f>
        <v>COLORANTE GEL ROJO</v>
      </c>
    </row>
    <row r="3011" spans="2:8" hidden="1" x14ac:dyDescent="0.35">
      <c r="B3011" s="80" t="s">
        <v>166</v>
      </c>
      <c r="C3011" s="80" t="s">
        <v>153</v>
      </c>
      <c r="D3011" s="73" t="s">
        <v>882</v>
      </c>
      <c r="E3011" s="74">
        <v>6.5000000000000002E-2</v>
      </c>
      <c r="F3011" s="78" t="s">
        <v>222</v>
      </c>
      <c r="G3011" s="77" t="s">
        <v>876</v>
      </c>
      <c r="H3011" t="str">
        <f>VLOOKUP(D3011,'DETALLE PRECIO INGREDIENTES'!B:B,1,0)</f>
        <v>VINO TINTO TETRA</v>
      </c>
    </row>
    <row r="3012" spans="2:8" hidden="1" x14ac:dyDescent="0.35">
      <c r="B3012" s="80" t="s">
        <v>166</v>
      </c>
      <c r="C3012" s="80" t="s">
        <v>153</v>
      </c>
      <c r="D3012" s="73" t="s">
        <v>244</v>
      </c>
      <c r="E3012" s="74">
        <v>1E-3</v>
      </c>
      <c r="F3012" s="78" t="s">
        <v>237</v>
      </c>
      <c r="G3012" s="77" t="s">
        <v>220</v>
      </c>
      <c r="H3012" t="str">
        <f>VLOOKUP(D3012,'DETALLE PRECIO INGREDIENTES'!B:B,1,0)</f>
        <v>AGAR-AGAR</v>
      </c>
    </row>
    <row r="3013" spans="2:8" hidden="1" x14ac:dyDescent="0.35">
      <c r="B3013" s="80" t="s">
        <v>166</v>
      </c>
      <c r="C3013" s="80" t="s">
        <v>153</v>
      </c>
      <c r="D3013" s="73" t="s">
        <v>504</v>
      </c>
      <c r="E3013" s="74">
        <v>1</v>
      </c>
      <c r="F3013" s="78" t="s">
        <v>259</v>
      </c>
      <c r="G3013" s="77" t="s">
        <v>485</v>
      </c>
      <c r="H3013" t="str">
        <f>VLOOKUP(D3013,'DETALLE PRECIO INGREDIENTES'!B:B,1,0)</f>
        <v>MICA CARTA</v>
      </c>
    </row>
    <row r="3014" spans="2:8" hidden="1" x14ac:dyDescent="0.35">
      <c r="B3014" s="80" t="s">
        <v>166</v>
      </c>
      <c r="C3014" s="80" t="s">
        <v>153</v>
      </c>
      <c r="D3014" s="73" t="s">
        <v>513</v>
      </c>
      <c r="E3014" s="74">
        <v>0.5</v>
      </c>
      <c r="F3014" s="78" t="s">
        <v>259</v>
      </c>
      <c r="G3014" s="77" t="s">
        <v>485</v>
      </c>
      <c r="H3014" t="str">
        <f>VLOOKUP(D3014,'DETALLE PRECIO INGREDIENTES'!B:B,1,0)</f>
        <v>PAPEL MANTEQUILLA 75 X100</v>
      </c>
    </row>
    <row r="3015" spans="2:8" hidden="1" x14ac:dyDescent="0.35">
      <c r="B3015" s="80" t="s">
        <v>166</v>
      </c>
      <c r="C3015" s="80" t="s">
        <v>153</v>
      </c>
      <c r="D3015" s="73" t="s">
        <v>566</v>
      </c>
      <c r="E3015" s="74">
        <v>0.03</v>
      </c>
      <c r="F3015" s="78" t="s">
        <v>237</v>
      </c>
      <c r="G3015" s="77" t="s">
        <v>551</v>
      </c>
      <c r="H3015" t="str">
        <f>VLOOKUP(D3015,'DETALLE PRECIO INGREDIENTES'!B:B,1,0)</f>
        <v>COBERTURA BLANCA</v>
      </c>
    </row>
    <row r="3016" spans="2:8" hidden="1" x14ac:dyDescent="0.35">
      <c r="B3016" s="80" t="s">
        <v>166</v>
      </c>
      <c r="C3016" s="80" t="s">
        <v>152</v>
      </c>
      <c r="D3016" s="73" t="s">
        <v>748</v>
      </c>
      <c r="E3016" s="74">
        <v>0.2</v>
      </c>
      <c r="F3016" s="78" t="s">
        <v>222</v>
      </c>
      <c r="G3016" s="77" t="s">
        <v>736</v>
      </c>
      <c r="H3016" t="str">
        <f>VLOOKUP(D3016,'DETALLE PRECIO INGREDIENTES'!B:B,1,0)</f>
        <v>LECHE ENTERA</v>
      </c>
    </row>
    <row r="3017" spans="2:8" hidden="1" x14ac:dyDescent="0.35">
      <c r="B3017" s="80" t="s">
        <v>166</v>
      </c>
      <c r="C3017" s="80" t="s">
        <v>152</v>
      </c>
      <c r="D3017" s="73" t="s">
        <v>739</v>
      </c>
      <c r="E3017" s="74">
        <v>0.15</v>
      </c>
      <c r="F3017" s="78" t="s">
        <v>222</v>
      </c>
      <c r="G3017" s="77" t="s">
        <v>736</v>
      </c>
      <c r="H3017" t="str">
        <f>VLOOKUP(D3017,'DETALLE PRECIO INGREDIENTES'!B:B,1,0)</f>
        <v>CREMA DE LECHE</v>
      </c>
    </row>
    <row r="3018" spans="2:8" hidden="1" x14ac:dyDescent="0.35">
      <c r="B3018" s="80" t="s">
        <v>166</v>
      </c>
      <c r="C3018" s="80" t="s">
        <v>152</v>
      </c>
      <c r="D3018" s="73" t="s">
        <v>729</v>
      </c>
      <c r="E3018" s="74">
        <v>3</v>
      </c>
      <c r="F3018" s="78" t="s">
        <v>259</v>
      </c>
      <c r="G3018" s="77" t="s">
        <v>728</v>
      </c>
      <c r="H3018" t="str">
        <f>VLOOKUP(D3018,'DETALLE PRECIO INGREDIENTES'!B:B,1,0)</f>
        <v>HUEVO EXTRA BLANCO</v>
      </c>
    </row>
    <row r="3019" spans="2:8" hidden="1" x14ac:dyDescent="0.35">
      <c r="B3019" s="80" t="s">
        <v>166</v>
      </c>
      <c r="C3019" s="80" t="s">
        <v>152</v>
      </c>
      <c r="D3019" s="73" t="s">
        <v>277</v>
      </c>
      <c r="E3019" s="74">
        <v>0.25</v>
      </c>
      <c r="F3019" s="78" t="s">
        <v>237</v>
      </c>
      <c r="G3019" s="77" t="s">
        <v>220</v>
      </c>
      <c r="H3019" t="str">
        <f>VLOOKUP(D3019,'DETALLE PRECIO INGREDIENTES'!B:B,1,0)</f>
        <v>AZUCAR BLANCA GRANULADA</v>
      </c>
    </row>
    <row r="3020" spans="2:8" hidden="1" x14ac:dyDescent="0.35">
      <c r="B3020" s="80" t="s">
        <v>166</v>
      </c>
      <c r="C3020" s="80" t="s">
        <v>152</v>
      </c>
      <c r="D3020" s="73" t="s">
        <v>471</v>
      </c>
      <c r="E3020" s="74">
        <v>0.25</v>
      </c>
      <c r="F3020" s="78" t="s">
        <v>259</v>
      </c>
      <c r="G3020" s="77" t="s">
        <v>220</v>
      </c>
      <c r="H3020" t="str">
        <f>VLOOKUP(D3020,'DETALLE PRECIO INGREDIENTES'!B:B,1,0)</f>
        <v>VAINA VAINILLA</v>
      </c>
    </row>
    <row r="3021" spans="2:8" hidden="1" x14ac:dyDescent="0.35">
      <c r="B3021" s="80" t="s">
        <v>166</v>
      </c>
      <c r="C3021" s="80" t="s">
        <v>152</v>
      </c>
      <c r="D3021" s="73" t="s">
        <v>565</v>
      </c>
      <c r="E3021" s="74">
        <v>0.1</v>
      </c>
      <c r="F3021" s="78" t="s">
        <v>237</v>
      </c>
      <c r="G3021" s="77" t="s">
        <v>551</v>
      </c>
      <c r="H3021" t="str">
        <f>VLOOKUP(D3021,'DETALLE PRECIO INGREDIENTES'!B:B,1,0)</f>
        <v>COBERTURA AMARGA</v>
      </c>
    </row>
    <row r="3022" spans="2:8" hidden="1" x14ac:dyDescent="0.35">
      <c r="B3022" s="80" t="s">
        <v>166</v>
      </c>
      <c r="C3022" s="80" t="s">
        <v>152</v>
      </c>
      <c r="D3022" s="73" t="s">
        <v>329</v>
      </c>
      <c r="E3022" s="74">
        <v>0.01</v>
      </c>
      <c r="F3022" s="78" t="s">
        <v>222</v>
      </c>
      <c r="G3022" s="77" t="s">
        <v>220</v>
      </c>
      <c r="H3022" t="str">
        <f>VLOOKUP(D3022,'DETALLE PRECIO INGREDIENTES'!B:B,1,0)</f>
        <v>ESENCIA DE VAINILLA</v>
      </c>
    </row>
    <row r="3023" spans="2:8" hidden="1" x14ac:dyDescent="0.35">
      <c r="B3023" s="80" t="s">
        <v>166</v>
      </c>
      <c r="C3023" s="80" t="s">
        <v>152</v>
      </c>
      <c r="D3023" s="73" t="s">
        <v>680</v>
      </c>
      <c r="E3023" s="74">
        <v>0.1</v>
      </c>
      <c r="F3023" s="78" t="s">
        <v>237</v>
      </c>
      <c r="G3023" s="77" t="s">
        <v>621</v>
      </c>
      <c r="H3023" t="str">
        <f>VLOOKUP(D3023,'DETALLE PRECIO INGREDIENTES'!B:B,1,0)</f>
        <v>LIMON DE JUGO</v>
      </c>
    </row>
    <row r="3024" spans="2:8" hidden="1" x14ac:dyDescent="0.35">
      <c r="B3024" s="80" t="s">
        <v>166</v>
      </c>
      <c r="C3024" s="80" t="s">
        <v>152</v>
      </c>
      <c r="D3024" s="73" t="s">
        <v>735</v>
      </c>
      <c r="E3024" s="74">
        <v>0.1</v>
      </c>
      <c r="F3024" s="78" t="s">
        <v>259</v>
      </c>
      <c r="G3024" s="77" t="s">
        <v>734</v>
      </c>
      <c r="H3024" t="str">
        <f>VLOOKUP(D3024,'DETALLE PRECIO INGREDIENTES'!B:B,1,0)</f>
        <v>JUGO DE NARANJA</v>
      </c>
    </row>
    <row r="3025" spans="2:8" hidden="1" x14ac:dyDescent="0.35">
      <c r="B3025" s="80" t="s">
        <v>166</v>
      </c>
      <c r="C3025" s="80" t="s">
        <v>152</v>
      </c>
      <c r="D3025" s="73" t="s">
        <v>375</v>
      </c>
      <c r="E3025" s="74">
        <v>0.03</v>
      </c>
      <c r="F3025" s="78" t="s">
        <v>237</v>
      </c>
      <c r="G3025" s="77" t="s">
        <v>220</v>
      </c>
      <c r="H3025" t="str">
        <f>VLOOKUP(D3025,'DETALLE PRECIO INGREDIENTES'!B:B,1,0)</f>
        <v>MAICENA</v>
      </c>
    </row>
    <row r="3026" spans="2:8" hidden="1" x14ac:dyDescent="0.35">
      <c r="B3026" s="80" t="s">
        <v>166</v>
      </c>
      <c r="C3026" s="80" t="s">
        <v>152</v>
      </c>
      <c r="D3026" s="73" t="s">
        <v>348</v>
      </c>
      <c r="E3026" s="74">
        <v>0.03</v>
      </c>
      <c r="F3026" s="78" t="s">
        <v>237</v>
      </c>
      <c r="G3026" s="77" t="s">
        <v>220</v>
      </c>
      <c r="H3026" t="str">
        <f>VLOOKUP(D3026,'DETALLE PRECIO INGREDIENTES'!B:B,1,0)</f>
        <v>GLUCOSA</v>
      </c>
    </row>
    <row r="3027" spans="2:8" hidden="1" x14ac:dyDescent="0.35">
      <c r="B3027" s="80" t="s">
        <v>166</v>
      </c>
      <c r="C3027" s="80" t="s">
        <v>152</v>
      </c>
      <c r="D3027" s="73" t="s">
        <v>686</v>
      </c>
      <c r="E3027" s="74">
        <v>0.25</v>
      </c>
      <c r="F3027" s="78" t="s">
        <v>237</v>
      </c>
      <c r="G3027" s="77" t="s">
        <v>621</v>
      </c>
      <c r="H3027" t="str">
        <f>VLOOKUP(D3027,'DETALLE PRECIO INGREDIENTES'!B:B,1,0)</f>
        <v>MIX DE BERRIES CONGELADO</v>
      </c>
    </row>
    <row r="3028" spans="2:8" hidden="1" x14ac:dyDescent="0.35">
      <c r="B3028" s="80" t="s">
        <v>166</v>
      </c>
      <c r="C3028" s="80" t="s">
        <v>152</v>
      </c>
      <c r="D3028" s="73" t="s">
        <v>705</v>
      </c>
      <c r="E3028" s="74">
        <v>7.7499999999999999E-2</v>
      </c>
      <c r="F3028" s="78" t="s">
        <v>237</v>
      </c>
      <c r="G3028" s="77" t="s">
        <v>621</v>
      </c>
      <c r="H3028" t="str">
        <f>VLOOKUP(D3028,'DETALLE PRECIO INGREDIENTES'!B:B,1,0)</f>
        <v>PLATANOS</v>
      </c>
    </row>
    <row r="3029" spans="2:8" hidden="1" x14ac:dyDescent="0.35">
      <c r="B3029" s="80" t="s">
        <v>166</v>
      </c>
      <c r="C3029" s="80" t="s">
        <v>152</v>
      </c>
      <c r="D3029" s="73" t="s">
        <v>690</v>
      </c>
      <c r="E3029" s="74">
        <v>0.05</v>
      </c>
      <c r="F3029" s="78" t="s">
        <v>237</v>
      </c>
      <c r="G3029" s="77" t="s">
        <v>621</v>
      </c>
      <c r="H3029" t="str">
        <f>VLOOKUP(D3029,'DETALLE PRECIO INGREDIENTES'!B:B,1,0)</f>
        <v>NARANJA DE JUGO</v>
      </c>
    </row>
    <row r="3030" spans="2:8" hidden="1" x14ac:dyDescent="0.35">
      <c r="B3030" s="80" t="s">
        <v>166</v>
      </c>
      <c r="C3030" s="80" t="s">
        <v>152</v>
      </c>
      <c r="D3030" s="73" t="s">
        <v>684</v>
      </c>
      <c r="E3030" s="74">
        <v>0.03</v>
      </c>
      <c r="F3030" s="78" t="s">
        <v>237</v>
      </c>
      <c r="G3030" s="77" t="s">
        <v>621</v>
      </c>
      <c r="H3030" t="str">
        <f>VLOOKUP(D3030,'DETALLE PRECIO INGREDIENTES'!B:B,1,0)</f>
        <v>MANZANA VERDE</v>
      </c>
    </row>
    <row r="3031" spans="2:8" hidden="1" x14ac:dyDescent="0.35">
      <c r="B3031" s="80" t="s">
        <v>166</v>
      </c>
      <c r="C3031" s="80" t="s">
        <v>152</v>
      </c>
      <c r="D3031" s="73" t="s">
        <v>697</v>
      </c>
      <c r="E3031" s="74">
        <v>0.03</v>
      </c>
      <c r="F3031" s="78" t="s">
        <v>237</v>
      </c>
      <c r="G3031" s="77" t="s">
        <v>621</v>
      </c>
      <c r="H3031" t="str">
        <f>VLOOKUP(D3031,'DETALLE PRECIO INGREDIENTES'!B:B,1,0)</f>
        <v>PERAS</v>
      </c>
    </row>
    <row r="3032" spans="2:8" hidden="1" x14ac:dyDescent="0.35">
      <c r="B3032" s="80" t="s">
        <v>166</v>
      </c>
      <c r="C3032" s="80" t="s">
        <v>152</v>
      </c>
      <c r="D3032" s="73" t="s">
        <v>704</v>
      </c>
      <c r="E3032" s="74">
        <v>0.1</v>
      </c>
      <c r="F3032" s="78" t="s">
        <v>259</v>
      </c>
      <c r="G3032" s="77" t="s">
        <v>621</v>
      </c>
      <c r="H3032" t="str">
        <f>VLOOKUP(D3032,'DETALLE PRECIO INGREDIENTES'!B:B,1,0)</f>
        <v>PIÑA CARAMELO</v>
      </c>
    </row>
    <row r="3033" spans="2:8" hidden="1" x14ac:dyDescent="0.35">
      <c r="B3033" s="80" t="s">
        <v>166</v>
      </c>
      <c r="C3033" s="80" t="s">
        <v>152</v>
      </c>
      <c r="D3033" s="73" t="s">
        <v>278</v>
      </c>
      <c r="E3033" s="74">
        <v>0.05</v>
      </c>
      <c r="F3033" s="78" t="s">
        <v>237</v>
      </c>
      <c r="G3033" s="77" t="s">
        <v>220</v>
      </c>
      <c r="H3033" t="str">
        <f>VLOOKUP(D3033,'DETALLE PRECIO INGREDIENTES'!B:B,1,0)</f>
        <v>AZUCAR FLOR</v>
      </c>
    </row>
    <row r="3034" spans="2:8" hidden="1" x14ac:dyDescent="0.35">
      <c r="B3034" s="80" t="s">
        <v>166</v>
      </c>
      <c r="C3034" s="80" t="s">
        <v>151</v>
      </c>
      <c r="D3034" s="73" t="s">
        <v>686</v>
      </c>
      <c r="E3034" s="74">
        <v>0.2</v>
      </c>
      <c r="F3034" s="78" t="s">
        <v>237</v>
      </c>
      <c r="G3034" s="77" t="s">
        <v>621</v>
      </c>
      <c r="H3034" t="str">
        <f>VLOOKUP(D3034,'DETALLE PRECIO INGREDIENTES'!B:B,1,0)</f>
        <v>MIX DE BERRIES CONGELADO</v>
      </c>
    </row>
    <row r="3035" spans="2:8" hidden="1" x14ac:dyDescent="0.35">
      <c r="B3035" s="80" t="s">
        <v>166</v>
      </c>
      <c r="C3035" s="80" t="s">
        <v>151</v>
      </c>
      <c r="D3035" s="73" t="s">
        <v>277</v>
      </c>
      <c r="E3035" s="74">
        <v>0.2</v>
      </c>
      <c r="F3035" s="78" t="s">
        <v>237</v>
      </c>
      <c r="G3035" s="77" t="s">
        <v>220</v>
      </c>
      <c r="H3035" t="str">
        <f>VLOOKUP(D3035,'DETALLE PRECIO INGREDIENTES'!B:B,1,0)</f>
        <v>AZUCAR BLANCA GRANULADA</v>
      </c>
    </row>
    <row r="3036" spans="2:8" hidden="1" x14ac:dyDescent="0.35">
      <c r="B3036" s="80" t="s">
        <v>166</v>
      </c>
      <c r="C3036" s="80" t="s">
        <v>151</v>
      </c>
      <c r="D3036" s="73" t="s">
        <v>680</v>
      </c>
      <c r="E3036" s="74">
        <v>0.02</v>
      </c>
      <c r="F3036" s="78" t="s">
        <v>237</v>
      </c>
      <c r="G3036" s="77" t="s">
        <v>621</v>
      </c>
      <c r="H3036" t="str">
        <f>VLOOKUP(D3036,'DETALLE PRECIO INGREDIENTES'!B:B,1,0)</f>
        <v>LIMON DE JUGO</v>
      </c>
    </row>
    <row r="3037" spans="2:8" hidden="1" x14ac:dyDescent="0.35">
      <c r="B3037" s="80" t="s">
        <v>166</v>
      </c>
      <c r="C3037" s="80" t="s">
        <v>151</v>
      </c>
      <c r="D3037" s="73" t="s">
        <v>348</v>
      </c>
      <c r="E3037" s="74">
        <v>0.04</v>
      </c>
      <c r="F3037" s="78" t="s">
        <v>237</v>
      </c>
      <c r="G3037" s="77" t="s">
        <v>220</v>
      </c>
      <c r="H3037" t="str">
        <f>VLOOKUP(D3037,'DETALLE PRECIO INGREDIENTES'!B:B,1,0)</f>
        <v>GLUCOSA</v>
      </c>
    </row>
    <row r="3038" spans="2:8" hidden="1" x14ac:dyDescent="0.35">
      <c r="B3038" s="80" t="s">
        <v>166</v>
      </c>
      <c r="C3038" s="80" t="s">
        <v>151</v>
      </c>
      <c r="D3038" s="73" t="s">
        <v>559</v>
      </c>
      <c r="E3038" s="74">
        <v>0.04</v>
      </c>
      <c r="F3038" s="78" t="s">
        <v>237</v>
      </c>
      <c r="G3038" s="77" t="s">
        <v>551</v>
      </c>
      <c r="H3038" t="str">
        <f>VLOOKUP(D3038,'DETALLE PRECIO INGREDIENTES'!B:B,1,0)</f>
        <v>CHOCOLATE AMARGO 70%</v>
      </c>
    </row>
    <row r="3039" spans="2:8" hidden="1" x14ac:dyDescent="0.35">
      <c r="B3039" s="80" t="s">
        <v>166</v>
      </c>
      <c r="C3039" s="80" t="s">
        <v>151</v>
      </c>
      <c r="D3039" s="73" t="s">
        <v>751</v>
      </c>
      <c r="E3039" s="74">
        <v>5.7099999999999998E-2</v>
      </c>
      <c r="F3039" s="78" t="s">
        <v>237</v>
      </c>
      <c r="G3039" s="77" t="s">
        <v>736</v>
      </c>
      <c r="H3039" t="str">
        <f>VLOOKUP(D3039,'DETALLE PRECIO INGREDIENTES'!B:B,1,0)</f>
        <v>MANTEQUILLA SIN SAL</v>
      </c>
    </row>
    <row r="3040" spans="2:8" hidden="1" x14ac:dyDescent="0.35">
      <c r="B3040" s="80" t="s">
        <v>166</v>
      </c>
      <c r="C3040" s="80" t="s">
        <v>151</v>
      </c>
      <c r="D3040" s="73" t="s">
        <v>729</v>
      </c>
      <c r="E3040" s="74">
        <v>2</v>
      </c>
      <c r="F3040" s="78" t="s">
        <v>259</v>
      </c>
      <c r="G3040" s="77" t="s">
        <v>728</v>
      </c>
      <c r="H3040" t="str">
        <f>VLOOKUP(D3040,'DETALLE PRECIO INGREDIENTES'!B:B,1,0)</f>
        <v>HUEVO EXTRA BLANCO</v>
      </c>
    </row>
    <row r="3041" spans="2:8" hidden="1" x14ac:dyDescent="0.35">
      <c r="B3041" s="80" t="s">
        <v>166</v>
      </c>
      <c r="C3041" s="80" t="s">
        <v>151</v>
      </c>
      <c r="D3041" s="73" t="s">
        <v>354</v>
      </c>
      <c r="E3041" s="74">
        <v>5.5E-2</v>
      </c>
      <c r="F3041" s="78" t="s">
        <v>237</v>
      </c>
      <c r="G3041" s="77" t="s">
        <v>220</v>
      </c>
      <c r="H3041" t="str">
        <f>VLOOKUP(D3041,'DETALLE PRECIO INGREDIENTES'!B:B,1,0)</f>
        <v>HARINA BIZCOCHERA</v>
      </c>
    </row>
    <row r="3042" spans="2:8" hidden="1" x14ac:dyDescent="0.35">
      <c r="B3042" s="80" t="s">
        <v>166</v>
      </c>
      <c r="C3042" s="80" t="s">
        <v>151</v>
      </c>
      <c r="D3042" s="73" t="s">
        <v>553</v>
      </c>
      <c r="E3042" s="74">
        <v>5.0000000000000001E-3</v>
      </c>
      <c r="F3042" s="78" t="s">
        <v>237</v>
      </c>
      <c r="G3042" s="77" t="s">
        <v>551</v>
      </c>
      <c r="H3042" t="str">
        <f>VLOOKUP(D3042,'DETALLE PRECIO INGREDIENTES'!B:B,1,0)</f>
        <v>CACAO EN POLVO ALCALINO</v>
      </c>
    </row>
    <row r="3043" spans="2:8" hidden="1" x14ac:dyDescent="0.35">
      <c r="B3043" s="80" t="s">
        <v>166</v>
      </c>
      <c r="C3043" s="80" t="s">
        <v>151</v>
      </c>
      <c r="D3043" s="73" t="s">
        <v>634</v>
      </c>
      <c r="E3043" s="74">
        <v>0.03</v>
      </c>
      <c r="F3043" s="78" t="s">
        <v>237</v>
      </c>
      <c r="G3043" s="77" t="s">
        <v>621</v>
      </c>
      <c r="H3043" t="str">
        <f>VLOOKUP(D3043,'DETALLE PRECIO INGREDIENTES'!B:B,1,0)</f>
        <v>ARANDANOS FRESCOS</v>
      </c>
    </row>
    <row r="3044" spans="2:8" hidden="1" x14ac:dyDescent="0.35">
      <c r="B3044" s="80" t="s">
        <v>166</v>
      </c>
      <c r="C3044" s="80" t="s">
        <v>151</v>
      </c>
      <c r="D3044" s="73" t="s">
        <v>669</v>
      </c>
      <c r="E3044" s="74">
        <v>0.03</v>
      </c>
      <c r="F3044" s="78" t="s">
        <v>237</v>
      </c>
      <c r="G3044" s="77" t="s">
        <v>621</v>
      </c>
      <c r="H3044" t="str">
        <f>VLOOKUP(D3044,'DETALLE PRECIO INGREDIENTES'!B:B,1,0)</f>
        <v>FRAMBUESA FRESCA</v>
      </c>
    </row>
    <row r="3045" spans="2:8" hidden="1" x14ac:dyDescent="0.35">
      <c r="B3045" s="80" t="s">
        <v>166</v>
      </c>
      <c r="C3045" s="80" t="s">
        <v>151</v>
      </c>
      <c r="D3045" s="73" t="s">
        <v>671</v>
      </c>
      <c r="E3045" s="74">
        <v>0.03</v>
      </c>
      <c r="F3045" s="78" t="s">
        <v>237</v>
      </c>
      <c r="G3045" s="77" t="s">
        <v>621</v>
      </c>
      <c r="H3045" t="str">
        <f>VLOOKUP(D3045,'DETALLE PRECIO INGREDIENTES'!B:B,1,0)</f>
        <v>FRUTILLA FRESCA</v>
      </c>
    </row>
    <row r="3046" spans="2:8" hidden="1" x14ac:dyDescent="0.35">
      <c r="B3046" s="80" t="s">
        <v>166</v>
      </c>
      <c r="C3046" s="80" t="s">
        <v>151</v>
      </c>
      <c r="D3046" s="73" t="s">
        <v>690</v>
      </c>
      <c r="E3046" s="74">
        <v>0.03</v>
      </c>
      <c r="F3046" s="78" t="s">
        <v>237</v>
      </c>
      <c r="G3046" s="77" t="s">
        <v>621</v>
      </c>
      <c r="H3046" t="str">
        <f>VLOOKUP(D3046,'DETALLE PRECIO INGREDIENTES'!B:B,1,0)</f>
        <v>NARANJA DE JUGO</v>
      </c>
    </row>
    <row r="3047" spans="2:8" hidden="1" x14ac:dyDescent="0.35">
      <c r="B3047" s="80" t="s">
        <v>166</v>
      </c>
      <c r="C3047" s="80" t="s">
        <v>151</v>
      </c>
      <c r="D3047" s="73" t="s">
        <v>752</v>
      </c>
      <c r="E3047" s="74">
        <v>0.05</v>
      </c>
      <c r="F3047" s="78" t="s">
        <v>237</v>
      </c>
      <c r="G3047" s="77" t="s">
        <v>736</v>
      </c>
      <c r="H3047" t="str">
        <f>VLOOKUP(D3047,'DETALLE PRECIO INGREDIENTES'!B:B,1,0)</f>
        <v>MARGARINA</v>
      </c>
    </row>
    <row r="3048" spans="2:8" hidden="1" x14ac:dyDescent="0.35">
      <c r="B3048" s="80" t="s">
        <v>166</v>
      </c>
      <c r="C3048" s="80" t="s">
        <v>151</v>
      </c>
      <c r="D3048" s="73" t="s">
        <v>278</v>
      </c>
      <c r="E3048" s="74">
        <v>0.05</v>
      </c>
      <c r="F3048" s="78" t="s">
        <v>237</v>
      </c>
      <c r="G3048" s="77" t="s">
        <v>220</v>
      </c>
      <c r="H3048" t="str">
        <f>VLOOKUP(D3048,'DETALLE PRECIO INGREDIENTES'!B:B,1,0)</f>
        <v>AZUCAR FLOR</v>
      </c>
    </row>
    <row r="3049" spans="2:8" hidden="1" x14ac:dyDescent="0.35">
      <c r="B3049" s="80" t="s">
        <v>166</v>
      </c>
      <c r="C3049" s="80" t="s">
        <v>151</v>
      </c>
      <c r="D3049" s="73" t="s">
        <v>504</v>
      </c>
      <c r="E3049" s="74">
        <v>1</v>
      </c>
      <c r="F3049" s="78" t="s">
        <v>259</v>
      </c>
      <c r="G3049" s="77" t="s">
        <v>485</v>
      </c>
      <c r="H3049" t="str">
        <f>VLOOKUP(D3049,'DETALLE PRECIO INGREDIENTES'!B:B,1,0)</f>
        <v>MICA CARTA</v>
      </c>
    </row>
    <row r="3050" spans="2:8" hidden="1" x14ac:dyDescent="0.35">
      <c r="B3050" s="80" t="s">
        <v>166</v>
      </c>
      <c r="C3050" s="80" t="s">
        <v>151</v>
      </c>
      <c r="D3050" s="73" t="s">
        <v>513</v>
      </c>
      <c r="E3050" s="74">
        <v>0.5</v>
      </c>
      <c r="F3050" s="78" t="s">
        <v>259</v>
      </c>
      <c r="G3050" s="77" t="s">
        <v>485</v>
      </c>
      <c r="H3050" t="str">
        <f>VLOOKUP(D3050,'DETALLE PRECIO INGREDIENTES'!B:B,1,0)</f>
        <v>PAPEL MANTEQUILLA 75 X100</v>
      </c>
    </row>
    <row r="3051" spans="2:8" hidden="1" x14ac:dyDescent="0.35">
      <c r="B3051" s="80" t="s">
        <v>166</v>
      </c>
      <c r="C3051" s="80" t="s">
        <v>151</v>
      </c>
      <c r="D3051" s="73" t="s">
        <v>739</v>
      </c>
      <c r="E3051" s="74">
        <v>0.1</v>
      </c>
      <c r="F3051" s="78" t="s">
        <v>222</v>
      </c>
      <c r="G3051" s="77" t="s">
        <v>736</v>
      </c>
      <c r="H3051" t="str">
        <f>VLOOKUP(D3051,'DETALLE PRECIO INGREDIENTES'!B:B,1,0)</f>
        <v>CREMA DE LECHE</v>
      </c>
    </row>
    <row r="3052" spans="2:8" hidden="1" x14ac:dyDescent="0.35">
      <c r="B3052" s="80" t="s">
        <v>166</v>
      </c>
      <c r="C3052" s="80" t="s">
        <v>150</v>
      </c>
      <c r="D3052" s="73" t="s">
        <v>729</v>
      </c>
      <c r="E3052" s="74">
        <v>1</v>
      </c>
      <c r="F3052" s="78" t="s">
        <v>259</v>
      </c>
      <c r="G3052" s="77" t="s">
        <v>728</v>
      </c>
      <c r="H3052" t="str">
        <f>VLOOKUP(D3052,'DETALLE PRECIO INGREDIENTES'!B:B,1,0)</f>
        <v>HUEVO EXTRA BLANCO</v>
      </c>
    </row>
    <row r="3053" spans="2:8" hidden="1" x14ac:dyDescent="0.35">
      <c r="B3053" s="80" t="s">
        <v>166</v>
      </c>
      <c r="C3053" s="80" t="s">
        <v>150</v>
      </c>
      <c r="D3053" s="73" t="s">
        <v>277</v>
      </c>
      <c r="E3053" s="74">
        <v>7.5999999999999998E-2</v>
      </c>
      <c r="F3053" s="78" t="s">
        <v>237</v>
      </c>
      <c r="G3053" s="77" t="s">
        <v>220</v>
      </c>
      <c r="H3053" t="str">
        <f>VLOOKUP(D3053,'DETALLE PRECIO INGREDIENTES'!B:B,1,0)</f>
        <v>AZUCAR BLANCA GRANULADA</v>
      </c>
    </row>
    <row r="3054" spans="2:8" hidden="1" x14ac:dyDescent="0.35">
      <c r="B3054" s="80" t="s">
        <v>166</v>
      </c>
      <c r="C3054" s="80" t="s">
        <v>150</v>
      </c>
      <c r="D3054" s="73" t="s">
        <v>739</v>
      </c>
      <c r="E3054" s="74">
        <v>0.18240000000000001</v>
      </c>
      <c r="F3054" s="78" t="s">
        <v>222</v>
      </c>
      <c r="G3054" s="77" t="s">
        <v>736</v>
      </c>
      <c r="H3054" t="str">
        <f>VLOOKUP(D3054,'DETALLE PRECIO INGREDIENTES'!B:B,1,0)</f>
        <v>CREMA DE LECHE</v>
      </c>
    </row>
    <row r="3055" spans="2:8" hidden="1" x14ac:dyDescent="0.35">
      <c r="B3055" s="80" t="s">
        <v>166</v>
      </c>
      <c r="C3055" s="80" t="s">
        <v>150</v>
      </c>
      <c r="D3055" s="73" t="s">
        <v>307</v>
      </c>
      <c r="E3055" s="74">
        <v>3</v>
      </c>
      <c r="F3055" s="78" t="s">
        <v>259</v>
      </c>
      <c r="G3055" s="77" t="s">
        <v>220</v>
      </c>
      <c r="H3055" t="str">
        <f>VLOOKUP(D3055,'DETALLE PRECIO INGREDIENTES'!B:B,1,0)</f>
        <v>COLAPEZ POR HOJA</v>
      </c>
    </row>
    <row r="3056" spans="2:8" hidden="1" x14ac:dyDescent="0.35">
      <c r="B3056" s="80" t="s">
        <v>166</v>
      </c>
      <c r="C3056" s="80" t="s">
        <v>150</v>
      </c>
      <c r="D3056" s="73" t="s">
        <v>686</v>
      </c>
      <c r="E3056" s="74">
        <v>3.7999999999999999E-2</v>
      </c>
      <c r="F3056" s="78" t="s">
        <v>237</v>
      </c>
      <c r="G3056" s="77" t="s">
        <v>621</v>
      </c>
      <c r="H3056" t="str">
        <f>VLOOKUP(D3056,'DETALLE PRECIO INGREDIENTES'!B:B,1,0)</f>
        <v>MIX DE BERRIES CONGELADO</v>
      </c>
    </row>
    <row r="3057" spans="2:8" hidden="1" x14ac:dyDescent="0.35">
      <c r="B3057" s="80" t="s">
        <v>166</v>
      </c>
      <c r="C3057" s="80" t="s">
        <v>150</v>
      </c>
      <c r="D3057" s="73" t="s">
        <v>767</v>
      </c>
      <c r="E3057" s="74">
        <v>3.2000000000000001E-2</v>
      </c>
      <c r="F3057" s="78" t="s">
        <v>237</v>
      </c>
      <c r="G3057" s="77" t="s">
        <v>736</v>
      </c>
      <c r="H3057" t="str">
        <f>VLOOKUP(D3057,'DETALLE PRECIO INGREDIENTES'!B:B,1,0)</f>
        <v>QUESO MASCARPONE</v>
      </c>
    </row>
    <row r="3058" spans="2:8" hidden="1" x14ac:dyDescent="0.35">
      <c r="B3058" s="80" t="s">
        <v>166</v>
      </c>
      <c r="C3058" s="80" t="s">
        <v>150</v>
      </c>
      <c r="D3058" s="73" t="s">
        <v>759</v>
      </c>
      <c r="E3058" s="74">
        <v>3.2000000000000001E-2</v>
      </c>
      <c r="F3058" s="78" t="s">
        <v>237</v>
      </c>
      <c r="G3058" s="77" t="s">
        <v>736</v>
      </c>
      <c r="H3058" t="str">
        <f>VLOOKUP(D3058,'DETALLE PRECIO INGREDIENTES'!B:B,1,0)</f>
        <v>QUESO CREMA</v>
      </c>
    </row>
    <row r="3059" spans="2:8" hidden="1" x14ac:dyDescent="0.35">
      <c r="B3059" s="80" t="s">
        <v>166</v>
      </c>
      <c r="C3059" s="80" t="s">
        <v>150</v>
      </c>
      <c r="D3059" s="73" t="s">
        <v>288</v>
      </c>
      <c r="E3059" s="74">
        <v>5.0000000000000001E-3</v>
      </c>
      <c r="F3059" s="78" t="s">
        <v>237</v>
      </c>
      <c r="G3059" s="77" t="s">
        <v>220</v>
      </c>
      <c r="H3059" t="str">
        <f>VLOOKUP(D3059,'DETALLE PRECIO INGREDIENTES'!B:B,1,0)</f>
        <v>CAFE INSTANTANEO</v>
      </c>
    </row>
    <row r="3060" spans="2:8" hidden="1" x14ac:dyDescent="0.35">
      <c r="B3060" s="80" t="s">
        <v>166</v>
      </c>
      <c r="C3060" s="80" t="s">
        <v>150</v>
      </c>
      <c r="D3060" s="73" t="s">
        <v>748</v>
      </c>
      <c r="E3060" s="74">
        <v>9.6000000000000002E-2</v>
      </c>
      <c r="F3060" s="78" t="s">
        <v>222</v>
      </c>
      <c r="G3060" s="77" t="s">
        <v>736</v>
      </c>
      <c r="H3060" t="str">
        <f>VLOOKUP(D3060,'DETALLE PRECIO INGREDIENTES'!B:B,1,0)</f>
        <v>LECHE ENTERA</v>
      </c>
    </row>
    <row r="3061" spans="2:8" hidden="1" x14ac:dyDescent="0.35">
      <c r="B3061" s="80" t="s">
        <v>166</v>
      </c>
      <c r="C3061" s="80" t="s">
        <v>150</v>
      </c>
      <c r="D3061" s="73" t="s">
        <v>375</v>
      </c>
      <c r="E3061" s="74">
        <v>3.0000000000000001E-3</v>
      </c>
      <c r="F3061" s="78" t="s">
        <v>237</v>
      </c>
      <c r="G3061" s="77" t="s">
        <v>220</v>
      </c>
      <c r="H3061" t="str">
        <f>VLOOKUP(D3061,'DETALLE PRECIO INGREDIENTES'!B:B,1,0)</f>
        <v>MAICENA</v>
      </c>
    </row>
    <row r="3062" spans="2:8" hidden="1" x14ac:dyDescent="0.35">
      <c r="B3062" s="80" t="s">
        <v>166</v>
      </c>
      <c r="C3062" s="80" t="s">
        <v>150</v>
      </c>
      <c r="D3062" s="73" t="s">
        <v>565</v>
      </c>
      <c r="E3062" s="74">
        <v>0.11700000000000001</v>
      </c>
      <c r="F3062" s="78" t="s">
        <v>237</v>
      </c>
      <c r="G3062" s="77" t="s">
        <v>551</v>
      </c>
      <c r="H3062" t="str">
        <f>VLOOKUP(D3062,'DETALLE PRECIO INGREDIENTES'!B:B,1,0)</f>
        <v>COBERTURA AMARGA</v>
      </c>
    </row>
    <row r="3063" spans="2:8" hidden="1" x14ac:dyDescent="0.35">
      <c r="B3063" s="80" t="s">
        <v>166</v>
      </c>
      <c r="C3063" s="80" t="s">
        <v>150</v>
      </c>
      <c r="D3063" s="73" t="s">
        <v>348</v>
      </c>
      <c r="E3063" s="74">
        <v>2.5000000000000001E-2</v>
      </c>
      <c r="F3063" s="78" t="s">
        <v>237</v>
      </c>
      <c r="G3063" s="77" t="s">
        <v>220</v>
      </c>
      <c r="H3063" t="str">
        <f>VLOOKUP(D3063,'DETALLE PRECIO INGREDIENTES'!B:B,1,0)</f>
        <v>GLUCOSA</v>
      </c>
    </row>
    <row r="3064" spans="2:8" hidden="1" x14ac:dyDescent="0.35">
      <c r="B3064" s="80" t="s">
        <v>166</v>
      </c>
      <c r="C3064" s="80" t="s">
        <v>150</v>
      </c>
      <c r="D3064" s="73" t="s">
        <v>891</v>
      </c>
      <c r="E3064" s="74">
        <v>1.7999999999999999E-2</v>
      </c>
      <c r="F3064" s="78" t="e">
        <v>#N/A</v>
      </c>
      <c r="G3064" s="77" t="e">
        <v>#N/A</v>
      </c>
      <c r="H3064" t="str">
        <f>VLOOKUP(D3064,'DETALLE PRECIO INGREDIENTES'!B:B,1,0)</f>
        <v>LECHE EVAPORADA</v>
      </c>
    </row>
    <row r="3065" spans="2:8" hidden="1" x14ac:dyDescent="0.35">
      <c r="B3065" s="80" t="s">
        <v>166</v>
      </c>
      <c r="C3065" s="80" t="s">
        <v>150</v>
      </c>
      <c r="D3065" s="73" t="s">
        <v>566</v>
      </c>
      <c r="E3065" s="74">
        <v>2.5000000000000001E-2</v>
      </c>
      <c r="F3065" s="78" t="s">
        <v>237</v>
      </c>
      <c r="G3065" s="77" t="s">
        <v>551</v>
      </c>
      <c r="H3065" t="str">
        <f>VLOOKUP(D3065,'DETALLE PRECIO INGREDIENTES'!B:B,1,0)</f>
        <v>COBERTURA BLANCA</v>
      </c>
    </row>
    <row r="3066" spans="2:8" hidden="1" x14ac:dyDescent="0.35">
      <c r="B3066" s="80" t="s">
        <v>166</v>
      </c>
      <c r="C3066" s="80" t="s">
        <v>150</v>
      </c>
      <c r="D3066" s="73" t="s">
        <v>308</v>
      </c>
      <c r="E3066" s="74">
        <v>0.05</v>
      </c>
      <c r="F3066" s="78" t="s">
        <v>259</v>
      </c>
      <c r="G3066" s="77" t="s">
        <v>220</v>
      </c>
      <c r="H3066" t="str">
        <f>VLOOKUP(D3066,'DETALLE PRECIO INGREDIENTES'!B:B,1,0)</f>
        <v>COLORANTE GEL AMARILLO</v>
      </c>
    </row>
    <row r="3067" spans="2:8" hidden="1" x14ac:dyDescent="0.35">
      <c r="B3067" s="80" t="s">
        <v>166</v>
      </c>
      <c r="C3067" s="80" t="s">
        <v>150</v>
      </c>
      <c r="D3067" s="73" t="s">
        <v>574</v>
      </c>
      <c r="E3067" s="74">
        <v>0.05</v>
      </c>
      <c r="F3067" s="78" t="s">
        <v>259</v>
      </c>
      <c r="G3067" s="77" t="s">
        <v>573</v>
      </c>
      <c r="H3067" t="str">
        <f>VLOOKUP(D3067,'DETALLE PRECIO INGREDIENTES'!B:B,1,0)</f>
        <v>COLORANTE GEL AZUL</v>
      </c>
    </row>
    <row r="3068" spans="2:8" hidden="1" x14ac:dyDescent="0.35">
      <c r="B3068" s="80" t="s">
        <v>166</v>
      </c>
      <c r="C3068" s="80" t="s">
        <v>150</v>
      </c>
      <c r="D3068" s="73" t="s">
        <v>575</v>
      </c>
      <c r="E3068" s="74">
        <v>0.05</v>
      </c>
      <c r="F3068" s="78" t="s">
        <v>259</v>
      </c>
      <c r="G3068" s="77" t="s">
        <v>573</v>
      </c>
      <c r="H3068" t="str">
        <f>VLOOKUP(D3068,'DETALLE PRECIO INGREDIENTES'!B:B,1,0)</f>
        <v>COLORANTE GEL ROJO</v>
      </c>
    </row>
    <row r="3069" spans="2:8" hidden="1" x14ac:dyDescent="0.35">
      <c r="B3069" s="80" t="s">
        <v>166</v>
      </c>
      <c r="C3069" s="80" t="s">
        <v>150</v>
      </c>
      <c r="D3069" s="73" t="s">
        <v>504</v>
      </c>
      <c r="E3069" s="74">
        <v>1</v>
      </c>
      <c r="F3069" s="78" t="s">
        <v>259</v>
      </c>
      <c r="G3069" s="77" t="s">
        <v>485</v>
      </c>
      <c r="H3069" t="str">
        <f>VLOOKUP(D3069,'DETALLE PRECIO INGREDIENTES'!B:B,1,0)</f>
        <v>MICA CARTA</v>
      </c>
    </row>
    <row r="3070" spans="2:8" hidden="1" x14ac:dyDescent="0.35">
      <c r="B3070" s="80" t="s">
        <v>166</v>
      </c>
      <c r="C3070" s="80" t="s">
        <v>150</v>
      </c>
      <c r="D3070" s="73" t="s">
        <v>671</v>
      </c>
      <c r="E3070" s="74">
        <v>0.04</v>
      </c>
      <c r="F3070" s="78" t="s">
        <v>237</v>
      </c>
      <c r="G3070" s="77" t="s">
        <v>621</v>
      </c>
      <c r="H3070" t="str">
        <f>VLOOKUP(D3070,'DETALLE PRECIO INGREDIENTES'!B:B,1,0)</f>
        <v>FRUTILLA FRESCA</v>
      </c>
    </row>
    <row r="3071" spans="2:8" hidden="1" x14ac:dyDescent="0.35">
      <c r="B3071" s="80" t="s">
        <v>166</v>
      </c>
      <c r="C3071" s="80" t="s">
        <v>150</v>
      </c>
      <c r="D3071" s="73" t="s">
        <v>690</v>
      </c>
      <c r="E3071" s="74">
        <v>0.05</v>
      </c>
      <c r="F3071" s="78" t="s">
        <v>237</v>
      </c>
      <c r="G3071" s="77" t="s">
        <v>621</v>
      </c>
      <c r="H3071" t="str">
        <f>VLOOKUP(D3071,'DETALLE PRECIO INGREDIENTES'!B:B,1,0)</f>
        <v>NARANJA DE JUGO</v>
      </c>
    </row>
    <row r="3072" spans="2:8" hidden="1" x14ac:dyDescent="0.35">
      <c r="B3072" s="80" t="s">
        <v>166</v>
      </c>
      <c r="C3072" s="80" t="s">
        <v>150</v>
      </c>
      <c r="D3072" s="73" t="s">
        <v>634</v>
      </c>
      <c r="E3072" s="74">
        <v>0.03</v>
      </c>
      <c r="F3072" s="78" t="s">
        <v>237</v>
      </c>
      <c r="G3072" s="77" t="s">
        <v>621</v>
      </c>
      <c r="H3072" t="str">
        <f>VLOOKUP(D3072,'DETALLE PRECIO INGREDIENTES'!B:B,1,0)</f>
        <v>ARANDANOS FRESCOS</v>
      </c>
    </row>
    <row r="3073" spans="2:8" hidden="1" x14ac:dyDescent="0.35">
      <c r="B3073" s="80" t="s">
        <v>166</v>
      </c>
      <c r="C3073" s="80" t="s">
        <v>150</v>
      </c>
      <c r="D3073" s="73" t="s">
        <v>471</v>
      </c>
      <c r="E3073" s="74">
        <v>0.125</v>
      </c>
      <c r="F3073" s="78" t="s">
        <v>259</v>
      </c>
      <c r="G3073" s="77" t="s">
        <v>220</v>
      </c>
      <c r="H3073" t="str">
        <f>VLOOKUP(D3073,'DETALLE PRECIO INGREDIENTES'!B:B,1,0)</f>
        <v>VAINA VAINILLA</v>
      </c>
    </row>
    <row r="3074" spans="2:8" hidden="1" x14ac:dyDescent="0.35">
      <c r="B3074" s="80" t="s">
        <v>166</v>
      </c>
      <c r="C3074" s="80" t="s">
        <v>150</v>
      </c>
      <c r="D3074" s="73" t="s">
        <v>751</v>
      </c>
      <c r="E3074" s="74">
        <v>3.7999999999999999E-2</v>
      </c>
      <c r="F3074" s="78" t="s">
        <v>237</v>
      </c>
      <c r="G3074" s="77" t="s">
        <v>736</v>
      </c>
      <c r="H3074" t="str">
        <f>VLOOKUP(D3074,'DETALLE PRECIO INGREDIENTES'!B:B,1,0)</f>
        <v>MANTEQUILLA SIN SAL</v>
      </c>
    </row>
    <row r="3075" spans="2:8" hidden="1" x14ac:dyDescent="0.35">
      <c r="B3075" s="80" t="s">
        <v>166</v>
      </c>
      <c r="C3075" s="80" t="s">
        <v>150</v>
      </c>
      <c r="D3075" s="73" t="s">
        <v>354</v>
      </c>
      <c r="E3075" s="74">
        <v>2.5000000000000001E-2</v>
      </c>
      <c r="F3075" s="78" t="s">
        <v>237</v>
      </c>
      <c r="G3075" s="77" t="s">
        <v>220</v>
      </c>
      <c r="H3075" t="str">
        <f>VLOOKUP(D3075,'DETALLE PRECIO INGREDIENTES'!B:B,1,0)</f>
        <v>HARINA BIZCOCHERA</v>
      </c>
    </row>
    <row r="3076" spans="2:8" hidden="1" x14ac:dyDescent="0.35">
      <c r="B3076" s="80" t="s">
        <v>166</v>
      </c>
      <c r="C3076" s="80" t="s">
        <v>149</v>
      </c>
      <c r="D3076" s="73" t="s">
        <v>748</v>
      </c>
      <c r="E3076" s="74">
        <v>0.1</v>
      </c>
      <c r="F3076" s="78" t="s">
        <v>222</v>
      </c>
      <c r="G3076" s="77" t="s">
        <v>736</v>
      </c>
      <c r="H3076" t="str">
        <f>VLOOKUP(D3076,'DETALLE PRECIO INGREDIENTES'!B:B,1,0)</f>
        <v>LECHE ENTERA</v>
      </c>
    </row>
    <row r="3077" spans="2:8" hidden="1" x14ac:dyDescent="0.35">
      <c r="B3077" s="80" t="s">
        <v>166</v>
      </c>
      <c r="C3077" s="80" t="s">
        <v>149</v>
      </c>
      <c r="D3077" s="73" t="s">
        <v>729</v>
      </c>
      <c r="E3077" s="74">
        <v>1</v>
      </c>
      <c r="F3077" s="78" t="s">
        <v>259</v>
      </c>
      <c r="G3077" s="77" t="s">
        <v>728</v>
      </c>
      <c r="H3077" t="str">
        <f>VLOOKUP(D3077,'DETALLE PRECIO INGREDIENTES'!B:B,1,0)</f>
        <v>HUEVO EXTRA BLANCO</v>
      </c>
    </row>
    <row r="3078" spans="2:8" hidden="1" x14ac:dyDescent="0.35">
      <c r="B3078" s="80" t="s">
        <v>166</v>
      </c>
      <c r="C3078" s="80" t="s">
        <v>149</v>
      </c>
      <c r="D3078" s="73" t="s">
        <v>307</v>
      </c>
      <c r="E3078" s="74">
        <v>1</v>
      </c>
      <c r="F3078" s="78" t="s">
        <v>259</v>
      </c>
      <c r="G3078" s="77" t="s">
        <v>220</v>
      </c>
      <c r="H3078" t="str">
        <f>VLOOKUP(D3078,'DETALLE PRECIO INGREDIENTES'!B:B,1,0)</f>
        <v>COLAPEZ POR HOJA</v>
      </c>
    </row>
    <row r="3079" spans="2:8" hidden="1" x14ac:dyDescent="0.35">
      <c r="B3079" s="80" t="s">
        <v>166</v>
      </c>
      <c r="C3079" s="80" t="s">
        <v>149</v>
      </c>
      <c r="D3079" s="73" t="s">
        <v>277</v>
      </c>
      <c r="E3079" s="74">
        <v>0.1</v>
      </c>
      <c r="F3079" s="78" t="s">
        <v>237</v>
      </c>
      <c r="G3079" s="77" t="s">
        <v>220</v>
      </c>
      <c r="H3079" t="str">
        <f>VLOOKUP(D3079,'DETALLE PRECIO INGREDIENTES'!B:B,1,0)</f>
        <v>AZUCAR BLANCA GRANULADA</v>
      </c>
    </row>
    <row r="3080" spans="2:8" hidden="1" x14ac:dyDescent="0.35">
      <c r="B3080" s="80" t="s">
        <v>166</v>
      </c>
      <c r="C3080" s="80" t="s">
        <v>149</v>
      </c>
      <c r="D3080" s="73" t="s">
        <v>739</v>
      </c>
      <c r="E3080" s="74">
        <v>0.1</v>
      </c>
      <c r="F3080" s="78" t="s">
        <v>222</v>
      </c>
      <c r="G3080" s="77" t="s">
        <v>736</v>
      </c>
      <c r="H3080" t="str">
        <f>VLOOKUP(D3080,'DETALLE PRECIO INGREDIENTES'!B:B,1,0)</f>
        <v>CREMA DE LECHE</v>
      </c>
    </row>
    <row r="3081" spans="2:8" hidden="1" x14ac:dyDescent="0.35">
      <c r="B3081" s="80" t="s">
        <v>166</v>
      </c>
      <c r="C3081" s="80" t="s">
        <v>149</v>
      </c>
      <c r="D3081" s="73" t="s">
        <v>594</v>
      </c>
      <c r="E3081" s="74">
        <v>0.03</v>
      </c>
      <c r="F3081" s="78" t="s">
        <v>237</v>
      </c>
      <c r="G3081" s="77" t="s">
        <v>587</v>
      </c>
      <c r="H3081" t="str">
        <f>VLOOKUP(D3081,'DETALLE PRECIO INGREDIENTES'!B:B,1,0)</f>
        <v>PULPA DE FRUTILLA</v>
      </c>
    </row>
    <row r="3082" spans="2:8" hidden="1" x14ac:dyDescent="0.35">
      <c r="B3082" s="80" t="s">
        <v>166</v>
      </c>
      <c r="C3082" s="80" t="s">
        <v>149</v>
      </c>
      <c r="D3082" s="73" t="s">
        <v>885</v>
      </c>
      <c r="E3082" s="74">
        <v>0.03</v>
      </c>
      <c r="F3082" s="78" t="s">
        <v>237</v>
      </c>
      <c r="G3082" s="77" t="s">
        <v>884</v>
      </c>
      <c r="H3082" t="str">
        <f>VLOOKUP(D3082,'DETALLE PRECIO INGREDIENTES'!B:B,1,0)</f>
        <v>YOGURT BATIDO SABOR FRAMBUESA</v>
      </c>
    </row>
    <row r="3083" spans="2:8" hidden="1" x14ac:dyDescent="0.35">
      <c r="B3083" s="80" t="s">
        <v>166</v>
      </c>
      <c r="C3083" s="80" t="s">
        <v>149</v>
      </c>
      <c r="D3083" s="73" t="s">
        <v>668</v>
      </c>
      <c r="E3083" s="74">
        <v>2.3E-2</v>
      </c>
      <c r="F3083" s="78" t="s">
        <v>237</v>
      </c>
      <c r="G3083" s="77" t="s">
        <v>621</v>
      </c>
      <c r="H3083" t="str">
        <f>VLOOKUP(D3083,'DETALLE PRECIO INGREDIENTES'!B:B,1,0)</f>
        <v>FRAMBUESA CONGELADA</v>
      </c>
    </row>
    <row r="3084" spans="2:8" hidden="1" x14ac:dyDescent="0.35">
      <c r="B3084" s="80" t="s">
        <v>166</v>
      </c>
      <c r="C3084" s="80" t="s">
        <v>149</v>
      </c>
      <c r="D3084" s="73" t="s">
        <v>278</v>
      </c>
      <c r="E3084" s="74">
        <v>0.02</v>
      </c>
      <c r="F3084" s="78" t="s">
        <v>237</v>
      </c>
      <c r="G3084" s="77" t="s">
        <v>220</v>
      </c>
      <c r="H3084" t="str">
        <f>VLOOKUP(D3084,'DETALLE PRECIO INGREDIENTES'!B:B,1,0)</f>
        <v>AZUCAR FLOR</v>
      </c>
    </row>
    <row r="3085" spans="2:8" hidden="1" x14ac:dyDescent="0.35">
      <c r="B3085" s="80" t="s">
        <v>166</v>
      </c>
      <c r="C3085" s="80" t="s">
        <v>149</v>
      </c>
      <c r="D3085" s="73" t="s">
        <v>345</v>
      </c>
      <c r="E3085" s="74">
        <v>4.0000000000000001E-3</v>
      </c>
      <c r="F3085" s="78" t="s">
        <v>237</v>
      </c>
      <c r="G3085" s="77" t="s">
        <v>220</v>
      </c>
      <c r="H3085" t="str">
        <f>VLOOKUP(D3085,'DETALLE PRECIO INGREDIENTES'!B:B,1,0)</f>
        <v>GELATINA SIN SABOR</v>
      </c>
    </row>
    <row r="3086" spans="2:8" hidden="1" x14ac:dyDescent="0.35">
      <c r="B3086" s="80" t="s">
        <v>166</v>
      </c>
      <c r="C3086" s="80" t="s">
        <v>149</v>
      </c>
      <c r="D3086" s="73" t="s">
        <v>348</v>
      </c>
      <c r="E3086" s="74">
        <v>2.7E-2</v>
      </c>
      <c r="F3086" s="78" t="s">
        <v>237</v>
      </c>
      <c r="G3086" s="77" t="s">
        <v>220</v>
      </c>
      <c r="H3086" t="str">
        <f>VLOOKUP(D3086,'DETALLE PRECIO INGREDIENTES'!B:B,1,0)</f>
        <v>GLUCOSA</v>
      </c>
    </row>
    <row r="3087" spans="2:8" hidden="1" x14ac:dyDescent="0.35">
      <c r="B3087" s="80" t="s">
        <v>166</v>
      </c>
      <c r="C3087" s="80" t="s">
        <v>149</v>
      </c>
      <c r="D3087" s="73" t="s">
        <v>740</v>
      </c>
      <c r="E3087" s="74">
        <v>1.7999999999999999E-2</v>
      </c>
      <c r="F3087" s="78" t="s">
        <v>237</v>
      </c>
      <c r="G3087" s="77" t="s">
        <v>736</v>
      </c>
      <c r="H3087" t="str">
        <f>VLOOKUP(D3087,'DETALLE PRECIO INGREDIENTES'!B:B,1,0)</f>
        <v>LECHE CONDENSADA</v>
      </c>
    </row>
    <row r="3088" spans="2:8" hidden="1" x14ac:dyDescent="0.35">
      <c r="B3088" s="80" t="s">
        <v>166</v>
      </c>
      <c r="C3088" s="80" t="s">
        <v>149</v>
      </c>
      <c r="D3088" s="73" t="s">
        <v>471</v>
      </c>
      <c r="E3088" s="74">
        <v>0.02</v>
      </c>
      <c r="F3088" s="78" t="s">
        <v>259</v>
      </c>
      <c r="G3088" s="77" t="s">
        <v>220</v>
      </c>
      <c r="H3088" t="str">
        <f>VLOOKUP(D3088,'DETALLE PRECIO INGREDIENTES'!B:B,1,0)</f>
        <v>VAINA VAINILLA</v>
      </c>
    </row>
    <row r="3089" spans="2:8" hidden="1" x14ac:dyDescent="0.35">
      <c r="B3089" s="80" t="s">
        <v>166</v>
      </c>
      <c r="C3089" s="80" t="s">
        <v>149</v>
      </c>
      <c r="D3089" s="73" t="s">
        <v>686</v>
      </c>
      <c r="E3089" s="74">
        <v>0.05</v>
      </c>
      <c r="F3089" s="78" t="s">
        <v>237</v>
      </c>
      <c r="G3089" s="77" t="s">
        <v>621</v>
      </c>
      <c r="H3089" t="str">
        <f>VLOOKUP(D3089,'DETALLE PRECIO INGREDIENTES'!B:B,1,0)</f>
        <v>MIX DE BERRIES CONGELADO</v>
      </c>
    </row>
    <row r="3090" spans="2:8" hidden="1" x14ac:dyDescent="0.35">
      <c r="B3090" s="80" t="s">
        <v>166</v>
      </c>
      <c r="C3090" s="80" t="s">
        <v>149</v>
      </c>
      <c r="D3090" s="73" t="s">
        <v>680</v>
      </c>
      <c r="E3090" s="74">
        <v>0.03</v>
      </c>
      <c r="F3090" s="78" t="s">
        <v>237</v>
      </c>
      <c r="G3090" s="77" t="s">
        <v>621</v>
      </c>
      <c r="H3090" t="str">
        <f>VLOOKUP(D3090,'DETALLE PRECIO INGREDIENTES'!B:B,1,0)</f>
        <v>LIMON DE JUGO</v>
      </c>
    </row>
    <row r="3091" spans="2:8" hidden="1" x14ac:dyDescent="0.35">
      <c r="B3091" s="80" t="s">
        <v>166</v>
      </c>
      <c r="C3091" s="80" t="s">
        <v>149</v>
      </c>
      <c r="D3091" s="73" t="s">
        <v>339</v>
      </c>
      <c r="E3091" s="74">
        <v>3.2000000000000001E-2</v>
      </c>
      <c r="F3091" s="78" t="s">
        <v>259</v>
      </c>
      <c r="G3091" s="77" t="s">
        <v>220</v>
      </c>
      <c r="H3091" t="str">
        <f>VLOOKUP(D3091,'DETALLE PRECIO INGREDIENTES'!B:B,1,0)</f>
        <v>GALLETA MARAVILLA MCKAY</v>
      </c>
    </row>
    <row r="3092" spans="2:8" hidden="1" x14ac:dyDescent="0.35">
      <c r="B3092" s="80" t="s">
        <v>166</v>
      </c>
      <c r="C3092" s="80" t="s">
        <v>149</v>
      </c>
      <c r="D3092" s="73" t="s">
        <v>751</v>
      </c>
      <c r="E3092" s="74">
        <v>0.03</v>
      </c>
      <c r="F3092" s="78" t="s">
        <v>237</v>
      </c>
      <c r="G3092" s="77" t="s">
        <v>736</v>
      </c>
      <c r="H3092" t="str">
        <f>VLOOKUP(D3092,'DETALLE PRECIO INGREDIENTES'!B:B,1,0)</f>
        <v>MANTEQUILLA SIN SAL</v>
      </c>
    </row>
    <row r="3093" spans="2:8" hidden="1" x14ac:dyDescent="0.35">
      <c r="B3093" s="80" t="s">
        <v>166</v>
      </c>
      <c r="C3093" s="80" t="s">
        <v>149</v>
      </c>
      <c r="D3093" s="73" t="s">
        <v>759</v>
      </c>
      <c r="E3093" s="74">
        <v>0.05</v>
      </c>
      <c r="F3093" s="78" t="s">
        <v>237</v>
      </c>
      <c r="G3093" s="77" t="s">
        <v>736</v>
      </c>
      <c r="H3093" t="str">
        <f>VLOOKUP(D3093,'DETALLE PRECIO INGREDIENTES'!B:B,1,0)</f>
        <v>QUESO CREMA</v>
      </c>
    </row>
    <row r="3094" spans="2:8" hidden="1" x14ac:dyDescent="0.35">
      <c r="B3094" s="80" t="s">
        <v>166</v>
      </c>
      <c r="C3094" s="80" t="s">
        <v>149</v>
      </c>
      <c r="D3094" s="73" t="s">
        <v>737</v>
      </c>
      <c r="E3094" s="74">
        <v>2.1000000000000001E-2</v>
      </c>
      <c r="F3094" s="78" t="s">
        <v>222</v>
      </c>
      <c r="G3094" s="77" t="s">
        <v>736</v>
      </c>
      <c r="H3094" t="str">
        <f>VLOOKUP(D3094,'DETALLE PRECIO INGREDIENTES'!B:B,1,0)</f>
        <v>CREMA ACIDA</v>
      </c>
    </row>
    <row r="3095" spans="2:8" hidden="1" x14ac:dyDescent="0.35">
      <c r="B3095" s="80" t="s">
        <v>166</v>
      </c>
      <c r="C3095" s="80" t="s">
        <v>149</v>
      </c>
      <c r="D3095" s="73" t="s">
        <v>329</v>
      </c>
      <c r="E3095" s="74">
        <v>2E-3</v>
      </c>
      <c r="F3095" s="78" t="s">
        <v>222</v>
      </c>
      <c r="G3095" s="77" t="s">
        <v>220</v>
      </c>
      <c r="H3095" t="str">
        <f>VLOOKUP(D3095,'DETALLE PRECIO INGREDIENTES'!B:B,1,0)</f>
        <v>ESENCIA DE VAINILLA</v>
      </c>
    </row>
    <row r="3096" spans="2:8" hidden="1" x14ac:dyDescent="0.35">
      <c r="B3096" s="80" t="s">
        <v>166</v>
      </c>
      <c r="C3096" s="80" t="s">
        <v>149</v>
      </c>
      <c r="D3096" s="73" t="s">
        <v>354</v>
      </c>
      <c r="E3096" s="74">
        <v>3.5000000000000003E-2</v>
      </c>
      <c r="F3096" s="78" t="s">
        <v>237</v>
      </c>
      <c r="G3096" s="77" t="s">
        <v>220</v>
      </c>
      <c r="H3096" t="str">
        <f>VLOOKUP(D3096,'DETALLE PRECIO INGREDIENTES'!B:B,1,0)</f>
        <v>HARINA BIZCOCHERA</v>
      </c>
    </row>
    <row r="3097" spans="2:8" hidden="1" x14ac:dyDescent="0.35">
      <c r="B3097" s="80" t="s">
        <v>166</v>
      </c>
      <c r="C3097" s="80" t="s">
        <v>149</v>
      </c>
      <c r="D3097" s="73" t="s">
        <v>512</v>
      </c>
      <c r="E3097" s="74">
        <v>0.75</v>
      </c>
      <c r="F3097" s="78" t="s">
        <v>259</v>
      </c>
      <c r="G3097" s="77" t="s">
        <v>485</v>
      </c>
      <c r="H3097" t="str">
        <f>VLOOKUP(D3097,'DETALLE PRECIO INGREDIENTES'!B:B,1,0)</f>
        <v>PAPEL GUITARRA</v>
      </c>
    </row>
    <row r="3098" spans="2:8" hidden="1" x14ac:dyDescent="0.35">
      <c r="B3098" s="80" t="s">
        <v>166</v>
      </c>
      <c r="C3098" s="80" t="s">
        <v>149</v>
      </c>
      <c r="D3098" s="73" t="s">
        <v>513</v>
      </c>
      <c r="E3098" s="74">
        <v>0.5</v>
      </c>
      <c r="F3098" s="78" t="s">
        <v>259</v>
      </c>
      <c r="G3098" s="77" t="s">
        <v>485</v>
      </c>
      <c r="H3098" t="str">
        <f>VLOOKUP(D3098,'DETALLE PRECIO INGREDIENTES'!B:B,1,0)</f>
        <v>PAPEL MANTEQUILLA 75 X100</v>
      </c>
    </row>
    <row r="3099" spans="2:8" hidden="1" x14ac:dyDescent="0.35">
      <c r="B3099" s="80" t="s">
        <v>166</v>
      </c>
      <c r="C3099" s="80" t="s">
        <v>149</v>
      </c>
      <c r="D3099" s="73" t="s">
        <v>565</v>
      </c>
      <c r="E3099" s="74">
        <v>2.5000000000000001E-2</v>
      </c>
      <c r="F3099" s="78" t="s">
        <v>237</v>
      </c>
      <c r="G3099" s="77" t="s">
        <v>551</v>
      </c>
      <c r="H3099" t="str">
        <f>VLOOKUP(D3099,'DETALLE PRECIO INGREDIENTES'!B:B,1,0)</f>
        <v>COBERTURA AMARGA</v>
      </c>
    </row>
    <row r="3100" spans="2:8" hidden="1" x14ac:dyDescent="0.35">
      <c r="B3100" s="80" t="s">
        <v>166</v>
      </c>
      <c r="C3100" s="80" t="s">
        <v>149</v>
      </c>
      <c r="D3100" s="73" t="s">
        <v>671</v>
      </c>
      <c r="E3100" s="74">
        <v>0.05</v>
      </c>
      <c r="F3100" s="78" t="s">
        <v>237</v>
      </c>
      <c r="G3100" s="77" t="s">
        <v>621</v>
      </c>
      <c r="H3100" t="str">
        <f>VLOOKUP(D3100,'DETALLE PRECIO INGREDIENTES'!B:B,1,0)</f>
        <v>FRUTILLA FRESCA</v>
      </c>
    </row>
    <row r="3101" spans="2:8" hidden="1" x14ac:dyDescent="0.35">
      <c r="B3101" s="80" t="s">
        <v>166</v>
      </c>
      <c r="C3101" s="80" t="s">
        <v>149</v>
      </c>
      <c r="D3101" s="73" t="s">
        <v>669</v>
      </c>
      <c r="E3101" s="74">
        <v>0.03</v>
      </c>
      <c r="F3101" s="78" t="s">
        <v>237</v>
      </c>
      <c r="G3101" s="77" t="s">
        <v>621</v>
      </c>
      <c r="H3101" t="str">
        <f>VLOOKUP(D3101,'DETALLE PRECIO INGREDIENTES'!B:B,1,0)</f>
        <v>FRAMBUESA FRESCA</v>
      </c>
    </row>
    <row r="3102" spans="2:8" hidden="1" x14ac:dyDescent="0.35">
      <c r="B3102" s="80" t="s">
        <v>166</v>
      </c>
      <c r="C3102" s="80" t="s">
        <v>149</v>
      </c>
      <c r="D3102" s="73" t="s">
        <v>690</v>
      </c>
      <c r="E3102" s="74">
        <v>0.05</v>
      </c>
      <c r="F3102" s="78" t="s">
        <v>237</v>
      </c>
      <c r="G3102" s="77" t="s">
        <v>621</v>
      </c>
      <c r="H3102" t="str">
        <f>VLOOKUP(D3102,'DETALLE PRECIO INGREDIENTES'!B:B,1,0)</f>
        <v>NARANJA DE JUGO</v>
      </c>
    </row>
    <row r="3103" spans="2:8" hidden="1" x14ac:dyDescent="0.35">
      <c r="B3103" s="80" t="s">
        <v>166</v>
      </c>
      <c r="C3103" s="80" t="s">
        <v>149</v>
      </c>
      <c r="D3103" s="73" t="s">
        <v>705</v>
      </c>
      <c r="E3103" s="74">
        <v>0.06</v>
      </c>
      <c r="F3103" s="78" t="s">
        <v>237</v>
      </c>
      <c r="G3103" s="77" t="s">
        <v>621</v>
      </c>
      <c r="H3103" t="str">
        <f>VLOOKUP(D3103,'DETALLE PRECIO INGREDIENTES'!B:B,1,0)</f>
        <v>PLATANOS</v>
      </c>
    </row>
    <row r="3104" spans="2:8" hidden="1" x14ac:dyDescent="0.35">
      <c r="B3104" s="80" t="s">
        <v>166</v>
      </c>
      <c r="C3104" s="80" t="s">
        <v>149</v>
      </c>
      <c r="D3104" s="73" t="s">
        <v>566</v>
      </c>
      <c r="E3104" s="74">
        <v>3.3300000000000003E-2</v>
      </c>
      <c r="F3104" s="78" t="s">
        <v>237</v>
      </c>
      <c r="G3104" s="77" t="s">
        <v>551</v>
      </c>
      <c r="H3104" t="str">
        <f>VLOOKUP(D3104,'DETALLE PRECIO INGREDIENTES'!B:B,1,0)</f>
        <v>COBERTURA BLANCA</v>
      </c>
    </row>
    <row r="3105" spans="2:8" hidden="1" x14ac:dyDescent="0.35">
      <c r="B3105" s="80" t="s">
        <v>166</v>
      </c>
      <c r="C3105" s="80" t="s">
        <v>149</v>
      </c>
      <c r="D3105" s="73" t="s">
        <v>504</v>
      </c>
      <c r="E3105" s="74">
        <v>1</v>
      </c>
      <c r="F3105" s="78" t="s">
        <v>259</v>
      </c>
      <c r="G3105" s="77" t="s">
        <v>485</v>
      </c>
      <c r="H3105" t="str">
        <f>VLOOKUP(D3105,'DETALLE PRECIO INGREDIENTES'!B:B,1,0)</f>
        <v>MICA CARTA</v>
      </c>
    </row>
    <row r="3106" spans="2:8" hidden="1" x14ac:dyDescent="0.35">
      <c r="B3106" s="80" t="s">
        <v>166</v>
      </c>
      <c r="C3106" s="80" t="s">
        <v>148</v>
      </c>
      <c r="D3106" s="73" t="s">
        <v>354</v>
      </c>
      <c r="E3106" s="74">
        <v>0.10150000000000001</v>
      </c>
      <c r="F3106" s="78" t="s">
        <v>237</v>
      </c>
      <c r="G3106" s="77" t="s">
        <v>220</v>
      </c>
      <c r="H3106" t="str">
        <f>VLOOKUP(D3106,'DETALLE PRECIO INGREDIENTES'!B:B,1,0)</f>
        <v>HARINA BIZCOCHERA</v>
      </c>
    </row>
    <row r="3107" spans="2:8" hidden="1" x14ac:dyDescent="0.35">
      <c r="B3107" s="80" t="s">
        <v>166</v>
      </c>
      <c r="C3107" s="80" t="s">
        <v>148</v>
      </c>
      <c r="D3107" s="73" t="s">
        <v>355</v>
      </c>
      <c r="E3107" s="74">
        <v>0.1</v>
      </c>
      <c r="F3107" s="78" t="s">
        <v>237</v>
      </c>
      <c r="G3107" s="77" t="s">
        <v>220</v>
      </c>
      <c r="H3107" t="str">
        <f>VLOOKUP(D3107,'DETALLE PRECIO INGREDIENTES'!B:B,1,0)</f>
        <v>HARINA DE ALMENDRA</v>
      </c>
    </row>
    <row r="3108" spans="2:8" hidden="1" x14ac:dyDescent="0.35">
      <c r="B3108" s="80" t="s">
        <v>166</v>
      </c>
      <c r="C3108" s="80" t="s">
        <v>148</v>
      </c>
      <c r="D3108" s="73" t="s">
        <v>277</v>
      </c>
      <c r="E3108" s="74">
        <v>0.115</v>
      </c>
      <c r="F3108" s="78" t="s">
        <v>237</v>
      </c>
      <c r="G3108" s="77" t="s">
        <v>220</v>
      </c>
      <c r="H3108" t="str">
        <f>VLOOKUP(D3108,'DETALLE PRECIO INGREDIENTES'!B:B,1,0)</f>
        <v>AZUCAR BLANCA GRANULADA</v>
      </c>
    </row>
    <row r="3109" spans="2:8" hidden="1" x14ac:dyDescent="0.35">
      <c r="B3109" s="80" t="s">
        <v>166</v>
      </c>
      <c r="C3109" s="80" t="s">
        <v>148</v>
      </c>
      <c r="D3109" s="73" t="s">
        <v>729</v>
      </c>
      <c r="E3109" s="74">
        <v>2</v>
      </c>
      <c r="F3109" s="78" t="s">
        <v>259</v>
      </c>
      <c r="G3109" s="77" t="s">
        <v>728</v>
      </c>
      <c r="H3109" t="str">
        <f>VLOOKUP(D3109,'DETALLE PRECIO INGREDIENTES'!B:B,1,0)</f>
        <v>HUEVO EXTRA BLANCO</v>
      </c>
    </row>
    <row r="3110" spans="2:8" hidden="1" x14ac:dyDescent="0.35">
      <c r="B3110" s="80" t="s">
        <v>166</v>
      </c>
      <c r="C3110" s="80" t="s">
        <v>148</v>
      </c>
      <c r="D3110" s="73" t="s">
        <v>511</v>
      </c>
      <c r="E3110" s="74">
        <v>1</v>
      </c>
      <c r="F3110" s="78" t="s">
        <v>259</v>
      </c>
      <c r="G3110" s="77" t="s">
        <v>485</v>
      </c>
      <c r="H3110" t="str">
        <f>VLOOKUP(D3110,'DETALLE PRECIO INGREDIENTES'!B:B,1,0)</f>
        <v>PAPEL CERESINADO PLIEGO</v>
      </c>
    </row>
    <row r="3111" spans="2:8" hidden="1" x14ac:dyDescent="0.35">
      <c r="B3111" s="80" t="s">
        <v>166</v>
      </c>
      <c r="C3111" s="80" t="s">
        <v>148</v>
      </c>
      <c r="D3111" s="73" t="s">
        <v>401</v>
      </c>
      <c r="E3111" s="74">
        <v>0.1</v>
      </c>
      <c r="F3111" s="78" t="s">
        <v>237</v>
      </c>
      <c r="G3111" s="77" t="s">
        <v>220</v>
      </c>
      <c r="H3111" t="str">
        <f>VLOOKUP(D3111,'DETALLE PRECIO INGREDIENTES'!B:B,1,0)</f>
        <v>NARANJA CONFITADA</v>
      </c>
    </row>
    <row r="3112" spans="2:8" hidden="1" x14ac:dyDescent="0.35">
      <c r="B3112" s="80" t="s">
        <v>166</v>
      </c>
      <c r="C3112" s="80" t="s">
        <v>148</v>
      </c>
      <c r="D3112" s="73" t="s">
        <v>748</v>
      </c>
      <c r="E3112" s="74">
        <v>0.2</v>
      </c>
      <c r="F3112" s="78" t="s">
        <v>222</v>
      </c>
      <c r="G3112" s="77" t="s">
        <v>736</v>
      </c>
      <c r="H3112" t="str">
        <f>VLOOKUP(D3112,'DETALLE PRECIO INGREDIENTES'!B:B,1,0)</f>
        <v>LECHE ENTERA</v>
      </c>
    </row>
    <row r="3113" spans="2:8" hidden="1" x14ac:dyDescent="0.35">
      <c r="B3113" s="80" t="s">
        <v>166</v>
      </c>
      <c r="C3113" s="80" t="s">
        <v>148</v>
      </c>
      <c r="D3113" s="73" t="s">
        <v>891</v>
      </c>
      <c r="E3113" s="74">
        <v>0.1</v>
      </c>
      <c r="F3113" s="78" t="e">
        <v>#N/A</v>
      </c>
      <c r="G3113" s="77" t="e">
        <v>#N/A</v>
      </c>
      <c r="H3113" t="str">
        <f>VLOOKUP(D3113,'DETALLE PRECIO INGREDIENTES'!B:B,1,0)</f>
        <v>LECHE EVAPORADA</v>
      </c>
    </row>
    <row r="3114" spans="2:8" hidden="1" x14ac:dyDescent="0.35">
      <c r="B3114" s="80" t="s">
        <v>166</v>
      </c>
      <c r="C3114" s="80" t="s">
        <v>147</v>
      </c>
      <c r="D3114" s="73" t="s">
        <v>748</v>
      </c>
      <c r="E3114" s="74">
        <v>0.25</v>
      </c>
      <c r="F3114" s="78" t="s">
        <v>222</v>
      </c>
      <c r="G3114" s="77" t="s">
        <v>736</v>
      </c>
      <c r="H3114" t="str">
        <f>VLOOKUP(D3114,'DETALLE PRECIO INGREDIENTES'!B:B,1,0)</f>
        <v>LECHE ENTERA</v>
      </c>
    </row>
    <row r="3115" spans="2:8" hidden="1" x14ac:dyDescent="0.35">
      <c r="B3115" s="80" t="s">
        <v>166</v>
      </c>
      <c r="C3115" s="80" t="s">
        <v>147</v>
      </c>
      <c r="D3115" s="73" t="s">
        <v>729</v>
      </c>
      <c r="E3115" s="74">
        <v>5</v>
      </c>
      <c r="F3115" s="78" t="s">
        <v>259</v>
      </c>
      <c r="G3115" s="77" t="s">
        <v>728</v>
      </c>
      <c r="H3115" t="str">
        <f>VLOOKUP(D3115,'DETALLE PRECIO INGREDIENTES'!B:B,1,0)</f>
        <v>HUEVO EXTRA BLANCO</v>
      </c>
    </row>
    <row r="3116" spans="2:8" hidden="1" x14ac:dyDescent="0.35">
      <c r="B3116" s="80" t="s">
        <v>166</v>
      </c>
      <c r="C3116" s="80" t="s">
        <v>147</v>
      </c>
      <c r="D3116" s="73" t="s">
        <v>277</v>
      </c>
      <c r="E3116" s="74">
        <v>0.19500000000000001</v>
      </c>
      <c r="F3116" s="78" t="s">
        <v>237</v>
      </c>
      <c r="G3116" s="77" t="s">
        <v>220</v>
      </c>
      <c r="H3116" t="str">
        <f>VLOOKUP(D3116,'DETALLE PRECIO INGREDIENTES'!B:B,1,0)</f>
        <v>AZUCAR BLANCA GRANULADA</v>
      </c>
    </row>
    <row r="3117" spans="2:8" hidden="1" x14ac:dyDescent="0.35">
      <c r="B3117" s="80" t="s">
        <v>166</v>
      </c>
      <c r="C3117" s="80" t="s">
        <v>147</v>
      </c>
      <c r="D3117" s="73" t="s">
        <v>329</v>
      </c>
      <c r="E3117" s="74">
        <v>5.0000000000000001E-3</v>
      </c>
      <c r="F3117" s="78" t="s">
        <v>222</v>
      </c>
      <c r="G3117" s="77" t="s">
        <v>220</v>
      </c>
      <c r="H3117" t="str">
        <f>VLOOKUP(D3117,'DETALLE PRECIO INGREDIENTES'!B:B,1,0)</f>
        <v>ESENCIA DE VAINILLA</v>
      </c>
    </row>
    <row r="3118" spans="2:8" hidden="1" x14ac:dyDescent="0.35">
      <c r="B3118" s="80" t="s">
        <v>166</v>
      </c>
      <c r="C3118" s="80" t="s">
        <v>147</v>
      </c>
      <c r="D3118" s="73" t="s">
        <v>739</v>
      </c>
      <c r="E3118" s="74">
        <v>8.4000000000000005E-2</v>
      </c>
      <c r="F3118" s="78" t="s">
        <v>222</v>
      </c>
      <c r="G3118" s="77" t="s">
        <v>736</v>
      </c>
      <c r="H3118" t="str">
        <f>VLOOKUP(D3118,'DETALLE PRECIO INGREDIENTES'!B:B,1,0)</f>
        <v>CREMA DE LECHE</v>
      </c>
    </row>
    <row r="3119" spans="2:8" hidden="1" x14ac:dyDescent="0.35">
      <c r="B3119" s="80" t="s">
        <v>166</v>
      </c>
      <c r="C3119" s="80" t="s">
        <v>147</v>
      </c>
      <c r="D3119" s="73" t="s">
        <v>471</v>
      </c>
      <c r="E3119" s="74">
        <v>1.2500000000000001E-2</v>
      </c>
      <c r="F3119" s="78" t="s">
        <v>259</v>
      </c>
      <c r="G3119" s="77" t="s">
        <v>220</v>
      </c>
      <c r="H3119" t="str">
        <f>VLOOKUP(D3119,'DETALLE PRECIO INGREDIENTES'!B:B,1,0)</f>
        <v>VAINA VAINILLA</v>
      </c>
    </row>
    <row r="3120" spans="2:8" hidden="1" x14ac:dyDescent="0.35">
      <c r="B3120" s="80" t="s">
        <v>166</v>
      </c>
      <c r="C3120" s="80" t="s">
        <v>147</v>
      </c>
      <c r="D3120" s="73" t="s">
        <v>559</v>
      </c>
      <c r="E3120" s="74">
        <v>0.04</v>
      </c>
      <c r="F3120" s="78" t="s">
        <v>237</v>
      </c>
      <c r="G3120" s="77" t="s">
        <v>551</v>
      </c>
      <c r="H3120" t="str">
        <f>VLOOKUP(D3120,'DETALLE PRECIO INGREDIENTES'!B:B,1,0)</f>
        <v>CHOCOLATE AMARGO 70%</v>
      </c>
    </row>
    <row r="3121" spans="2:8" hidden="1" x14ac:dyDescent="0.35">
      <c r="B3121" s="80" t="s">
        <v>166</v>
      </c>
      <c r="C3121" s="80" t="s">
        <v>147</v>
      </c>
      <c r="D3121" s="73" t="s">
        <v>751</v>
      </c>
      <c r="E3121" s="74">
        <v>0.02</v>
      </c>
      <c r="F3121" s="78" t="s">
        <v>237</v>
      </c>
      <c r="G3121" s="77" t="s">
        <v>736</v>
      </c>
      <c r="H3121" t="str">
        <f>VLOOKUP(D3121,'DETALLE PRECIO INGREDIENTES'!B:B,1,0)</f>
        <v>MANTEQUILLA SIN SAL</v>
      </c>
    </row>
    <row r="3122" spans="2:8" hidden="1" x14ac:dyDescent="0.35">
      <c r="B3122" s="80" t="s">
        <v>166</v>
      </c>
      <c r="C3122" s="80" t="s">
        <v>147</v>
      </c>
      <c r="D3122" s="73" t="s">
        <v>354</v>
      </c>
      <c r="E3122" s="74">
        <v>1.7999999999999999E-2</v>
      </c>
      <c r="F3122" s="78" t="s">
        <v>237</v>
      </c>
      <c r="G3122" s="77" t="s">
        <v>220</v>
      </c>
      <c r="H3122" t="str">
        <f>VLOOKUP(D3122,'DETALLE PRECIO INGREDIENTES'!B:B,1,0)</f>
        <v>HARINA BIZCOCHERA</v>
      </c>
    </row>
    <row r="3123" spans="2:8" hidden="1" x14ac:dyDescent="0.35">
      <c r="B3123" s="80" t="s">
        <v>166</v>
      </c>
      <c r="C3123" s="80" t="s">
        <v>147</v>
      </c>
      <c r="D3123" s="73" t="s">
        <v>553</v>
      </c>
      <c r="E3123" s="74">
        <v>5.0000000000000001E-3</v>
      </c>
      <c r="F3123" s="78" t="s">
        <v>237</v>
      </c>
      <c r="G3123" s="77" t="s">
        <v>551</v>
      </c>
      <c r="H3123" t="str">
        <f>VLOOKUP(D3123,'DETALLE PRECIO INGREDIENTES'!B:B,1,0)</f>
        <v>CACAO EN POLVO ALCALINO</v>
      </c>
    </row>
    <row r="3124" spans="2:8" hidden="1" x14ac:dyDescent="0.35">
      <c r="B3124" s="80" t="s">
        <v>166</v>
      </c>
      <c r="C3124" s="80" t="s">
        <v>147</v>
      </c>
      <c r="D3124" s="73" t="s">
        <v>680</v>
      </c>
      <c r="E3124" s="74">
        <v>0.02</v>
      </c>
      <c r="F3124" s="78" t="s">
        <v>237</v>
      </c>
      <c r="G3124" s="77" t="s">
        <v>621</v>
      </c>
      <c r="H3124" t="str">
        <f>VLOOKUP(D3124,'DETALLE PRECIO INGREDIENTES'!B:B,1,0)</f>
        <v>LIMON DE JUGO</v>
      </c>
    </row>
    <row r="3125" spans="2:8" hidden="1" x14ac:dyDescent="0.35">
      <c r="B3125" s="80" t="s">
        <v>166</v>
      </c>
      <c r="C3125" s="80" t="s">
        <v>147</v>
      </c>
      <c r="D3125" s="73" t="s">
        <v>686</v>
      </c>
      <c r="E3125" s="74">
        <v>0.1</v>
      </c>
      <c r="F3125" s="78" t="s">
        <v>237</v>
      </c>
      <c r="G3125" s="77" t="s">
        <v>621</v>
      </c>
      <c r="H3125" t="str">
        <f>VLOOKUP(D3125,'DETALLE PRECIO INGREDIENTES'!B:B,1,0)</f>
        <v>MIX DE BERRIES CONGELADO</v>
      </c>
    </row>
    <row r="3126" spans="2:8" hidden="1" x14ac:dyDescent="0.35">
      <c r="B3126" s="80" t="s">
        <v>166</v>
      </c>
      <c r="C3126" s="80" t="s">
        <v>147</v>
      </c>
      <c r="D3126" s="73" t="s">
        <v>348</v>
      </c>
      <c r="E3126" s="74">
        <v>5.0000000000000001E-3</v>
      </c>
      <c r="F3126" s="78" t="s">
        <v>237</v>
      </c>
      <c r="G3126" s="77" t="s">
        <v>220</v>
      </c>
      <c r="H3126" t="str">
        <f>VLOOKUP(D3126,'DETALLE PRECIO INGREDIENTES'!B:B,1,0)</f>
        <v>GLUCOSA</v>
      </c>
    </row>
    <row r="3127" spans="2:8" hidden="1" x14ac:dyDescent="0.35">
      <c r="B3127" s="80" t="s">
        <v>166</v>
      </c>
      <c r="C3127" s="80" t="s">
        <v>147</v>
      </c>
      <c r="D3127" s="73" t="s">
        <v>565</v>
      </c>
      <c r="E3127" s="74">
        <v>0.05</v>
      </c>
      <c r="F3127" s="78" t="s">
        <v>237</v>
      </c>
      <c r="G3127" s="77" t="s">
        <v>551</v>
      </c>
      <c r="H3127" t="str">
        <f>VLOOKUP(D3127,'DETALLE PRECIO INGREDIENTES'!B:B,1,0)</f>
        <v>COBERTURA AMARGA</v>
      </c>
    </row>
    <row r="3128" spans="2:8" hidden="1" x14ac:dyDescent="0.35">
      <c r="B3128" s="80" t="s">
        <v>166</v>
      </c>
      <c r="C3128" s="80" t="s">
        <v>147</v>
      </c>
      <c r="D3128" s="73" t="s">
        <v>634</v>
      </c>
      <c r="E3128" s="74">
        <v>0.03</v>
      </c>
      <c r="F3128" s="78" t="s">
        <v>237</v>
      </c>
      <c r="G3128" s="77" t="s">
        <v>621</v>
      </c>
      <c r="H3128" t="str">
        <f>VLOOKUP(D3128,'DETALLE PRECIO INGREDIENTES'!B:B,1,0)</f>
        <v>ARANDANOS FRESCOS</v>
      </c>
    </row>
    <row r="3129" spans="2:8" hidden="1" x14ac:dyDescent="0.35">
      <c r="B3129" s="80" t="s">
        <v>166</v>
      </c>
      <c r="C3129" s="80" t="s">
        <v>147</v>
      </c>
      <c r="D3129" s="73" t="s">
        <v>669</v>
      </c>
      <c r="E3129" s="74">
        <v>0.1</v>
      </c>
      <c r="F3129" s="78" t="s">
        <v>237</v>
      </c>
      <c r="G3129" s="77" t="s">
        <v>621</v>
      </c>
      <c r="H3129" t="str">
        <f>VLOOKUP(D3129,'DETALLE PRECIO INGREDIENTES'!B:B,1,0)</f>
        <v>FRAMBUESA FRESCA</v>
      </c>
    </row>
    <row r="3130" spans="2:8" hidden="1" x14ac:dyDescent="0.35">
      <c r="B3130" s="80" t="s">
        <v>166</v>
      </c>
      <c r="C3130" s="80" t="s">
        <v>147</v>
      </c>
      <c r="D3130" s="73" t="s">
        <v>690</v>
      </c>
      <c r="E3130" s="74">
        <v>0.1</v>
      </c>
      <c r="F3130" s="78" t="s">
        <v>237</v>
      </c>
      <c r="G3130" s="77" t="s">
        <v>621</v>
      </c>
      <c r="H3130" t="str">
        <f>VLOOKUP(D3130,'DETALLE PRECIO INGREDIENTES'!B:B,1,0)</f>
        <v>NARANJA DE JUGO</v>
      </c>
    </row>
    <row r="3131" spans="2:8" hidden="1" x14ac:dyDescent="0.35">
      <c r="B3131" s="80" t="s">
        <v>166</v>
      </c>
      <c r="C3131" s="80" t="s">
        <v>147</v>
      </c>
      <c r="D3131" s="73" t="s">
        <v>278</v>
      </c>
      <c r="E3131" s="74">
        <v>0.02</v>
      </c>
      <c r="F3131" s="78" t="s">
        <v>237</v>
      </c>
      <c r="G3131" s="77" t="s">
        <v>220</v>
      </c>
      <c r="H3131" t="str">
        <f>VLOOKUP(D3131,'DETALLE PRECIO INGREDIENTES'!B:B,1,0)</f>
        <v>AZUCAR FLOR</v>
      </c>
    </row>
    <row r="3132" spans="2:8" hidden="1" x14ac:dyDescent="0.35">
      <c r="B3132" s="80" t="s">
        <v>166</v>
      </c>
      <c r="C3132" s="80" t="s">
        <v>147</v>
      </c>
      <c r="D3132" s="73" t="s">
        <v>513</v>
      </c>
      <c r="E3132" s="74">
        <v>0.5</v>
      </c>
      <c r="F3132" s="78" t="s">
        <v>259</v>
      </c>
      <c r="G3132" s="77" t="s">
        <v>485</v>
      </c>
      <c r="H3132" t="str">
        <f>VLOOKUP(D3132,'DETALLE PRECIO INGREDIENTES'!B:B,1,0)</f>
        <v>PAPEL MANTEQUILLA 75 X100</v>
      </c>
    </row>
    <row r="3133" spans="2:8" hidden="1" x14ac:dyDescent="0.35">
      <c r="B3133" s="80" t="s">
        <v>166</v>
      </c>
      <c r="C3133" s="80" t="s">
        <v>147</v>
      </c>
      <c r="D3133" s="73" t="s">
        <v>504</v>
      </c>
      <c r="E3133" s="74">
        <v>1</v>
      </c>
      <c r="F3133" s="78" t="s">
        <v>259</v>
      </c>
      <c r="G3133" s="77" t="s">
        <v>485</v>
      </c>
      <c r="H3133" t="str">
        <f>VLOOKUP(D3133,'DETALLE PRECIO INGREDIENTES'!B:B,1,0)</f>
        <v>MICA CARTA</v>
      </c>
    </row>
    <row r="3134" spans="2:8" hidden="1" x14ac:dyDescent="0.35">
      <c r="B3134" s="80" t="s">
        <v>166</v>
      </c>
      <c r="C3134" s="80" t="s">
        <v>147</v>
      </c>
      <c r="D3134" s="73" t="s">
        <v>671</v>
      </c>
      <c r="E3134" s="74">
        <v>6.2199999999999998E-2</v>
      </c>
      <c r="F3134" s="78" t="s">
        <v>237</v>
      </c>
      <c r="G3134" s="77" t="s">
        <v>621</v>
      </c>
      <c r="H3134" t="str">
        <f>VLOOKUP(D3134,'DETALLE PRECIO INGREDIENTES'!B:B,1,0)</f>
        <v>FRUTILLA FRESCA</v>
      </c>
    </row>
    <row r="3135" spans="2:8" hidden="1" x14ac:dyDescent="0.35">
      <c r="B3135" s="80" t="s">
        <v>166</v>
      </c>
      <c r="C3135" s="80" t="s">
        <v>146</v>
      </c>
      <c r="D3135" s="73" t="s">
        <v>729</v>
      </c>
      <c r="E3135" s="74">
        <v>1</v>
      </c>
      <c r="F3135" s="78" t="s">
        <v>259</v>
      </c>
      <c r="G3135" s="77" t="s">
        <v>728</v>
      </c>
      <c r="H3135" t="str">
        <f>VLOOKUP(D3135,'DETALLE PRECIO INGREDIENTES'!B:B,1,0)</f>
        <v>HUEVO EXTRA BLANCO</v>
      </c>
    </row>
    <row r="3136" spans="2:8" hidden="1" x14ac:dyDescent="0.35">
      <c r="B3136" s="80" t="s">
        <v>166</v>
      </c>
      <c r="C3136" s="80" t="s">
        <v>146</v>
      </c>
      <c r="D3136" s="73" t="s">
        <v>277</v>
      </c>
      <c r="E3136" s="74">
        <v>0.1</v>
      </c>
      <c r="F3136" s="78" t="s">
        <v>237</v>
      </c>
      <c r="G3136" s="77" t="s">
        <v>220</v>
      </c>
      <c r="H3136" t="str">
        <f>VLOOKUP(D3136,'DETALLE PRECIO INGREDIENTES'!B:B,1,0)</f>
        <v>AZUCAR BLANCA GRANULADA</v>
      </c>
    </row>
    <row r="3137" spans="2:8" hidden="1" x14ac:dyDescent="0.35">
      <c r="B3137" s="80" t="s">
        <v>166</v>
      </c>
      <c r="C3137" s="80" t="s">
        <v>146</v>
      </c>
      <c r="D3137" s="73" t="s">
        <v>739</v>
      </c>
      <c r="E3137" s="74">
        <v>0.1</v>
      </c>
      <c r="F3137" s="78" t="s">
        <v>222</v>
      </c>
      <c r="G3137" s="77" t="s">
        <v>736</v>
      </c>
      <c r="H3137" t="str">
        <f>VLOOKUP(D3137,'DETALLE PRECIO INGREDIENTES'!B:B,1,0)</f>
        <v>CREMA DE LECHE</v>
      </c>
    </row>
    <row r="3138" spans="2:8" hidden="1" x14ac:dyDescent="0.35">
      <c r="B3138" s="80" t="s">
        <v>166</v>
      </c>
      <c r="C3138" s="80" t="s">
        <v>146</v>
      </c>
      <c r="D3138" s="73" t="s">
        <v>307</v>
      </c>
      <c r="E3138" s="74">
        <v>1</v>
      </c>
      <c r="F3138" s="78" t="s">
        <v>259</v>
      </c>
      <c r="G3138" s="77" t="s">
        <v>220</v>
      </c>
      <c r="H3138" t="str">
        <f>VLOOKUP(D3138,'DETALLE PRECIO INGREDIENTES'!B:B,1,0)</f>
        <v>COLAPEZ POR HOJA</v>
      </c>
    </row>
    <row r="3139" spans="2:8" hidden="1" x14ac:dyDescent="0.35">
      <c r="B3139" s="80" t="s">
        <v>166</v>
      </c>
      <c r="C3139" s="80" t="s">
        <v>146</v>
      </c>
      <c r="D3139" s="73" t="s">
        <v>686</v>
      </c>
      <c r="E3139" s="74">
        <v>0.23</v>
      </c>
      <c r="F3139" s="78" t="s">
        <v>237</v>
      </c>
      <c r="G3139" s="77" t="s">
        <v>621</v>
      </c>
      <c r="H3139" t="str">
        <f>VLOOKUP(D3139,'DETALLE PRECIO INGREDIENTES'!B:B,1,0)</f>
        <v>MIX DE BERRIES CONGELADO</v>
      </c>
    </row>
    <row r="3140" spans="2:8" hidden="1" x14ac:dyDescent="0.35">
      <c r="B3140" s="80" t="s">
        <v>166</v>
      </c>
      <c r="C3140" s="80" t="s">
        <v>146</v>
      </c>
      <c r="D3140" s="73" t="s">
        <v>748</v>
      </c>
      <c r="E3140" s="74">
        <v>6.3E-2</v>
      </c>
      <c r="F3140" s="78" t="s">
        <v>222</v>
      </c>
      <c r="G3140" s="77" t="s">
        <v>736</v>
      </c>
      <c r="H3140" t="str">
        <f>VLOOKUP(D3140,'DETALLE PRECIO INGREDIENTES'!B:B,1,0)</f>
        <v>LECHE ENTERA</v>
      </c>
    </row>
    <row r="3141" spans="2:8" hidden="1" x14ac:dyDescent="0.35">
      <c r="B3141" s="80" t="s">
        <v>166</v>
      </c>
      <c r="C3141" s="80" t="s">
        <v>146</v>
      </c>
      <c r="D3141" s="73" t="s">
        <v>680</v>
      </c>
      <c r="E3141" s="74">
        <v>0.05</v>
      </c>
      <c r="F3141" s="78" t="s">
        <v>237</v>
      </c>
      <c r="G3141" s="77" t="s">
        <v>621</v>
      </c>
      <c r="H3141" t="str">
        <f>VLOOKUP(D3141,'DETALLE PRECIO INGREDIENTES'!B:B,1,0)</f>
        <v>LIMON DE JUGO</v>
      </c>
    </row>
    <row r="3142" spans="2:8" hidden="1" x14ac:dyDescent="0.35">
      <c r="B3142" s="80" t="s">
        <v>166</v>
      </c>
      <c r="C3142" s="80" t="s">
        <v>146</v>
      </c>
      <c r="D3142" s="73" t="s">
        <v>566</v>
      </c>
      <c r="E3142" s="74">
        <v>0.05</v>
      </c>
      <c r="F3142" s="78" t="s">
        <v>237</v>
      </c>
      <c r="G3142" s="77" t="s">
        <v>551</v>
      </c>
      <c r="H3142" t="str">
        <f>VLOOKUP(D3142,'DETALLE PRECIO INGREDIENTES'!B:B,1,0)</f>
        <v>COBERTURA BLANCA</v>
      </c>
    </row>
    <row r="3143" spans="2:8" hidden="1" x14ac:dyDescent="0.35">
      <c r="B3143" s="80" t="s">
        <v>166</v>
      </c>
      <c r="C3143" s="80" t="s">
        <v>146</v>
      </c>
      <c r="D3143" s="73" t="s">
        <v>565</v>
      </c>
      <c r="E3143" s="74">
        <v>0.1</v>
      </c>
      <c r="F3143" s="78" t="s">
        <v>237</v>
      </c>
      <c r="G3143" s="77" t="s">
        <v>551</v>
      </c>
      <c r="H3143" t="str">
        <f>VLOOKUP(D3143,'DETALLE PRECIO INGREDIENTES'!B:B,1,0)</f>
        <v>COBERTURA AMARGA</v>
      </c>
    </row>
    <row r="3144" spans="2:8" hidden="1" x14ac:dyDescent="0.35">
      <c r="B3144" s="80" t="s">
        <v>166</v>
      </c>
      <c r="C3144" s="80" t="s">
        <v>146</v>
      </c>
      <c r="D3144" s="73" t="s">
        <v>504</v>
      </c>
      <c r="E3144" s="74">
        <v>1</v>
      </c>
      <c r="F3144" s="78" t="s">
        <v>259</v>
      </c>
      <c r="G3144" s="77" t="s">
        <v>485</v>
      </c>
      <c r="H3144" t="str">
        <f>VLOOKUP(D3144,'DETALLE PRECIO INGREDIENTES'!B:B,1,0)</f>
        <v>MICA CARTA</v>
      </c>
    </row>
    <row r="3145" spans="2:8" hidden="1" x14ac:dyDescent="0.35">
      <c r="B3145" s="80" t="s">
        <v>166</v>
      </c>
      <c r="C3145" s="80" t="s">
        <v>146</v>
      </c>
      <c r="D3145" s="73" t="s">
        <v>671</v>
      </c>
      <c r="E3145" s="74">
        <v>0.06</v>
      </c>
      <c r="F3145" s="78" t="s">
        <v>237</v>
      </c>
      <c r="G3145" s="77" t="s">
        <v>621</v>
      </c>
      <c r="H3145" t="str">
        <f>VLOOKUP(D3145,'DETALLE PRECIO INGREDIENTES'!B:B,1,0)</f>
        <v>FRUTILLA FRESCA</v>
      </c>
    </row>
    <row r="3146" spans="2:8" hidden="1" x14ac:dyDescent="0.35">
      <c r="B3146" s="80" t="s">
        <v>166</v>
      </c>
      <c r="C3146" s="80" t="s">
        <v>146</v>
      </c>
      <c r="D3146" s="73" t="s">
        <v>669</v>
      </c>
      <c r="E3146" s="74">
        <v>0.04</v>
      </c>
      <c r="F3146" s="78" t="s">
        <v>237</v>
      </c>
      <c r="G3146" s="77" t="s">
        <v>621</v>
      </c>
      <c r="H3146" t="str">
        <f>VLOOKUP(D3146,'DETALLE PRECIO INGREDIENTES'!B:B,1,0)</f>
        <v>FRAMBUESA FRESCA</v>
      </c>
    </row>
    <row r="3147" spans="2:8" hidden="1" x14ac:dyDescent="0.35">
      <c r="B3147" s="80" t="s">
        <v>166</v>
      </c>
      <c r="C3147" s="80" t="s">
        <v>146</v>
      </c>
      <c r="D3147" s="73" t="s">
        <v>690</v>
      </c>
      <c r="E3147" s="74">
        <v>0.05</v>
      </c>
      <c r="F3147" s="78" t="s">
        <v>237</v>
      </c>
      <c r="G3147" s="77" t="s">
        <v>621</v>
      </c>
      <c r="H3147" t="str">
        <f>VLOOKUP(D3147,'DETALLE PRECIO INGREDIENTES'!B:B,1,0)</f>
        <v>NARANJA DE JUGO</v>
      </c>
    </row>
    <row r="3148" spans="2:8" hidden="1" x14ac:dyDescent="0.35">
      <c r="B3148" s="80" t="s">
        <v>166</v>
      </c>
      <c r="C3148" s="80" t="s">
        <v>146</v>
      </c>
      <c r="D3148" s="73" t="s">
        <v>705</v>
      </c>
      <c r="E3148" s="74">
        <v>7.0000000000000007E-2</v>
      </c>
      <c r="F3148" s="78" t="s">
        <v>237</v>
      </c>
      <c r="G3148" s="77" t="s">
        <v>621</v>
      </c>
      <c r="H3148" t="str">
        <f>VLOOKUP(D3148,'DETALLE PRECIO INGREDIENTES'!B:B,1,0)</f>
        <v>PLATANOS</v>
      </c>
    </row>
    <row r="3149" spans="2:8" hidden="1" x14ac:dyDescent="0.35">
      <c r="B3149" s="80" t="s">
        <v>166</v>
      </c>
      <c r="C3149" s="80" t="s">
        <v>146</v>
      </c>
      <c r="D3149" s="73" t="s">
        <v>634</v>
      </c>
      <c r="E3149" s="74">
        <v>0.03</v>
      </c>
      <c r="F3149" s="78" t="s">
        <v>237</v>
      </c>
      <c r="G3149" s="77" t="s">
        <v>621</v>
      </c>
      <c r="H3149" t="str">
        <f>VLOOKUP(D3149,'DETALLE PRECIO INGREDIENTES'!B:B,1,0)</f>
        <v>ARANDANOS FRESCOS</v>
      </c>
    </row>
    <row r="3150" spans="2:8" hidden="1" x14ac:dyDescent="0.35">
      <c r="B3150" s="80" t="s">
        <v>166</v>
      </c>
      <c r="C3150" s="80" t="s">
        <v>146</v>
      </c>
      <c r="D3150" s="73" t="s">
        <v>354</v>
      </c>
      <c r="E3150" s="74">
        <v>7.0000000000000007E-2</v>
      </c>
      <c r="F3150" s="78" t="s">
        <v>237</v>
      </c>
      <c r="G3150" s="77" t="s">
        <v>220</v>
      </c>
      <c r="H3150" t="str">
        <f>VLOOKUP(D3150,'DETALLE PRECIO INGREDIENTES'!B:B,1,0)</f>
        <v>HARINA BIZCOCHERA</v>
      </c>
    </row>
    <row r="3151" spans="2:8" hidden="1" x14ac:dyDescent="0.35">
      <c r="B3151" s="80" t="s">
        <v>166</v>
      </c>
      <c r="C3151" s="80" t="s">
        <v>146</v>
      </c>
      <c r="D3151" s="73" t="s">
        <v>751</v>
      </c>
      <c r="E3151" s="74">
        <v>4.4179999999999997E-2</v>
      </c>
      <c r="F3151" s="78" t="s">
        <v>237</v>
      </c>
      <c r="G3151" s="77" t="s">
        <v>736</v>
      </c>
      <c r="H3151" t="str">
        <f>VLOOKUP(D3151,'DETALLE PRECIO INGREDIENTES'!B:B,1,0)</f>
        <v>MANTEQUILLA SIN SAL</v>
      </c>
    </row>
    <row r="3152" spans="2:8" hidden="1" x14ac:dyDescent="0.35">
      <c r="B3152" s="80" t="s">
        <v>166</v>
      </c>
      <c r="C3152" s="80" t="s">
        <v>146</v>
      </c>
      <c r="D3152" s="73" t="s">
        <v>513</v>
      </c>
      <c r="E3152" s="74">
        <v>0.5</v>
      </c>
      <c r="F3152" s="78" t="s">
        <v>259</v>
      </c>
      <c r="G3152" s="77" t="s">
        <v>485</v>
      </c>
      <c r="H3152" t="str">
        <f>VLOOKUP(D3152,'DETALLE PRECIO INGREDIENTES'!B:B,1,0)</f>
        <v>PAPEL MANTEQUILLA 75 X100</v>
      </c>
    </row>
    <row r="3153" spans="2:8" hidden="1" x14ac:dyDescent="0.35">
      <c r="B3153" s="80" t="s">
        <v>166</v>
      </c>
      <c r="C3153" s="80" t="s">
        <v>146</v>
      </c>
      <c r="D3153" s="73" t="s">
        <v>512</v>
      </c>
      <c r="E3153" s="74">
        <v>0.5</v>
      </c>
      <c r="F3153" s="78" t="s">
        <v>259</v>
      </c>
      <c r="G3153" s="77" t="s">
        <v>485</v>
      </c>
      <c r="H3153" t="str">
        <f>VLOOKUP(D3153,'DETALLE PRECIO INGREDIENTES'!B:B,1,0)</f>
        <v>PAPEL GUITARRA</v>
      </c>
    </row>
    <row r="3154" spans="2:8" x14ac:dyDescent="0.35">
      <c r="B3154" s="80" t="s">
        <v>166</v>
      </c>
      <c r="C3154" s="80" t="s">
        <v>145</v>
      </c>
      <c r="D3154" s="73" t="s">
        <v>984</v>
      </c>
      <c r="E3154" s="74">
        <v>0.06</v>
      </c>
      <c r="F3154" s="78" t="e">
        <v>#N/A</v>
      </c>
      <c r="G3154" s="77" t="e">
        <v>#N/A</v>
      </c>
      <c r="H3154" t="e">
        <f>VLOOKUP(D3154,'DETALLE PRECIO INGREDIENTES'!B:B,1,0)</f>
        <v>#N/A</v>
      </c>
    </row>
    <row r="3155" spans="2:8" hidden="1" x14ac:dyDescent="0.35">
      <c r="B3155" s="80" t="s">
        <v>166</v>
      </c>
      <c r="C3155" s="80" t="s">
        <v>145</v>
      </c>
      <c r="D3155" s="73" t="s">
        <v>322</v>
      </c>
      <c r="E3155" s="74">
        <v>0.02</v>
      </c>
      <c r="F3155" s="78" t="s">
        <v>237</v>
      </c>
      <c r="G3155" s="77" t="s">
        <v>220</v>
      </c>
      <c r="H3155" t="str">
        <f>VLOOKUP(D3155,'DETALLE PRECIO INGREDIENTES'!B:B,1,0)</f>
        <v>DEXTROSA</v>
      </c>
    </row>
    <row r="3156" spans="2:8" hidden="1" x14ac:dyDescent="0.35">
      <c r="B3156" s="80" t="s">
        <v>166</v>
      </c>
      <c r="C3156" s="80" t="s">
        <v>145</v>
      </c>
      <c r="D3156" s="73" t="s">
        <v>377</v>
      </c>
      <c r="E3156" s="74">
        <v>5.0000000000000001E-3</v>
      </c>
      <c r="F3156" s="78" t="s">
        <v>237</v>
      </c>
      <c r="G3156" s="77" t="s">
        <v>220</v>
      </c>
      <c r="H3156" t="str">
        <f>VLOOKUP(D3156,'DETALLE PRECIO INGREDIENTES'!B:B,1,0)</f>
        <v>MALTODEXTRINA</v>
      </c>
    </row>
    <row r="3157" spans="2:8" hidden="1" x14ac:dyDescent="0.35">
      <c r="B3157" s="80" t="s">
        <v>166</v>
      </c>
      <c r="C3157" s="80" t="s">
        <v>145</v>
      </c>
      <c r="D3157" s="73" t="s">
        <v>435</v>
      </c>
      <c r="E3157" s="74">
        <v>5.0000000000000001E-3</v>
      </c>
      <c r="F3157" s="78" t="s">
        <v>237</v>
      </c>
      <c r="G3157" s="77" t="s">
        <v>220</v>
      </c>
      <c r="H3157" t="str">
        <f>VLOOKUP(D3157,'DETALLE PRECIO INGREDIENTES'!B:B,1,0)</f>
        <v>PROSORBETE 100 FRIO SOSA</v>
      </c>
    </row>
    <row r="3158" spans="2:8" hidden="1" x14ac:dyDescent="0.35">
      <c r="B3158" s="80" t="s">
        <v>166</v>
      </c>
      <c r="C3158" s="80" t="s">
        <v>145</v>
      </c>
      <c r="D3158" s="73" t="s">
        <v>312</v>
      </c>
      <c r="E3158" s="74">
        <v>0.05</v>
      </c>
      <c r="F3158" s="78" t="s">
        <v>259</v>
      </c>
      <c r="G3158" s="77" t="s">
        <v>220</v>
      </c>
      <c r="H3158" t="str">
        <f>VLOOKUP(D3158,'DETALLE PRECIO INGREDIENTES'!B:B,1,0)</f>
        <v>CREMA DE COCO S/AZUCAR</v>
      </c>
    </row>
    <row r="3159" spans="2:8" hidden="1" x14ac:dyDescent="0.35">
      <c r="B3159" s="80" t="s">
        <v>166</v>
      </c>
      <c r="C3159" s="80" t="s">
        <v>145</v>
      </c>
      <c r="D3159" s="73" t="s">
        <v>313</v>
      </c>
      <c r="E3159" s="74">
        <v>0.13</v>
      </c>
      <c r="F3159" s="78" t="s">
        <v>222</v>
      </c>
      <c r="G3159" s="77" t="s">
        <v>220</v>
      </c>
      <c r="H3159" t="str">
        <f>VLOOKUP(D3159,'DETALLE PRECIO INGREDIENTES'!B:B,1,0)</f>
        <v>CREMA MIX VEGETAL</v>
      </c>
    </row>
    <row r="3160" spans="2:8" hidden="1" x14ac:dyDescent="0.35">
      <c r="B3160" s="80" t="s">
        <v>166</v>
      </c>
      <c r="C3160" s="80" t="s">
        <v>145</v>
      </c>
      <c r="D3160" s="73" t="s">
        <v>381</v>
      </c>
      <c r="E3160" s="74">
        <v>0.02</v>
      </c>
      <c r="F3160" s="78" t="s">
        <v>237</v>
      </c>
      <c r="G3160" s="77" t="s">
        <v>220</v>
      </c>
      <c r="H3160" t="str">
        <f>VLOOKUP(D3160,'DETALLE PRECIO INGREDIENTES'!B:B,1,0)</f>
        <v>MANTECA VEGETAL</v>
      </c>
    </row>
    <row r="3161" spans="2:8" hidden="1" x14ac:dyDescent="0.35">
      <c r="B3161" s="80" t="s">
        <v>166</v>
      </c>
      <c r="C3161" s="80" t="s">
        <v>145</v>
      </c>
      <c r="D3161" s="73" t="s">
        <v>459</v>
      </c>
      <c r="E3161" s="74">
        <v>0.02</v>
      </c>
      <c r="F3161" s="78" t="s">
        <v>237</v>
      </c>
      <c r="G3161" s="77" t="s">
        <v>220</v>
      </c>
      <c r="H3161" t="str">
        <f>VLOOKUP(D3161,'DETALLE PRECIO INGREDIENTES'!B:B,1,0)</f>
        <v>SEMILLAS DE SESAMO NEGRO</v>
      </c>
    </row>
    <row r="3162" spans="2:8" hidden="1" x14ac:dyDescent="0.35">
      <c r="B3162" s="80" t="s">
        <v>166</v>
      </c>
      <c r="C3162" s="80" t="s">
        <v>145</v>
      </c>
      <c r="D3162" s="73" t="s">
        <v>387</v>
      </c>
      <c r="E3162" s="74">
        <v>1E-3</v>
      </c>
      <c r="F3162" s="78" t="s">
        <v>237</v>
      </c>
      <c r="G3162" s="77" t="s">
        <v>220</v>
      </c>
      <c r="H3162" t="str">
        <f>VLOOKUP(D3162,'DETALLE PRECIO INGREDIENTES'!B:B,1,0)</f>
        <v>MERKEN</v>
      </c>
    </row>
    <row r="3163" spans="2:8" hidden="1" x14ac:dyDescent="0.35">
      <c r="B3163" s="80" t="s">
        <v>166</v>
      </c>
      <c r="C3163" s="80" t="s">
        <v>145</v>
      </c>
      <c r="D3163" s="73" t="s">
        <v>558</v>
      </c>
      <c r="E3163" s="74">
        <v>0.04</v>
      </c>
      <c r="F3163" s="78" t="s">
        <v>237</v>
      </c>
      <c r="G3163" s="77" t="s">
        <v>551</v>
      </c>
      <c r="H3163" t="str">
        <f>VLOOKUP(D3163,'DETALLE PRECIO INGREDIENTES'!B:B,1,0)</f>
        <v>CHOCOLATE AMARGO 65%</v>
      </c>
    </row>
    <row r="3164" spans="2:8" hidden="1" x14ac:dyDescent="0.35">
      <c r="B3164" s="80" t="s">
        <v>166</v>
      </c>
      <c r="C3164" s="80" t="s">
        <v>145</v>
      </c>
      <c r="D3164" s="73" t="s">
        <v>348</v>
      </c>
      <c r="E3164" s="74">
        <v>0.02</v>
      </c>
      <c r="F3164" s="78" t="s">
        <v>237</v>
      </c>
      <c r="G3164" s="77" t="s">
        <v>220</v>
      </c>
      <c r="H3164" t="str">
        <f>VLOOKUP(D3164,'DETALLE PRECIO INGREDIENTES'!B:B,1,0)</f>
        <v>GLUCOSA</v>
      </c>
    </row>
    <row r="3165" spans="2:8" hidden="1" x14ac:dyDescent="0.35">
      <c r="B3165" s="80" t="s">
        <v>166</v>
      </c>
      <c r="C3165" s="80" t="s">
        <v>145</v>
      </c>
      <c r="D3165" s="73" t="s">
        <v>729</v>
      </c>
      <c r="E3165" s="74">
        <v>2</v>
      </c>
      <c r="F3165" s="78" t="s">
        <v>259</v>
      </c>
      <c r="G3165" s="77" t="s">
        <v>728</v>
      </c>
      <c r="H3165" t="str">
        <f>VLOOKUP(D3165,'DETALLE PRECIO INGREDIENTES'!B:B,1,0)</f>
        <v>HUEVO EXTRA BLANCO</v>
      </c>
    </row>
    <row r="3166" spans="2:8" hidden="1" x14ac:dyDescent="0.35">
      <c r="B3166" s="80" t="s">
        <v>166</v>
      </c>
      <c r="C3166" s="80" t="s">
        <v>145</v>
      </c>
      <c r="D3166" s="73" t="s">
        <v>597</v>
      </c>
      <c r="E3166" s="74">
        <v>0.05</v>
      </c>
      <c r="F3166" s="78" t="s">
        <v>237</v>
      </c>
      <c r="G3166" s="77" t="s">
        <v>587</v>
      </c>
      <c r="H3166" t="str">
        <f>VLOOKUP(D3166,'DETALLE PRECIO INGREDIENTES'!B:B,1,0)</f>
        <v>PULPA DE MANGO S/AZUCAR</v>
      </c>
    </row>
    <row r="3167" spans="2:8" hidden="1" x14ac:dyDescent="0.35">
      <c r="B3167" s="80" t="s">
        <v>166</v>
      </c>
      <c r="C3167" s="80" t="s">
        <v>145</v>
      </c>
      <c r="D3167" s="73" t="s">
        <v>380</v>
      </c>
      <c r="E3167" s="74">
        <v>0.03</v>
      </c>
      <c r="F3167" s="78" t="s">
        <v>237</v>
      </c>
      <c r="G3167" s="77" t="s">
        <v>220</v>
      </c>
      <c r="H3167" t="str">
        <f>VLOOKUP(D3167,'DETALLE PRECIO INGREDIENTES'!B:B,1,0)</f>
        <v>MANI TOSTADO</v>
      </c>
    </row>
    <row r="3168" spans="2:8" hidden="1" x14ac:dyDescent="0.35">
      <c r="B3168" s="80" t="s">
        <v>166</v>
      </c>
      <c r="C3168" s="80" t="s">
        <v>145</v>
      </c>
      <c r="D3168" s="73" t="s">
        <v>436</v>
      </c>
      <c r="E3168" s="74">
        <v>4.0000000000000001E-3</v>
      </c>
      <c r="F3168" s="78" t="s">
        <v>237</v>
      </c>
      <c r="G3168" s="77" t="s">
        <v>220</v>
      </c>
      <c r="H3168" t="str">
        <f>VLOOKUP(D3168,'DETALLE PRECIO INGREDIENTES'!B:B,1,0)</f>
        <v>PROSORBETE 5 NEUTRO CALIENTE</v>
      </c>
    </row>
    <row r="3169" spans="2:8" hidden="1" x14ac:dyDescent="0.35">
      <c r="B3169" s="80" t="s">
        <v>166</v>
      </c>
      <c r="C3169" s="80" t="s">
        <v>145</v>
      </c>
      <c r="D3169" s="73" t="s">
        <v>463</v>
      </c>
      <c r="E3169" s="74">
        <v>2E-3</v>
      </c>
      <c r="F3169" s="78" t="s">
        <v>237</v>
      </c>
      <c r="G3169" s="77" t="s">
        <v>220</v>
      </c>
      <c r="H3169" t="str">
        <f>VLOOKUP(D3169,'DETALLE PRECIO INGREDIENTES'!B:B,1,0)</f>
        <v>TAJIN</v>
      </c>
    </row>
    <row r="3170" spans="2:8" hidden="1" x14ac:dyDescent="0.35">
      <c r="B3170" s="80" t="s">
        <v>166</v>
      </c>
      <c r="C3170" s="80" t="s">
        <v>145</v>
      </c>
      <c r="D3170" s="73" t="s">
        <v>629</v>
      </c>
      <c r="E3170" s="74">
        <v>0.02</v>
      </c>
      <c r="F3170" s="78" t="s">
        <v>237</v>
      </c>
      <c r="G3170" s="77" t="s">
        <v>621</v>
      </c>
      <c r="H3170" t="str">
        <f>VLOOKUP(D3170,'DETALLE PRECIO INGREDIENTES'!B:B,1,0)</f>
        <v>ALBAHACA FRESCA</v>
      </c>
    </row>
    <row r="3171" spans="2:8" hidden="1" x14ac:dyDescent="0.35">
      <c r="B3171" s="80" t="s">
        <v>166</v>
      </c>
      <c r="C3171" s="80" t="s">
        <v>145</v>
      </c>
      <c r="D3171" s="73" t="s">
        <v>680</v>
      </c>
      <c r="E3171" s="74">
        <v>0.04</v>
      </c>
      <c r="F3171" s="78" t="s">
        <v>237</v>
      </c>
      <c r="G3171" s="77" t="s">
        <v>621</v>
      </c>
      <c r="H3171" t="str">
        <f>VLOOKUP(D3171,'DETALLE PRECIO INGREDIENTES'!B:B,1,0)</f>
        <v>LIMON DE JUGO</v>
      </c>
    </row>
    <row r="3172" spans="2:8" hidden="1" x14ac:dyDescent="0.35">
      <c r="B3172" s="80" t="s">
        <v>166</v>
      </c>
      <c r="C3172" s="80" t="s">
        <v>145</v>
      </c>
      <c r="D3172" s="73" t="s">
        <v>668</v>
      </c>
      <c r="E3172" s="74">
        <v>0.04</v>
      </c>
      <c r="F3172" s="78" t="s">
        <v>237</v>
      </c>
      <c r="G3172" s="77" t="s">
        <v>621</v>
      </c>
      <c r="H3172" t="str">
        <f>VLOOKUP(D3172,'DETALLE PRECIO INGREDIENTES'!B:B,1,0)</f>
        <v>FRAMBUESA CONGELADA</v>
      </c>
    </row>
    <row r="3173" spans="2:8" hidden="1" x14ac:dyDescent="0.35">
      <c r="B3173" s="80" t="s">
        <v>166</v>
      </c>
      <c r="C3173" s="80" t="s">
        <v>145</v>
      </c>
      <c r="D3173" s="73" t="s">
        <v>244</v>
      </c>
      <c r="E3173" s="74">
        <v>5.0000000000000001E-3</v>
      </c>
      <c r="F3173" s="78" t="s">
        <v>237</v>
      </c>
      <c r="G3173" s="77" t="s">
        <v>220</v>
      </c>
      <c r="H3173" t="str">
        <f>VLOOKUP(D3173,'DETALLE PRECIO INGREDIENTES'!B:B,1,0)</f>
        <v>AGAR-AGAR</v>
      </c>
    </row>
    <row r="3174" spans="2:8" hidden="1" x14ac:dyDescent="0.35">
      <c r="B3174" s="80" t="s">
        <v>166</v>
      </c>
      <c r="C3174" s="80" t="s">
        <v>145</v>
      </c>
      <c r="D3174" s="73" t="s">
        <v>307</v>
      </c>
      <c r="E3174" s="74">
        <v>1</v>
      </c>
      <c r="F3174" s="78" t="s">
        <v>259</v>
      </c>
      <c r="G3174" s="77" t="s">
        <v>220</v>
      </c>
      <c r="H3174" t="str">
        <f>VLOOKUP(D3174,'DETALLE PRECIO INGREDIENTES'!B:B,1,0)</f>
        <v>COLAPEZ POR HOJA</v>
      </c>
    </row>
    <row r="3175" spans="2:8" hidden="1" x14ac:dyDescent="0.35">
      <c r="B3175" s="80" t="s">
        <v>166</v>
      </c>
      <c r="C3175" s="80" t="s">
        <v>145</v>
      </c>
      <c r="D3175" s="73" t="s">
        <v>438</v>
      </c>
      <c r="E3175" s="74">
        <v>0.02</v>
      </c>
      <c r="F3175" s="78" t="s">
        <v>237</v>
      </c>
      <c r="G3175" s="77" t="s">
        <v>220</v>
      </c>
      <c r="H3175" t="str">
        <f>VLOOKUP(D3175,'DETALLE PRECIO INGREDIENTES'!B:B,1,0)</f>
        <v>QUINOA INFLADA POPS</v>
      </c>
    </row>
    <row r="3176" spans="2:8" hidden="1" x14ac:dyDescent="0.35">
      <c r="B3176" s="80" t="s">
        <v>166</v>
      </c>
      <c r="C3176" s="80" t="s">
        <v>145</v>
      </c>
      <c r="D3176" s="73" t="s">
        <v>720</v>
      </c>
      <c r="E3176" s="74">
        <v>0.03</v>
      </c>
      <c r="F3176" s="78" t="s">
        <v>237</v>
      </c>
      <c r="G3176" s="77" t="s">
        <v>621</v>
      </c>
      <c r="H3176" t="str">
        <f>VLOOKUP(D3176,'DETALLE PRECIO INGREDIENTES'!B:B,1,0)</f>
        <v>ZANAHORIA</v>
      </c>
    </row>
    <row r="3177" spans="2:8" hidden="1" x14ac:dyDescent="0.35">
      <c r="B3177" s="80" t="s">
        <v>166</v>
      </c>
      <c r="C3177" s="80" t="s">
        <v>145</v>
      </c>
      <c r="D3177" s="73" t="s">
        <v>751</v>
      </c>
      <c r="E3177" s="74">
        <v>0.05</v>
      </c>
      <c r="F3177" s="78" t="s">
        <v>237</v>
      </c>
      <c r="G3177" s="77" t="s">
        <v>736</v>
      </c>
      <c r="H3177" t="str">
        <f>VLOOKUP(D3177,'DETALLE PRECIO INGREDIENTES'!B:B,1,0)</f>
        <v>MANTEQUILLA SIN SAL</v>
      </c>
    </row>
    <row r="3178" spans="2:8" hidden="1" x14ac:dyDescent="0.35">
      <c r="B3178" s="80" t="s">
        <v>166</v>
      </c>
      <c r="C3178" s="80" t="s">
        <v>145</v>
      </c>
      <c r="D3178" s="73" t="s">
        <v>278</v>
      </c>
      <c r="E3178" s="74">
        <v>5.9499999999999997E-2</v>
      </c>
      <c r="F3178" s="78" t="s">
        <v>237</v>
      </c>
      <c r="G3178" s="77" t="s">
        <v>220</v>
      </c>
      <c r="H3178" t="str">
        <f>VLOOKUP(D3178,'DETALLE PRECIO INGREDIENTES'!B:B,1,0)</f>
        <v>AZUCAR FLOR</v>
      </c>
    </row>
    <row r="3179" spans="2:8" hidden="1" x14ac:dyDescent="0.35">
      <c r="B3179" s="80" t="s">
        <v>166</v>
      </c>
      <c r="C3179" s="80" t="s">
        <v>145</v>
      </c>
      <c r="D3179" s="73" t="s">
        <v>509</v>
      </c>
      <c r="E3179" s="74">
        <v>2</v>
      </c>
      <c r="F3179" s="78" t="s">
        <v>259</v>
      </c>
      <c r="G3179" s="77" t="s">
        <v>485</v>
      </c>
      <c r="H3179" t="str">
        <f>VLOOKUP(D3179,'DETALLE PRECIO INGREDIENTES'!B:B,1,0)</f>
        <v>PALOS DE HELADOS</v>
      </c>
    </row>
    <row r="3180" spans="2:8" hidden="1" x14ac:dyDescent="0.35">
      <c r="B3180" s="80" t="s">
        <v>166</v>
      </c>
      <c r="C3180" s="80" t="s">
        <v>145</v>
      </c>
      <c r="D3180" s="73" t="s">
        <v>288</v>
      </c>
      <c r="E3180" s="74">
        <v>5.0000000000000001E-3</v>
      </c>
      <c r="F3180" s="78" t="s">
        <v>237</v>
      </c>
      <c r="G3180" s="77" t="s">
        <v>220</v>
      </c>
      <c r="H3180" t="str">
        <f>VLOOKUP(D3180,'DETALLE PRECIO INGREDIENTES'!B:B,1,0)</f>
        <v>CAFE INSTANTANEO</v>
      </c>
    </row>
    <row r="3181" spans="2:8" hidden="1" x14ac:dyDescent="0.35">
      <c r="B3181" s="80" t="s">
        <v>166</v>
      </c>
      <c r="C3181" s="80" t="s">
        <v>145</v>
      </c>
      <c r="D3181" s="73" t="s">
        <v>675</v>
      </c>
      <c r="E3181" s="74">
        <v>0.04</v>
      </c>
      <c r="F3181" s="78" t="s">
        <v>237</v>
      </c>
      <c r="G3181" s="77" t="s">
        <v>621</v>
      </c>
      <c r="H3181" t="str">
        <f>VLOOKUP(D3181,'DETALLE PRECIO INGREDIENTES'!B:B,1,0)</f>
        <v>JENGIBRE</v>
      </c>
    </row>
    <row r="3182" spans="2:8" x14ac:dyDescent="0.35">
      <c r="B3182" s="80" t="s">
        <v>166</v>
      </c>
      <c r="C3182" s="80" t="s">
        <v>144</v>
      </c>
      <c r="D3182" s="73" t="s">
        <v>984</v>
      </c>
      <c r="E3182" s="74">
        <v>0.06</v>
      </c>
      <c r="F3182" s="78" t="e">
        <v>#N/A</v>
      </c>
      <c r="G3182" s="77" t="e">
        <v>#N/A</v>
      </c>
      <c r="H3182" t="e">
        <f>VLOOKUP(D3182,'DETALLE PRECIO INGREDIENTES'!B:B,1,0)</f>
        <v>#N/A</v>
      </c>
    </row>
    <row r="3183" spans="2:8" hidden="1" x14ac:dyDescent="0.35">
      <c r="B3183" s="80" t="s">
        <v>166</v>
      </c>
      <c r="C3183" s="80" t="s">
        <v>144</v>
      </c>
      <c r="D3183" s="73" t="s">
        <v>322</v>
      </c>
      <c r="E3183" s="74">
        <v>0.02</v>
      </c>
      <c r="F3183" s="78" t="s">
        <v>237</v>
      </c>
      <c r="G3183" s="77" t="s">
        <v>220</v>
      </c>
      <c r="H3183" t="str">
        <f>VLOOKUP(D3183,'DETALLE PRECIO INGREDIENTES'!B:B,1,0)</f>
        <v>DEXTROSA</v>
      </c>
    </row>
    <row r="3184" spans="2:8" hidden="1" x14ac:dyDescent="0.35">
      <c r="B3184" s="80" t="s">
        <v>166</v>
      </c>
      <c r="C3184" s="80" t="s">
        <v>144</v>
      </c>
      <c r="D3184" s="73" t="s">
        <v>377</v>
      </c>
      <c r="E3184" s="74">
        <v>5.0000000000000001E-3</v>
      </c>
      <c r="F3184" s="78" t="s">
        <v>237</v>
      </c>
      <c r="G3184" s="77" t="s">
        <v>220</v>
      </c>
      <c r="H3184" t="str">
        <f>VLOOKUP(D3184,'DETALLE PRECIO INGREDIENTES'!B:B,1,0)</f>
        <v>MALTODEXTRINA</v>
      </c>
    </row>
    <row r="3185" spans="2:8" hidden="1" x14ac:dyDescent="0.35">
      <c r="B3185" s="80" t="s">
        <v>166</v>
      </c>
      <c r="C3185" s="80" t="s">
        <v>144</v>
      </c>
      <c r="D3185" s="73" t="s">
        <v>435</v>
      </c>
      <c r="E3185" s="74">
        <v>5.0000000000000001E-3</v>
      </c>
      <c r="F3185" s="78" t="s">
        <v>237</v>
      </c>
      <c r="G3185" s="77" t="s">
        <v>220</v>
      </c>
      <c r="H3185" t="str">
        <f>VLOOKUP(D3185,'DETALLE PRECIO INGREDIENTES'!B:B,1,0)</f>
        <v>PROSORBETE 100 FRIO SOSA</v>
      </c>
    </row>
    <row r="3186" spans="2:8" hidden="1" x14ac:dyDescent="0.35">
      <c r="B3186" s="80" t="s">
        <v>166</v>
      </c>
      <c r="C3186" s="80" t="s">
        <v>144</v>
      </c>
      <c r="D3186" s="73" t="s">
        <v>312</v>
      </c>
      <c r="E3186" s="74">
        <v>7.9299999999999995E-2</v>
      </c>
      <c r="F3186" s="78" t="s">
        <v>259</v>
      </c>
      <c r="G3186" s="77" t="s">
        <v>220</v>
      </c>
      <c r="H3186" t="str">
        <f>VLOOKUP(D3186,'DETALLE PRECIO INGREDIENTES'!B:B,1,0)</f>
        <v>CREMA DE COCO S/AZUCAR</v>
      </c>
    </row>
    <row r="3187" spans="2:8" hidden="1" x14ac:dyDescent="0.35">
      <c r="B3187" s="80" t="s">
        <v>166</v>
      </c>
      <c r="C3187" s="80" t="s">
        <v>144</v>
      </c>
      <c r="D3187" s="73" t="s">
        <v>313</v>
      </c>
      <c r="E3187" s="74">
        <v>0.13</v>
      </c>
      <c r="F3187" s="78" t="s">
        <v>222</v>
      </c>
      <c r="G3187" s="77" t="s">
        <v>220</v>
      </c>
      <c r="H3187" t="str">
        <f>VLOOKUP(D3187,'DETALLE PRECIO INGREDIENTES'!B:B,1,0)</f>
        <v>CREMA MIX VEGETAL</v>
      </c>
    </row>
    <row r="3188" spans="2:8" hidden="1" x14ac:dyDescent="0.35">
      <c r="B3188" s="80" t="s">
        <v>166</v>
      </c>
      <c r="C3188" s="80" t="s">
        <v>144</v>
      </c>
      <c r="D3188" s="73" t="s">
        <v>381</v>
      </c>
      <c r="E3188" s="74">
        <v>0.02</v>
      </c>
      <c r="F3188" s="78" t="s">
        <v>237</v>
      </c>
      <c r="G3188" s="77" t="s">
        <v>220</v>
      </c>
      <c r="H3188" t="str">
        <f>VLOOKUP(D3188,'DETALLE PRECIO INGREDIENTES'!B:B,1,0)</f>
        <v>MANTECA VEGETAL</v>
      </c>
    </row>
    <row r="3189" spans="2:8" hidden="1" x14ac:dyDescent="0.35">
      <c r="B3189" s="80" t="s">
        <v>166</v>
      </c>
      <c r="C3189" s="80" t="s">
        <v>144</v>
      </c>
      <c r="D3189" s="73" t="s">
        <v>459</v>
      </c>
      <c r="E3189" s="74">
        <v>0.02</v>
      </c>
      <c r="F3189" s="78" t="s">
        <v>237</v>
      </c>
      <c r="G3189" s="77" t="s">
        <v>220</v>
      </c>
      <c r="H3189" t="str">
        <f>VLOOKUP(D3189,'DETALLE PRECIO INGREDIENTES'!B:B,1,0)</f>
        <v>SEMILLAS DE SESAMO NEGRO</v>
      </c>
    </row>
    <row r="3190" spans="2:8" hidden="1" x14ac:dyDescent="0.35">
      <c r="B3190" s="80" t="s">
        <v>166</v>
      </c>
      <c r="C3190" s="80" t="s">
        <v>144</v>
      </c>
      <c r="D3190" s="73" t="s">
        <v>387</v>
      </c>
      <c r="E3190" s="74">
        <v>1E-3</v>
      </c>
      <c r="F3190" s="78" t="s">
        <v>237</v>
      </c>
      <c r="G3190" s="77" t="s">
        <v>220</v>
      </c>
      <c r="H3190" t="str">
        <f>VLOOKUP(D3190,'DETALLE PRECIO INGREDIENTES'!B:B,1,0)</f>
        <v>MERKEN</v>
      </c>
    </row>
    <row r="3191" spans="2:8" hidden="1" x14ac:dyDescent="0.35">
      <c r="B3191" s="80" t="s">
        <v>166</v>
      </c>
      <c r="C3191" s="80" t="s">
        <v>144</v>
      </c>
      <c r="D3191" s="73" t="s">
        <v>558</v>
      </c>
      <c r="E3191" s="74">
        <v>0.04</v>
      </c>
      <c r="F3191" s="78" t="s">
        <v>237</v>
      </c>
      <c r="G3191" s="77" t="s">
        <v>551</v>
      </c>
      <c r="H3191" t="str">
        <f>VLOOKUP(D3191,'DETALLE PRECIO INGREDIENTES'!B:B,1,0)</f>
        <v>CHOCOLATE AMARGO 65%</v>
      </c>
    </row>
    <row r="3192" spans="2:8" hidden="1" x14ac:dyDescent="0.35">
      <c r="B3192" s="80" t="s">
        <v>166</v>
      </c>
      <c r="C3192" s="80" t="s">
        <v>144</v>
      </c>
      <c r="D3192" s="73" t="s">
        <v>348</v>
      </c>
      <c r="E3192" s="74">
        <v>0.02</v>
      </c>
      <c r="F3192" s="78" t="s">
        <v>237</v>
      </c>
      <c r="G3192" s="77" t="s">
        <v>220</v>
      </c>
      <c r="H3192" t="str">
        <f>VLOOKUP(D3192,'DETALLE PRECIO INGREDIENTES'!B:B,1,0)</f>
        <v>GLUCOSA</v>
      </c>
    </row>
    <row r="3193" spans="2:8" hidden="1" x14ac:dyDescent="0.35">
      <c r="B3193" s="80" t="s">
        <v>166</v>
      </c>
      <c r="C3193" s="80" t="s">
        <v>144</v>
      </c>
      <c r="D3193" s="73" t="s">
        <v>729</v>
      </c>
      <c r="E3193" s="74">
        <v>2</v>
      </c>
      <c r="F3193" s="78" t="s">
        <v>259</v>
      </c>
      <c r="G3193" s="77" t="s">
        <v>728</v>
      </c>
      <c r="H3193" t="str">
        <f>VLOOKUP(D3193,'DETALLE PRECIO INGREDIENTES'!B:B,1,0)</f>
        <v>HUEVO EXTRA BLANCO</v>
      </c>
    </row>
    <row r="3194" spans="2:8" hidden="1" x14ac:dyDescent="0.35">
      <c r="B3194" s="80" t="s">
        <v>166</v>
      </c>
      <c r="C3194" s="80" t="s">
        <v>144</v>
      </c>
      <c r="D3194" s="73" t="s">
        <v>597</v>
      </c>
      <c r="E3194" s="74">
        <v>0.05</v>
      </c>
      <c r="F3194" s="78" t="s">
        <v>237</v>
      </c>
      <c r="G3194" s="77" t="s">
        <v>587</v>
      </c>
      <c r="H3194" t="str">
        <f>VLOOKUP(D3194,'DETALLE PRECIO INGREDIENTES'!B:B,1,0)</f>
        <v>PULPA DE MANGO S/AZUCAR</v>
      </c>
    </row>
    <row r="3195" spans="2:8" hidden="1" x14ac:dyDescent="0.35">
      <c r="B3195" s="80" t="s">
        <v>166</v>
      </c>
      <c r="C3195" s="80" t="s">
        <v>144</v>
      </c>
      <c r="D3195" s="73" t="s">
        <v>380</v>
      </c>
      <c r="E3195" s="74">
        <v>0.03</v>
      </c>
      <c r="F3195" s="78" t="s">
        <v>237</v>
      </c>
      <c r="G3195" s="77" t="s">
        <v>220</v>
      </c>
      <c r="H3195" t="str">
        <f>VLOOKUP(D3195,'DETALLE PRECIO INGREDIENTES'!B:B,1,0)</f>
        <v>MANI TOSTADO</v>
      </c>
    </row>
    <row r="3196" spans="2:8" hidden="1" x14ac:dyDescent="0.35">
      <c r="B3196" s="80" t="s">
        <v>166</v>
      </c>
      <c r="C3196" s="80" t="s">
        <v>144</v>
      </c>
      <c r="D3196" s="73" t="s">
        <v>436</v>
      </c>
      <c r="E3196" s="74">
        <v>4.0000000000000001E-3</v>
      </c>
      <c r="F3196" s="78" t="s">
        <v>237</v>
      </c>
      <c r="G3196" s="77" t="s">
        <v>220</v>
      </c>
      <c r="H3196" t="str">
        <f>VLOOKUP(D3196,'DETALLE PRECIO INGREDIENTES'!B:B,1,0)</f>
        <v>PROSORBETE 5 NEUTRO CALIENTE</v>
      </c>
    </row>
    <row r="3197" spans="2:8" hidden="1" x14ac:dyDescent="0.35">
      <c r="B3197" s="80" t="s">
        <v>166</v>
      </c>
      <c r="C3197" s="80" t="s">
        <v>144</v>
      </c>
      <c r="D3197" s="73" t="s">
        <v>463</v>
      </c>
      <c r="E3197" s="74">
        <v>2E-3</v>
      </c>
      <c r="F3197" s="78" t="s">
        <v>237</v>
      </c>
      <c r="G3197" s="77" t="s">
        <v>220</v>
      </c>
      <c r="H3197" t="str">
        <f>VLOOKUP(D3197,'DETALLE PRECIO INGREDIENTES'!B:B,1,0)</f>
        <v>TAJIN</v>
      </c>
    </row>
    <row r="3198" spans="2:8" hidden="1" x14ac:dyDescent="0.35">
      <c r="B3198" s="80" t="s">
        <v>166</v>
      </c>
      <c r="C3198" s="80" t="s">
        <v>144</v>
      </c>
      <c r="D3198" s="73" t="s">
        <v>629</v>
      </c>
      <c r="E3198" s="74">
        <v>0.02</v>
      </c>
      <c r="F3198" s="78" t="s">
        <v>237</v>
      </c>
      <c r="G3198" s="77" t="s">
        <v>621</v>
      </c>
      <c r="H3198" t="str">
        <f>VLOOKUP(D3198,'DETALLE PRECIO INGREDIENTES'!B:B,1,0)</f>
        <v>ALBAHACA FRESCA</v>
      </c>
    </row>
    <row r="3199" spans="2:8" hidden="1" x14ac:dyDescent="0.35">
      <c r="B3199" s="80" t="s">
        <v>166</v>
      </c>
      <c r="C3199" s="80" t="s">
        <v>144</v>
      </c>
      <c r="D3199" s="73" t="s">
        <v>680</v>
      </c>
      <c r="E3199" s="74">
        <v>0.04</v>
      </c>
      <c r="F3199" s="78" t="s">
        <v>237</v>
      </c>
      <c r="G3199" s="77" t="s">
        <v>621</v>
      </c>
      <c r="H3199" t="str">
        <f>VLOOKUP(D3199,'DETALLE PRECIO INGREDIENTES'!B:B,1,0)</f>
        <v>LIMON DE JUGO</v>
      </c>
    </row>
    <row r="3200" spans="2:8" hidden="1" x14ac:dyDescent="0.35">
      <c r="B3200" s="80" t="s">
        <v>166</v>
      </c>
      <c r="C3200" s="80" t="s">
        <v>144</v>
      </c>
      <c r="D3200" s="73" t="s">
        <v>668</v>
      </c>
      <c r="E3200" s="74">
        <v>0.04</v>
      </c>
      <c r="F3200" s="78" t="s">
        <v>237</v>
      </c>
      <c r="G3200" s="77" t="s">
        <v>621</v>
      </c>
      <c r="H3200" t="str">
        <f>VLOOKUP(D3200,'DETALLE PRECIO INGREDIENTES'!B:B,1,0)</f>
        <v>FRAMBUESA CONGELADA</v>
      </c>
    </row>
    <row r="3201" spans="2:8" hidden="1" x14ac:dyDescent="0.35">
      <c r="B3201" s="80" t="s">
        <v>166</v>
      </c>
      <c r="C3201" s="80" t="s">
        <v>144</v>
      </c>
      <c r="D3201" s="73" t="s">
        <v>244</v>
      </c>
      <c r="E3201" s="74">
        <v>5.0000000000000001E-3</v>
      </c>
      <c r="F3201" s="78" t="s">
        <v>237</v>
      </c>
      <c r="G3201" s="77" t="s">
        <v>220</v>
      </c>
      <c r="H3201" t="str">
        <f>VLOOKUP(D3201,'DETALLE PRECIO INGREDIENTES'!B:B,1,0)</f>
        <v>AGAR-AGAR</v>
      </c>
    </row>
    <row r="3202" spans="2:8" hidden="1" x14ac:dyDescent="0.35">
      <c r="B3202" s="80" t="s">
        <v>166</v>
      </c>
      <c r="C3202" s="80" t="s">
        <v>144</v>
      </c>
      <c r="D3202" s="73" t="s">
        <v>307</v>
      </c>
      <c r="E3202" s="74">
        <v>1</v>
      </c>
      <c r="F3202" s="78" t="s">
        <v>259</v>
      </c>
      <c r="G3202" s="77" t="s">
        <v>220</v>
      </c>
      <c r="H3202" t="str">
        <f>VLOOKUP(D3202,'DETALLE PRECIO INGREDIENTES'!B:B,1,0)</f>
        <v>COLAPEZ POR HOJA</v>
      </c>
    </row>
    <row r="3203" spans="2:8" hidden="1" x14ac:dyDescent="0.35">
      <c r="B3203" s="80" t="s">
        <v>166</v>
      </c>
      <c r="C3203" s="80" t="s">
        <v>144</v>
      </c>
      <c r="D3203" s="73" t="s">
        <v>438</v>
      </c>
      <c r="E3203" s="74">
        <v>0.02</v>
      </c>
      <c r="F3203" s="78" t="s">
        <v>237</v>
      </c>
      <c r="G3203" s="77" t="s">
        <v>220</v>
      </c>
      <c r="H3203" t="str">
        <f>VLOOKUP(D3203,'DETALLE PRECIO INGREDIENTES'!B:B,1,0)</f>
        <v>QUINOA INFLADA POPS</v>
      </c>
    </row>
    <row r="3204" spans="2:8" hidden="1" x14ac:dyDescent="0.35">
      <c r="B3204" s="80" t="s">
        <v>166</v>
      </c>
      <c r="C3204" s="80" t="s">
        <v>144</v>
      </c>
      <c r="D3204" s="73" t="s">
        <v>720</v>
      </c>
      <c r="E3204" s="74">
        <v>0.03</v>
      </c>
      <c r="F3204" s="78" t="s">
        <v>237</v>
      </c>
      <c r="G3204" s="77" t="s">
        <v>621</v>
      </c>
      <c r="H3204" t="str">
        <f>VLOOKUP(D3204,'DETALLE PRECIO INGREDIENTES'!B:B,1,0)</f>
        <v>ZANAHORIA</v>
      </c>
    </row>
    <row r="3205" spans="2:8" hidden="1" x14ac:dyDescent="0.35">
      <c r="B3205" s="80" t="s">
        <v>166</v>
      </c>
      <c r="C3205" s="80" t="s">
        <v>144</v>
      </c>
      <c r="D3205" s="73" t="s">
        <v>751</v>
      </c>
      <c r="E3205" s="74">
        <v>0.05</v>
      </c>
      <c r="F3205" s="78" t="s">
        <v>237</v>
      </c>
      <c r="G3205" s="77" t="s">
        <v>736</v>
      </c>
      <c r="H3205" t="str">
        <f>VLOOKUP(D3205,'DETALLE PRECIO INGREDIENTES'!B:B,1,0)</f>
        <v>MANTEQUILLA SIN SAL</v>
      </c>
    </row>
    <row r="3206" spans="2:8" hidden="1" x14ac:dyDescent="0.35">
      <c r="B3206" s="80" t="s">
        <v>166</v>
      </c>
      <c r="C3206" s="80" t="s">
        <v>144</v>
      </c>
      <c r="D3206" s="73" t="s">
        <v>278</v>
      </c>
      <c r="E3206" s="74">
        <v>5.9499999999999997E-2</v>
      </c>
      <c r="F3206" s="78" t="s">
        <v>237</v>
      </c>
      <c r="G3206" s="77" t="s">
        <v>220</v>
      </c>
      <c r="H3206" t="str">
        <f>VLOOKUP(D3206,'DETALLE PRECIO INGREDIENTES'!B:B,1,0)</f>
        <v>AZUCAR FLOR</v>
      </c>
    </row>
    <row r="3207" spans="2:8" hidden="1" x14ac:dyDescent="0.35">
      <c r="B3207" s="80" t="s">
        <v>166</v>
      </c>
      <c r="C3207" s="80" t="s">
        <v>144</v>
      </c>
      <c r="D3207" s="73" t="s">
        <v>509</v>
      </c>
      <c r="E3207" s="74">
        <v>2</v>
      </c>
      <c r="F3207" s="78" t="s">
        <v>259</v>
      </c>
      <c r="G3207" s="77" t="s">
        <v>485</v>
      </c>
      <c r="H3207" t="str">
        <f>VLOOKUP(D3207,'DETALLE PRECIO INGREDIENTES'!B:B,1,0)</f>
        <v>PALOS DE HELADOS</v>
      </c>
    </row>
    <row r="3208" spans="2:8" hidden="1" x14ac:dyDescent="0.35">
      <c r="B3208" s="80" t="s">
        <v>166</v>
      </c>
      <c r="C3208" s="80" t="s">
        <v>144</v>
      </c>
      <c r="D3208" s="73" t="s">
        <v>288</v>
      </c>
      <c r="E3208" s="74">
        <v>5.0000000000000001E-3</v>
      </c>
      <c r="F3208" s="78" t="s">
        <v>237</v>
      </c>
      <c r="G3208" s="77" t="s">
        <v>220</v>
      </c>
      <c r="H3208" t="str">
        <f>VLOOKUP(D3208,'DETALLE PRECIO INGREDIENTES'!B:B,1,0)</f>
        <v>CAFE INSTANTANEO</v>
      </c>
    </row>
    <row r="3209" spans="2:8" hidden="1" x14ac:dyDescent="0.35">
      <c r="B3209" s="80" t="s">
        <v>166</v>
      </c>
      <c r="C3209" s="80" t="s">
        <v>144</v>
      </c>
      <c r="D3209" s="73" t="s">
        <v>675</v>
      </c>
      <c r="E3209" s="74">
        <v>0.04</v>
      </c>
      <c r="F3209" s="78" t="s">
        <v>237</v>
      </c>
      <c r="G3209" s="77" t="s">
        <v>621</v>
      </c>
      <c r="H3209" t="str">
        <f>VLOOKUP(D3209,'DETALLE PRECIO INGREDIENTES'!B:B,1,0)</f>
        <v>JENGIBRE</v>
      </c>
    </row>
    <row r="3210" spans="2:8" hidden="1" x14ac:dyDescent="0.35">
      <c r="B3210" s="80" t="s">
        <v>166</v>
      </c>
      <c r="C3210" s="80" t="s">
        <v>143</v>
      </c>
      <c r="D3210" s="73" t="s">
        <v>748</v>
      </c>
      <c r="E3210" s="74">
        <v>0.29499999999999998</v>
      </c>
      <c r="F3210" s="78" t="s">
        <v>222</v>
      </c>
      <c r="G3210" s="77" t="s">
        <v>736</v>
      </c>
      <c r="H3210" t="str">
        <f>VLOOKUP(D3210,'DETALLE PRECIO INGREDIENTES'!B:B,1,0)</f>
        <v>LECHE ENTERA</v>
      </c>
    </row>
    <row r="3211" spans="2:8" hidden="1" x14ac:dyDescent="0.35">
      <c r="B3211" s="80" t="s">
        <v>166</v>
      </c>
      <c r="C3211" s="80" t="s">
        <v>143</v>
      </c>
      <c r="D3211" s="73" t="s">
        <v>746</v>
      </c>
      <c r="E3211" s="74">
        <v>5.0000000000000001E-3</v>
      </c>
      <c r="F3211" s="78" t="s">
        <v>237</v>
      </c>
      <c r="G3211" s="77" t="s">
        <v>736</v>
      </c>
      <c r="H3211" t="str">
        <f>VLOOKUP(D3211,'DETALLE PRECIO INGREDIENTES'!B:B,1,0)</f>
        <v>LECHE EN POLVO DESCREMADA</v>
      </c>
    </row>
    <row r="3212" spans="2:8" hidden="1" x14ac:dyDescent="0.35">
      <c r="B3212" s="80" t="s">
        <v>166</v>
      </c>
      <c r="C3212" s="80" t="s">
        <v>143</v>
      </c>
      <c r="D3212" s="73" t="s">
        <v>277</v>
      </c>
      <c r="E3212" s="74">
        <v>0.3</v>
      </c>
      <c r="F3212" s="78" t="s">
        <v>237</v>
      </c>
      <c r="G3212" s="77" t="s">
        <v>220</v>
      </c>
      <c r="H3212" t="str">
        <f>VLOOKUP(D3212,'DETALLE PRECIO INGREDIENTES'!B:B,1,0)</f>
        <v>AZUCAR BLANCA GRANULADA</v>
      </c>
    </row>
    <row r="3213" spans="2:8" hidden="1" x14ac:dyDescent="0.35">
      <c r="B3213" s="80" t="s">
        <v>166</v>
      </c>
      <c r="C3213" s="80" t="s">
        <v>143</v>
      </c>
      <c r="D3213" s="73" t="s">
        <v>322</v>
      </c>
      <c r="E3213" s="74">
        <v>8.9999999999999993E-3</v>
      </c>
      <c r="F3213" s="78" t="s">
        <v>237</v>
      </c>
      <c r="G3213" s="77" t="s">
        <v>220</v>
      </c>
      <c r="H3213" t="str">
        <f>VLOOKUP(D3213,'DETALLE PRECIO INGREDIENTES'!B:B,1,0)</f>
        <v>DEXTROSA</v>
      </c>
    </row>
    <row r="3214" spans="2:8" hidden="1" x14ac:dyDescent="0.35">
      <c r="B3214" s="80" t="s">
        <v>166</v>
      </c>
      <c r="C3214" s="80" t="s">
        <v>143</v>
      </c>
      <c r="D3214" s="73" t="s">
        <v>729</v>
      </c>
      <c r="E3214" s="74">
        <v>2</v>
      </c>
      <c r="F3214" s="78" t="s">
        <v>259</v>
      </c>
      <c r="G3214" s="77" t="s">
        <v>728</v>
      </c>
      <c r="H3214" t="str">
        <f>VLOOKUP(D3214,'DETALLE PRECIO INGREDIENTES'!B:B,1,0)</f>
        <v>HUEVO EXTRA BLANCO</v>
      </c>
    </row>
    <row r="3215" spans="2:8" hidden="1" x14ac:dyDescent="0.35">
      <c r="B3215" s="80" t="s">
        <v>166</v>
      </c>
      <c r="C3215" s="80" t="s">
        <v>143</v>
      </c>
      <c r="D3215" s="73" t="s">
        <v>329</v>
      </c>
      <c r="E3215" s="74">
        <v>1.8E-3</v>
      </c>
      <c r="F3215" s="78" t="s">
        <v>222</v>
      </c>
      <c r="G3215" s="77" t="s">
        <v>220</v>
      </c>
      <c r="H3215" t="str">
        <f>VLOOKUP(D3215,'DETALLE PRECIO INGREDIENTES'!B:B,1,0)</f>
        <v>ESENCIA DE VAINILLA</v>
      </c>
    </row>
    <row r="3216" spans="2:8" hidden="1" x14ac:dyDescent="0.35">
      <c r="B3216" s="80" t="s">
        <v>166</v>
      </c>
      <c r="C3216" s="80" t="s">
        <v>143</v>
      </c>
      <c r="D3216" s="73" t="s">
        <v>354</v>
      </c>
      <c r="E3216" s="74">
        <v>0.3</v>
      </c>
      <c r="F3216" s="78" t="s">
        <v>237</v>
      </c>
      <c r="G3216" s="77" t="s">
        <v>220</v>
      </c>
      <c r="H3216" t="str">
        <f>VLOOKUP(D3216,'DETALLE PRECIO INGREDIENTES'!B:B,1,0)</f>
        <v>HARINA BIZCOCHERA</v>
      </c>
    </row>
    <row r="3217" spans="2:8" hidden="1" x14ac:dyDescent="0.35">
      <c r="B3217" s="80" t="s">
        <v>166</v>
      </c>
      <c r="C3217" s="80" t="s">
        <v>143</v>
      </c>
      <c r="D3217" s="73" t="s">
        <v>751</v>
      </c>
      <c r="E3217" s="74">
        <v>7.4999999999999997E-2</v>
      </c>
      <c r="F3217" s="78" t="s">
        <v>237</v>
      </c>
      <c r="G3217" s="77" t="s">
        <v>736</v>
      </c>
      <c r="H3217" t="str">
        <f>VLOOKUP(D3217,'DETALLE PRECIO INGREDIENTES'!B:B,1,0)</f>
        <v>MANTEQUILLA SIN SAL</v>
      </c>
    </row>
    <row r="3218" spans="2:8" hidden="1" x14ac:dyDescent="0.35">
      <c r="B3218" s="80" t="s">
        <v>166</v>
      </c>
      <c r="C3218" s="80" t="s">
        <v>143</v>
      </c>
      <c r="D3218" s="73" t="s">
        <v>278</v>
      </c>
      <c r="E3218" s="74">
        <v>3.7999999999999999E-2</v>
      </c>
      <c r="F3218" s="78" t="s">
        <v>237</v>
      </c>
      <c r="G3218" s="77" t="s">
        <v>220</v>
      </c>
      <c r="H3218" t="str">
        <f>VLOOKUP(D3218,'DETALLE PRECIO INGREDIENTES'!B:B,1,0)</f>
        <v>AZUCAR FLOR</v>
      </c>
    </row>
    <row r="3219" spans="2:8" hidden="1" x14ac:dyDescent="0.35">
      <c r="B3219" s="80" t="s">
        <v>166</v>
      </c>
      <c r="C3219" s="80" t="s">
        <v>143</v>
      </c>
      <c r="D3219" s="73" t="s">
        <v>961</v>
      </c>
      <c r="E3219" s="74">
        <v>0.02</v>
      </c>
      <c r="F3219" s="78" t="s">
        <v>237</v>
      </c>
      <c r="G3219" s="77" t="s">
        <v>220</v>
      </c>
      <c r="H3219" t="str">
        <f>VLOOKUP(D3219,'DETALLE PRECIO INGREDIENTES'!B:B,1,0)</f>
        <v>miel</v>
      </c>
    </row>
    <row r="3220" spans="2:8" hidden="1" x14ac:dyDescent="0.35">
      <c r="B3220" s="80" t="s">
        <v>166</v>
      </c>
      <c r="C3220" s="80" t="s">
        <v>143</v>
      </c>
      <c r="D3220" s="73" t="s">
        <v>554</v>
      </c>
      <c r="E3220" s="74">
        <v>5.8000000000000003E-2</v>
      </c>
      <c r="F3220" s="78" t="s">
        <v>237</v>
      </c>
      <c r="G3220" s="77" t="s">
        <v>551</v>
      </c>
      <c r="H3220" t="str">
        <f>VLOOKUP(D3220,'DETALLE PRECIO INGREDIENTES'!B:B,1,0)</f>
        <v>CACAO EN POLVO AMARGO</v>
      </c>
    </row>
    <row r="3221" spans="2:8" hidden="1" x14ac:dyDescent="0.35">
      <c r="B3221" s="80" t="s">
        <v>166</v>
      </c>
      <c r="C3221" s="80" t="s">
        <v>143</v>
      </c>
      <c r="D3221" s="73" t="s">
        <v>565</v>
      </c>
      <c r="E3221" s="74">
        <v>4.1000000000000002E-2</v>
      </c>
      <c r="F3221" s="78" t="s">
        <v>237</v>
      </c>
      <c r="G3221" s="77" t="s">
        <v>551</v>
      </c>
      <c r="H3221" t="str">
        <f>VLOOKUP(D3221,'DETALLE PRECIO INGREDIENTES'!B:B,1,0)</f>
        <v>COBERTURA AMARGA</v>
      </c>
    </row>
    <row r="3222" spans="2:8" hidden="1" x14ac:dyDescent="0.35">
      <c r="B3222" s="80" t="s">
        <v>166</v>
      </c>
      <c r="C3222" s="80" t="s">
        <v>143</v>
      </c>
      <c r="D3222" s="73" t="s">
        <v>705</v>
      </c>
      <c r="E3222" s="74">
        <v>0.05</v>
      </c>
      <c r="F3222" s="78" t="s">
        <v>237</v>
      </c>
      <c r="G3222" s="77" t="s">
        <v>621</v>
      </c>
      <c r="H3222" t="str">
        <f>VLOOKUP(D3222,'DETALLE PRECIO INGREDIENTES'!B:B,1,0)</f>
        <v>PLATANOS</v>
      </c>
    </row>
    <row r="3223" spans="2:8" hidden="1" x14ac:dyDescent="0.35">
      <c r="B3223" s="80" t="s">
        <v>166</v>
      </c>
      <c r="C3223" s="80" t="s">
        <v>143</v>
      </c>
      <c r="D3223" s="73" t="s">
        <v>690</v>
      </c>
      <c r="E3223" s="74">
        <v>0.03</v>
      </c>
      <c r="F3223" s="78" t="s">
        <v>237</v>
      </c>
      <c r="G3223" s="77" t="s">
        <v>621</v>
      </c>
      <c r="H3223" t="str">
        <f>VLOOKUP(D3223,'DETALLE PRECIO INGREDIENTES'!B:B,1,0)</f>
        <v>NARANJA DE JUGO</v>
      </c>
    </row>
    <row r="3224" spans="2:8" hidden="1" x14ac:dyDescent="0.35">
      <c r="B3224" s="80" t="s">
        <v>166</v>
      </c>
      <c r="C3224" s="80" t="s">
        <v>143</v>
      </c>
      <c r="D3224" s="73" t="s">
        <v>513</v>
      </c>
      <c r="E3224" s="74">
        <v>0.5</v>
      </c>
      <c r="F3224" s="78" t="s">
        <v>259</v>
      </c>
      <c r="G3224" s="77" t="s">
        <v>485</v>
      </c>
      <c r="H3224" t="str">
        <f>VLOOKUP(D3224,'DETALLE PRECIO INGREDIENTES'!B:B,1,0)</f>
        <v>PAPEL MANTEQUILLA 75 X100</v>
      </c>
    </row>
    <row r="3225" spans="2:8" hidden="1" x14ac:dyDescent="0.35">
      <c r="B3225" s="80" t="s">
        <v>166</v>
      </c>
      <c r="C3225" s="80" t="s">
        <v>143</v>
      </c>
      <c r="D3225" s="73" t="s">
        <v>495</v>
      </c>
      <c r="E3225" s="74">
        <v>0.5</v>
      </c>
      <c r="F3225" s="78" t="s">
        <v>259</v>
      </c>
      <c r="G3225" s="77" t="s">
        <v>485</v>
      </c>
      <c r="H3225" t="str">
        <f>VLOOKUP(D3225,'DETALLE PRECIO INGREDIENTES'!B:B,1,0)</f>
        <v>CAJA PLUMAVIT DE 3L PARA HELADOS</v>
      </c>
    </row>
    <row r="3226" spans="2:8" hidden="1" x14ac:dyDescent="0.35">
      <c r="B3226" s="80" t="s">
        <v>166</v>
      </c>
      <c r="C3226" s="80" t="s">
        <v>142</v>
      </c>
      <c r="D3226" s="73" t="s">
        <v>277</v>
      </c>
      <c r="E3226" s="74">
        <v>0.3</v>
      </c>
      <c r="F3226" s="78" t="s">
        <v>237</v>
      </c>
      <c r="G3226" s="77" t="s">
        <v>220</v>
      </c>
      <c r="H3226" t="str">
        <f>VLOOKUP(D3226,'DETALLE PRECIO INGREDIENTES'!B:B,1,0)</f>
        <v>AZUCAR BLANCA GRANULADA</v>
      </c>
    </row>
    <row r="3227" spans="2:8" hidden="1" x14ac:dyDescent="0.35">
      <c r="B3227" s="80" t="s">
        <v>166</v>
      </c>
      <c r="C3227" s="80" t="s">
        <v>142</v>
      </c>
      <c r="D3227" s="73" t="s">
        <v>243</v>
      </c>
      <c r="E3227" s="74">
        <v>1E-3</v>
      </c>
      <c r="F3227" s="78" t="s">
        <v>237</v>
      </c>
      <c r="G3227" s="77" t="s">
        <v>220</v>
      </c>
      <c r="H3227" t="str">
        <f>VLOOKUP(D3227,'DETALLE PRECIO INGREDIENTES'!B:B,1,0)</f>
        <v>ACIDO CITRICO</v>
      </c>
    </row>
    <row r="3228" spans="2:8" hidden="1" x14ac:dyDescent="0.35">
      <c r="B3228" s="80" t="s">
        <v>166</v>
      </c>
      <c r="C3228" s="80" t="s">
        <v>142</v>
      </c>
      <c r="D3228" s="73" t="s">
        <v>284</v>
      </c>
      <c r="E3228" s="74">
        <v>1E-3</v>
      </c>
      <c r="F3228" s="78" t="s">
        <v>237</v>
      </c>
      <c r="G3228" s="77" t="s">
        <v>220</v>
      </c>
      <c r="H3228" t="str">
        <f>VLOOKUP(D3228,'DETALLE PRECIO INGREDIENTES'!B:B,1,0)</f>
        <v>BICARBONATO DE SODIO</v>
      </c>
    </row>
    <row r="3229" spans="2:8" hidden="1" x14ac:dyDescent="0.35">
      <c r="B3229" s="80" t="s">
        <v>166</v>
      </c>
      <c r="C3229" s="80" t="s">
        <v>142</v>
      </c>
      <c r="D3229" s="73" t="s">
        <v>729</v>
      </c>
      <c r="E3229" s="74">
        <v>1</v>
      </c>
      <c r="F3229" s="78" t="s">
        <v>259</v>
      </c>
      <c r="G3229" s="77" t="s">
        <v>728</v>
      </c>
      <c r="H3229" t="str">
        <f>VLOOKUP(D3229,'DETALLE PRECIO INGREDIENTES'!B:B,1,0)</f>
        <v>HUEVO EXTRA BLANCO</v>
      </c>
    </row>
    <row r="3230" spans="2:8" hidden="1" x14ac:dyDescent="0.35">
      <c r="B3230" s="80" t="s">
        <v>166</v>
      </c>
      <c r="C3230" s="80" t="s">
        <v>142</v>
      </c>
      <c r="D3230" s="73" t="s">
        <v>748</v>
      </c>
      <c r="E3230" s="74">
        <v>0.1</v>
      </c>
      <c r="F3230" s="78" t="s">
        <v>222</v>
      </c>
      <c r="G3230" s="77" t="s">
        <v>736</v>
      </c>
      <c r="H3230" t="str">
        <f>VLOOKUP(D3230,'DETALLE PRECIO INGREDIENTES'!B:B,1,0)</f>
        <v>LECHE ENTERA</v>
      </c>
    </row>
    <row r="3231" spans="2:8" hidden="1" x14ac:dyDescent="0.35">
      <c r="B3231" s="80" t="s">
        <v>166</v>
      </c>
      <c r="C3231" s="80" t="s">
        <v>142</v>
      </c>
      <c r="D3231" s="73" t="s">
        <v>329</v>
      </c>
      <c r="E3231" s="74">
        <v>1.2999999999999999E-3</v>
      </c>
      <c r="F3231" s="78" t="s">
        <v>222</v>
      </c>
      <c r="G3231" s="77" t="s">
        <v>220</v>
      </c>
      <c r="H3231" t="str">
        <f>VLOOKUP(D3231,'DETALLE PRECIO INGREDIENTES'!B:B,1,0)</f>
        <v>ESENCIA DE VAINILLA</v>
      </c>
    </row>
    <row r="3232" spans="2:8" hidden="1" x14ac:dyDescent="0.35">
      <c r="B3232" s="80" t="s">
        <v>166</v>
      </c>
      <c r="C3232" s="80" t="s">
        <v>142</v>
      </c>
      <c r="D3232" s="73" t="s">
        <v>354</v>
      </c>
      <c r="E3232" s="74">
        <v>0.05</v>
      </c>
      <c r="F3232" s="78" t="s">
        <v>237</v>
      </c>
      <c r="G3232" s="77" t="s">
        <v>220</v>
      </c>
      <c r="H3232" t="str">
        <f>VLOOKUP(D3232,'DETALLE PRECIO INGREDIENTES'!B:B,1,0)</f>
        <v>HARINA BIZCOCHERA</v>
      </c>
    </row>
    <row r="3233" spans="2:8" hidden="1" x14ac:dyDescent="0.35">
      <c r="B3233" s="80" t="s">
        <v>166</v>
      </c>
      <c r="C3233" s="80" t="s">
        <v>142</v>
      </c>
      <c r="D3233" s="73" t="s">
        <v>751</v>
      </c>
      <c r="E3233" s="74">
        <v>0.01</v>
      </c>
      <c r="F3233" s="78" t="s">
        <v>237</v>
      </c>
      <c r="G3233" s="77" t="s">
        <v>736</v>
      </c>
      <c r="H3233" t="str">
        <f>VLOOKUP(D3233,'DETALLE PRECIO INGREDIENTES'!B:B,1,0)</f>
        <v>MANTEQUILLA SIN SAL</v>
      </c>
    </row>
    <row r="3234" spans="2:8" hidden="1" x14ac:dyDescent="0.35">
      <c r="B3234" s="80" t="s">
        <v>166</v>
      </c>
      <c r="C3234" s="80" t="s">
        <v>142</v>
      </c>
      <c r="D3234" s="73" t="s">
        <v>669</v>
      </c>
      <c r="E3234" s="74">
        <v>3.5000000000000003E-2</v>
      </c>
      <c r="F3234" s="78" t="s">
        <v>237</v>
      </c>
      <c r="G3234" s="77" t="s">
        <v>621</v>
      </c>
      <c r="H3234" t="str">
        <f>VLOOKUP(D3234,'DETALLE PRECIO INGREDIENTES'!B:B,1,0)</f>
        <v>FRAMBUESA FRESCA</v>
      </c>
    </row>
    <row r="3235" spans="2:8" hidden="1" x14ac:dyDescent="0.35">
      <c r="B3235" s="80" t="s">
        <v>166</v>
      </c>
      <c r="C3235" s="80" t="s">
        <v>142</v>
      </c>
      <c r="D3235" s="73" t="s">
        <v>671</v>
      </c>
      <c r="E3235" s="74">
        <v>0.03</v>
      </c>
      <c r="F3235" s="78" t="s">
        <v>237</v>
      </c>
      <c r="G3235" s="77" t="s">
        <v>621</v>
      </c>
      <c r="H3235" t="str">
        <f>VLOOKUP(D3235,'DETALLE PRECIO INGREDIENTES'!B:B,1,0)</f>
        <v>FRUTILLA FRESCA</v>
      </c>
    </row>
    <row r="3236" spans="2:8" hidden="1" x14ac:dyDescent="0.35">
      <c r="B3236" s="80" t="s">
        <v>166</v>
      </c>
      <c r="C3236" s="80" t="s">
        <v>142</v>
      </c>
      <c r="D3236" s="73" t="s">
        <v>676</v>
      </c>
      <c r="E3236" s="74">
        <v>0.03</v>
      </c>
      <c r="F3236" s="78" t="s">
        <v>237</v>
      </c>
      <c r="G3236" s="77" t="s">
        <v>621</v>
      </c>
      <c r="H3236" t="str">
        <f>VLOOKUP(D3236,'DETALLE PRECIO INGREDIENTES'!B:B,1,0)</f>
        <v>KIWI</v>
      </c>
    </row>
    <row r="3237" spans="2:8" hidden="1" x14ac:dyDescent="0.35">
      <c r="B3237" s="80" t="s">
        <v>166</v>
      </c>
      <c r="C3237" s="80" t="s">
        <v>142</v>
      </c>
      <c r="D3237" s="73" t="s">
        <v>697</v>
      </c>
      <c r="E3237" s="74">
        <v>0.05</v>
      </c>
      <c r="F3237" s="78" t="s">
        <v>237</v>
      </c>
      <c r="G3237" s="77" t="s">
        <v>621</v>
      </c>
      <c r="H3237" t="str">
        <f>VLOOKUP(D3237,'DETALLE PRECIO INGREDIENTES'!B:B,1,0)</f>
        <v>PERAS</v>
      </c>
    </row>
    <row r="3238" spans="2:8" hidden="1" x14ac:dyDescent="0.35">
      <c r="B3238" s="80" t="s">
        <v>166</v>
      </c>
      <c r="C3238" s="80" t="s">
        <v>142</v>
      </c>
      <c r="D3238" s="73" t="s">
        <v>668</v>
      </c>
      <c r="E3238" s="74">
        <v>0.05</v>
      </c>
      <c r="F3238" s="78" t="s">
        <v>237</v>
      </c>
      <c r="G3238" s="77" t="s">
        <v>621</v>
      </c>
      <c r="H3238" t="str">
        <f>VLOOKUP(D3238,'DETALLE PRECIO INGREDIENTES'!B:B,1,0)</f>
        <v>FRAMBUESA CONGELADA</v>
      </c>
    </row>
    <row r="3239" spans="2:8" hidden="1" x14ac:dyDescent="0.35">
      <c r="B3239" s="80" t="s">
        <v>166</v>
      </c>
      <c r="C3239" s="80" t="s">
        <v>142</v>
      </c>
      <c r="D3239" s="73" t="s">
        <v>680</v>
      </c>
      <c r="E3239" s="74">
        <v>5.0000000000000001E-3</v>
      </c>
      <c r="F3239" s="78" t="s">
        <v>237</v>
      </c>
      <c r="G3239" s="77" t="s">
        <v>621</v>
      </c>
      <c r="H3239" t="str">
        <f>VLOOKUP(D3239,'DETALLE PRECIO INGREDIENTES'!B:B,1,0)</f>
        <v>LIMON DE JUGO</v>
      </c>
    </row>
    <row r="3240" spans="2:8" hidden="1" x14ac:dyDescent="0.35">
      <c r="B3240" s="80" t="s">
        <v>166</v>
      </c>
      <c r="C3240" s="80" t="s">
        <v>142</v>
      </c>
      <c r="D3240" s="73" t="s">
        <v>436</v>
      </c>
      <c r="E3240" s="74">
        <v>2E-3</v>
      </c>
      <c r="F3240" s="78" t="s">
        <v>237</v>
      </c>
      <c r="G3240" s="77" t="s">
        <v>220</v>
      </c>
      <c r="H3240" t="str">
        <f>VLOOKUP(D3240,'DETALLE PRECIO INGREDIENTES'!B:B,1,0)</f>
        <v>PROSORBETE 5 NEUTRO CALIENTE</v>
      </c>
    </row>
    <row r="3241" spans="2:8" x14ac:dyDescent="0.35">
      <c r="B3241" s="80" t="s">
        <v>166</v>
      </c>
      <c r="C3241" s="80" t="s">
        <v>142</v>
      </c>
      <c r="D3241" s="73" t="s">
        <v>984</v>
      </c>
      <c r="E3241" s="74">
        <v>7.2999999999999995E-2</v>
      </c>
      <c r="F3241" s="78" t="e">
        <v>#N/A</v>
      </c>
      <c r="G3241" s="77" t="e">
        <v>#N/A</v>
      </c>
      <c r="H3241" t="e">
        <f>VLOOKUP(D3241,'DETALLE PRECIO INGREDIENTES'!B:B,1,0)</f>
        <v>#N/A</v>
      </c>
    </row>
    <row r="3242" spans="2:8" hidden="1" x14ac:dyDescent="0.35">
      <c r="B3242" s="80" t="s">
        <v>166</v>
      </c>
      <c r="C3242" s="80" t="s">
        <v>142</v>
      </c>
      <c r="D3242" s="73" t="s">
        <v>322</v>
      </c>
      <c r="E3242" s="74">
        <v>2.4E-2</v>
      </c>
      <c r="F3242" s="78" t="s">
        <v>237</v>
      </c>
      <c r="G3242" s="77" t="s">
        <v>220</v>
      </c>
      <c r="H3242" t="str">
        <f>VLOOKUP(D3242,'DETALLE PRECIO INGREDIENTES'!B:B,1,0)</f>
        <v>DEXTROSA</v>
      </c>
    </row>
    <row r="3243" spans="2:8" hidden="1" x14ac:dyDescent="0.35">
      <c r="B3243" s="80" t="s">
        <v>166</v>
      </c>
      <c r="C3243" s="80" t="s">
        <v>142</v>
      </c>
      <c r="D3243" s="73" t="s">
        <v>554</v>
      </c>
      <c r="E3243" s="74">
        <v>2.3E-2</v>
      </c>
      <c r="F3243" s="78" t="s">
        <v>237</v>
      </c>
      <c r="G3243" s="77" t="s">
        <v>551</v>
      </c>
      <c r="H3243" t="str">
        <f>VLOOKUP(D3243,'DETALLE PRECIO INGREDIENTES'!B:B,1,0)</f>
        <v>CACAO EN POLVO AMARGO</v>
      </c>
    </row>
    <row r="3244" spans="2:8" hidden="1" x14ac:dyDescent="0.35">
      <c r="B3244" s="80" t="s">
        <v>166</v>
      </c>
      <c r="C3244" s="80" t="s">
        <v>142</v>
      </c>
      <c r="D3244" s="73" t="s">
        <v>739</v>
      </c>
      <c r="E3244" s="74">
        <v>0.05</v>
      </c>
      <c r="F3244" s="78" t="s">
        <v>222</v>
      </c>
      <c r="G3244" s="77" t="s">
        <v>736</v>
      </c>
      <c r="H3244" t="str">
        <f>VLOOKUP(D3244,'DETALLE PRECIO INGREDIENTES'!B:B,1,0)</f>
        <v>CREMA DE LECHE</v>
      </c>
    </row>
    <row r="3245" spans="2:8" hidden="1" x14ac:dyDescent="0.35">
      <c r="B3245" s="80" t="s">
        <v>166</v>
      </c>
      <c r="C3245" s="80" t="s">
        <v>142</v>
      </c>
      <c r="D3245" s="73" t="s">
        <v>746</v>
      </c>
      <c r="E3245" s="74">
        <v>1.4999999999999999E-2</v>
      </c>
      <c r="F3245" s="78" t="s">
        <v>237</v>
      </c>
      <c r="G3245" s="77" t="s">
        <v>736</v>
      </c>
      <c r="H3245" t="str">
        <f>VLOOKUP(D3245,'DETALLE PRECIO INGREDIENTES'!B:B,1,0)</f>
        <v>LECHE EN POLVO DESCREMADA</v>
      </c>
    </row>
    <row r="3246" spans="2:8" hidden="1" x14ac:dyDescent="0.35">
      <c r="B3246" s="80" t="s">
        <v>166</v>
      </c>
      <c r="C3246" s="80" t="s">
        <v>142</v>
      </c>
      <c r="D3246" s="73" t="s">
        <v>434</v>
      </c>
      <c r="E3246" s="74">
        <v>2E-3</v>
      </c>
      <c r="F3246" s="78" t="s">
        <v>237</v>
      </c>
      <c r="G3246" s="77" t="s">
        <v>220</v>
      </c>
      <c r="H3246" t="str">
        <f>VLOOKUP(D3246,'DETALLE PRECIO INGREDIENTES'!B:B,1,0)</f>
        <v>PROCREMA 5 ESTABILIZANTE</v>
      </c>
    </row>
    <row r="3247" spans="2:8" hidden="1" x14ac:dyDescent="0.35">
      <c r="B3247" s="80" t="s">
        <v>166</v>
      </c>
      <c r="C3247" s="80" t="s">
        <v>142</v>
      </c>
      <c r="D3247" s="73" t="s">
        <v>288</v>
      </c>
      <c r="E3247" s="74">
        <v>1E-3</v>
      </c>
      <c r="F3247" s="78" t="s">
        <v>237</v>
      </c>
      <c r="G3247" s="77" t="s">
        <v>220</v>
      </c>
      <c r="H3247" t="str">
        <f>VLOOKUP(D3247,'DETALLE PRECIO INGREDIENTES'!B:B,1,0)</f>
        <v>CAFE INSTANTANEO</v>
      </c>
    </row>
    <row r="3248" spans="2:8" hidden="1" x14ac:dyDescent="0.35">
      <c r="B3248" s="80" t="s">
        <v>166</v>
      </c>
      <c r="C3248" s="80" t="s">
        <v>142</v>
      </c>
      <c r="D3248" s="73" t="s">
        <v>471</v>
      </c>
      <c r="E3248" s="74">
        <v>0.25</v>
      </c>
      <c r="F3248" s="78" t="s">
        <v>259</v>
      </c>
      <c r="G3248" s="77" t="s">
        <v>220</v>
      </c>
      <c r="H3248" t="str">
        <f>VLOOKUP(D3248,'DETALLE PRECIO INGREDIENTES'!B:B,1,0)</f>
        <v>VAINA VAINILLA</v>
      </c>
    </row>
    <row r="3249" spans="2:8" hidden="1" x14ac:dyDescent="0.35">
      <c r="B3249" s="80" t="s">
        <v>166</v>
      </c>
      <c r="C3249" s="80" t="s">
        <v>142</v>
      </c>
      <c r="D3249" s="73" t="s">
        <v>556</v>
      </c>
      <c r="E3249" s="74">
        <v>2.5000000000000001E-2</v>
      </c>
      <c r="F3249" s="78" t="s">
        <v>237</v>
      </c>
      <c r="G3249" s="77" t="s">
        <v>551</v>
      </c>
      <c r="H3249" t="str">
        <f>VLOOKUP(D3249,'DETALLE PRECIO INGREDIENTES'!B:B,1,0)</f>
        <v>CHOCOLATE AMARGO 56%</v>
      </c>
    </row>
    <row r="3250" spans="2:8" hidden="1" x14ac:dyDescent="0.35">
      <c r="B3250" s="80" t="s">
        <v>166</v>
      </c>
      <c r="C3250" s="80" t="s">
        <v>142</v>
      </c>
      <c r="D3250" s="73" t="s">
        <v>565</v>
      </c>
      <c r="E3250" s="74">
        <v>3.7999999999999999E-2</v>
      </c>
      <c r="F3250" s="78" t="s">
        <v>237</v>
      </c>
      <c r="G3250" s="77" t="s">
        <v>551</v>
      </c>
      <c r="H3250" t="str">
        <f>VLOOKUP(D3250,'DETALLE PRECIO INGREDIENTES'!B:B,1,0)</f>
        <v>COBERTURA AMARGA</v>
      </c>
    </row>
    <row r="3251" spans="2:8" hidden="1" x14ac:dyDescent="0.35">
      <c r="B3251" s="80" t="s">
        <v>166</v>
      </c>
      <c r="C3251" s="80" t="s">
        <v>142</v>
      </c>
      <c r="D3251" s="73" t="s">
        <v>504</v>
      </c>
      <c r="E3251" s="74">
        <v>1</v>
      </c>
      <c r="F3251" s="78" t="s">
        <v>259</v>
      </c>
      <c r="G3251" s="77" t="s">
        <v>485</v>
      </c>
      <c r="H3251" t="str">
        <f>VLOOKUP(D3251,'DETALLE PRECIO INGREDIENTES'!B:B,1,0)</f>
        <v>MICA CARTA</v>
      </c>
    </row>
    <row r="3252" spans="2:8" hidden="1" x14ac:dyDescent="0.35">
      <c r="B3252" s="80" t="s">
        <v>166</v>
      </c>
      <c r="C3252" s="80" t="s">
        <v>142</v>
      </c>
      <c r="D3252" s="73" t="s">
        <v>513</v>
      </c>
      <c r="E3252" s="74">
        <v>0.5</v>
      </c>
      <c r="F3252" s="78" t="s">
        <v>259</v>
      </c>
      <c r="G3252" s="77" t="s">
        <v>485</v>
      </c>
      <c r="H3252" t="str">
        <f>VLOOKUP(D3252,'DETALLE PRECIO INGREDIENTES'!B:B,1,0)</f>
        <v>PAPEL MANTEQUILLA 75 X100</v>
      </c>
    </row>
    <row r="3253" spans="2:8" hidden="1" x14ac:dyDescent="0.35">
      <c r="B3253" s="80" t="s">
        <v>166</v>
      </c>
      <c r="C3253" s="80" t="s">
        <v>142</v>
      </c>
      <c r="D3253" s="73" t="s">
        <v>512</v>
      </c>
      <c r="E3253" s="74">
        <v>0.5</v>
      </c>
      <c r="F3253" s="78" t="s">
        <v>259</v>
      </c>
      <c r="G3253" s="77" t="s">
        <v>485</v>
      </c>
      <c r="H3253" t="str">
        <f>VLOOKUP(D3253,'DETALLE PRECIO INGREDIENTES'!B:B,1,0)</f>
        <v>PAPEL GUITARRA</v>
      </c>
    </row>
    <row r="3254" spans="2:8" hidden="1" x14ac:dyDescent="0.35">
      <c r="B3254" s="80" t="s">
        <v>166</v>
      </c>
      <c r="C3254" s="80" t="s">
        <v>142</v>
      </c>
      <c r="D3254" s="73" t="s">
        <v>509</v>
      </c>
      <c r="E3254" s="74">
        <v>1</v>
      </c>
      <c r="F3254" s="78" t="s">
        <v>259</v>
      </c>
      <c r="G3254" s="77" t="s">
        <v>485</v>
      </c>
      <c r="H3254" t="str">
        <f>VLOOKUP(D3254,'DETALLE PRECIO INGREDIENTES'!B:B,1,0)</f>
        <v>PALOS DE HELADOS</v>
      </c>
    </row>
    <row r="3255" spans="2:8" x14ac:dyDescent="0.35">
      <c r="B3255" s="80" t="s">
        <v>166</v>
      </c>
      <c r="C3255" s="80" t="s">
        <v>141</v>
      </c>
      <c r="D3255" s="73" t="s">
        <v>984</v>
      </c>
      <c r="E3255" s="74">
        <v>0.03</v>
      </c>
      <c r="F3255" s="78" t="e">
        <v>#N/A</v>
      </c>
      <c r="G3255" s="77" t="e">
        <v>#N/A</v>
      </c>
      <c r="H3255" t="e">
        <f>VLOOKUP(D3255,'DETALLE PRECIO INGREDIENTES'!B:B,1,0)</f>
        <v>#N/A</v>
      </c>
    </row>
    <row r="3256" spans="2:8" hidden="1" x14ac:dyDescent="0.35">
      <c r="B3256" s="80" t="s">
        <v>166</v>
      </c>
      <c r="C3256" s="80" t="s">
        <v>141</v>
      </c>
      <c r="D3256" s="73" t="s">
        <v>322</v>
      </c>
      <c r="E3256" s="74">
        <v>0.02</v>
      </c>
      <c r="F3256" s="78" t="s">
        <v>237</v>
      </c>
      <c r="G3256" s="77" t="s">
        <v>220</v>
      </c>
      <c r="H3256" t="str">
        <f>VLOOKUP(D3256,'DETALLE PRECIO INGREDIENTES'!B:B,1,0)</f>
        <v>DEXTROSA</v>
      </c>
    </row>
    <row r="3257" spans="2:8" hidden="1" x14ac:dyDescent="0.35">
      <c r="B3257" s="80" t="s">
        <v>166</v>
      </c>
      <c r="C3257" s="80" t="s">
        <v>141</v>
      </c>
      <c r="D3257" s="73" t="s">
        <v>377</v>
      </c>
      <c r="E3257" s="74">
        <v>3.0000000000000001E-3</v>
      </c>
      <c r="F3257" s="78" t="s">
        <v>237</v>
      </c>
      <c r="G3257" s="77" t="s">
        <v>220</v>
      </c>
      <c r="H3257" t="str">
        <f>VLOOKUP(D3257,'DETALLE PRECIO INGREDIENTES'!B:B,1,0)</f>
        <v>MALTODEXTRINA</v>
      </c>
    </row>
    <row r="3258" spans="2:8" hidden="1" x14ac:dyDescent="0.35">
      <c r="B3258" s="80" t="s">
        <v>166</v>
      </c>
      <c r="C3258" s="80" t="s">
        <v>141</v>
      </c>
      <c r="D3258" s="73" t="s">
        <v>436</v>
      </c>
      <c r="E3258" s="74">
        <v>3.0000000000000001E-3</v>
      </c>
      <c r="F3258" s="78" t="s">
        <v>237</v>
      </c>
      <c r="G3258" s="77" t="s">
        <v>220</v>
      </c>
      <c r="H3258" t="str">
        <f>VLOOKUP(D3258,'DETALLE PRECIO INGREDIENTES'!B:B,1,0)</f>
        <v>PROSORBETE 5 NEUTRO CALIENTE</v>
      </c>
    </row>
    <row r="3259" spans="2:8" hidden="1" x14ac:dyDescent="0.35">
      <c r="B3259" s="80" t="s">
        <v>166</v>
      </c>
      <c r="C3259" s="80" t="s">
        <v>141</v>
      </c>
      <c r="D3259" s="73" t="s">
        <v>746</v>
      </c>
      <c r="E3259" s="74">
        <v>0.01</v>
      </c>
      <c r="F3259" s="78" t="s">
        <v>237</v>
      </c>
      <c r="G3259" s="77" t="s">
        <v>736</v>
      </c>
      <c r="H3259" t="str">
        <f>VLOOKUP(D3259,'DETALLE PRECIO INGREDIENTES'!B:B,1,0)</f>
        <v>LECHE EN POLVO DESCREMADA</v>
      </c>
    </row>
    <row r="3260" spans="2:8" hidden="1" x14ac:dyDescent="0.35">
      <c r="B3260" s="80" t="s">
        <v>166</v>
      </c>
      <c r="C3260" s="80" t="s">
        <v>141</v>
      </c>
      <c r="D3260" s="73" t="s">
        <v>748</v>
      </c>
      <c r="E3260" s="74">
        <v>0.18</v>
      </c>
      <c r="F3260" s="78" t="s">
        <v>222</v>
      </c>
      <c r="G3260" s="77" t="s">
        <v>736</v>
      </c>
      <c r="H3260" t="str">
        <f>VLOOKUP(D3260,'DETALLE PRECIO INGREDIENTES'!B:B,1,0)</f>
        <v>LECHE ENTERA</v>
      </c>
    </row>
    <row r="3261" spans="2:8" hidden="1" x14ac:dyDescent="0.35">
      <c r="B3261" s="80" t="s">
        <v>166</v>
      </c>
      <c r="C3261" s="80" t="s">
        <v>141</v>
      </c>
      <c r="D3261" s="73" t="s">
        <v>739</v>
      </c>
      <c r="E3261" s="74">
        <v>0.09</v>
      </c>
      <c r="F3261" s="78" t="s">
        <v>222</v>
      </c>
      <c r="G3261" s="77" t="s">
        <v>736</v>
      </c>
      <c r="H3261" t="str">
        <f>VLOOKUP(D3261,'DETALLE PRECIO INGREDIENTES'!B:B,1,0)</f>
        <v>CREMA DE LECHE</v>
      </c>
    </row>
    <row r="3262" spans="2:8" hidden="1" x14ac:dyDescent="0.35">
      <c r="B3262" s="80" t="s">
        <v>166</v>
      </c>
      <c r="C3262" s="80" t="s">
        <v>141</v>
      </c>
      <c r="D3262" s="73" t="s">
        <v>729</v>
      </c>
      <c r="E3262" s="74">
        <v>1</v>
      </c>
      <c r="F3262" s="78" t="s">
        <v>259</v>
      </c>
      <c r="G3262" s="77" t="s">
        <v>728</v>
      </c>
      <c r="H3262" t="str">
        <f>VLOOKUP(D3262,'DETALLE PRECIO INGREDIENTES'!B:B,1,0)</f>
        <v>HUEVO EXTRA BLANCO</v>
      </c>
    </row>
    <row r="3263" spans="2:8" hidden="1" x14ac:dyDescent="0.35">
      <c r="B3263" s="80" t="s">
        <v>166</v>
      </c>
      <c r="C3263" s="80" t="s">
        <v>141</v>
      </c>
      <c r="D3263" s="73" t="s">
        <v>277</v>
      </c>
      <c r="E3263" s="74">
        <v>9.5000000000000001E-2</v>
      </c>
      <c r="F3263" s="78" t="s">
        <v>237</v>
      </c>
      <c r="G3263" s="77" t="s">
        <v>220</v>
      </c>
      <c r="H3263" t="str">
        <f>VLOOKUP(D3263,'DETALLE PRECIO INGREDIENTES'!B:B,1,0)</f>
        <v>AZUCAR BLANCA GRANULADA</v>
      </c>
    </row>
    <row r="3264" spans="2:8" hidden="1" x14ac:dyDescent="0.35">
      <c r="B3264" s="80" t="s">
        <v>166</v>
      </c>
      <c r="C3264" s="80" t="s">
        <v>141</v>
      </c>
      <c r="D3264" s="73" t="s">
        <v>354</v>
      </c>
      <c r="E3264" s="74">
        <v>0.1</v>
      </c>
      <c r="F3264" s="78" t="s">
        <v>237</v>
      </c>
      <c r="G3264" s="77" t="s">
        <v>220</v>
      </c>
      <c r="H3264" t="str">
        <f>VLOOKUP(D3264,'DETALLE PRECIO INGREDIENTES'!B:B,1,0)</f>
        <v>HARINA BIZCOCHERA</v>
      </c>
    </row>
    <row r="3265" spans="2:8" hidden="1" x14ac:dyDescent="0.35">
      <c r="B3265" s="80" t="s">
        <v>166</v>
      </c>
      <c r="C3265" s="80" t="s">
        <v>141</v>
      </c>
      <c r="D3265" s="73" t="s">
        <v>751</v>
      </c>
      <c r="E3265" s="74">
        <v>0.08</v>
      </c>
      <c r="F3265" s="78" t="s">
        <v>237</v>
      </c>
      <c r="G3265" s="77" t="s">
        <v>736</v>
      </c>
      <c r="H3265" t="str">
        <f>VLOOKUP(D3265,'DETALLE PRECIO INGREDIENTES'!B:B,1,0)</f>
        <v>MANTEQUILLA SIN SAL</v>
      </c>
    </row>
    <row r="3266" spans="2:8" hidden="1" x14ac:dyDescent="0.35">
      <c r="B3266" s="80" t="s">
        <v>166</v>
      </c>
      <c r="C3266" s="80" t="s">
        <v>141</v>
      </c>
      <c r="D3266" s="73" t="s">
        <v>278</v>
      </c>
      <c r="E3266" s="74">
        <v>0.05</v>
      </c>
      <c r="F3266" s="78" t="s">
        <v>237</v>
      </c>
      <c r="G3266" s="77" t="s">
        <v>220</v>
      </c>
      <c r="H3266" t="str">
        <f>VLOOKUP(D3266,'DETALLE PRECIO INGREDIENTES'!B:B,1,0)</f>
        <v>AZUCAR FLOR</v>
      </c>
    </row>
    <row r="3267" spans="2:8" hidden="1" x14ac:dyDescent="0.35">
      <c r="B3267" s="80" t="s">
        <v>166</v>
      </c>
      <c r="C3267" s="80" t="s">
        <v>141</v>
      </c>
      <c r="D3267" s="73" t="s">
        <v>686</v>
      </c>
      <c r="E3267" s="74">
        <v>0.05</v>
      </c>
      <c r="F3267" s="78" t="s">
        <v>237</v>
      </c>
      <c r="G3267" s="77" t="s">
        <v>621</v>
      </c>
      <c r="H3267" t="str">
        <f>VLOOKUP(D3267,'DETALLE PRECIO INGREDIENTES'!B:B,1,0)</f>
        <v>MIX DE BERRIES CONGELADO</v>
      </c>
    </row>
    <row r="3268" spans="2:8" hidden="1" x14ac:dyDescent="0.35">
      <c r="B3268" s="80" t="s">
        <v>166</v>
      </c>
      <c r="C3268" s="80" t="s">
        <v>141</v>
      </c>
      <c r="D3268" s="73" t="s">
        <v>596</v>
      </c>
      <c r="E3268" s="74">
        <v>0.03</v>
      </c>
      <c r="F3268" s="78" t="s">
        <v>237</v>
      </c>
      <c r="G3268" s="77" t="s">
        <v>587</v>
      </c>
      <c r="H3268" t="str">
        <f>VLOOKUP(D3268,'DETALLE PRECIO INGREDIENTES'!B:B,1,0)</f>
        <v>PULPA DE MANGO</v>
      </c>
    </row>
    <row r="3269" spans="2:8" hidden="1" x14ac:dyDescent="0.35">
      <c r="B3269" s="80" t="s">
        <v>166</v>
      </c>
      <c r="C3269" s="80" t="s">
        <v>141</v>
      </c>
      <c r="D3269" s="73" t="s">
        <v>669</v>
      </c>
      <c r="E3269" s="74">
        <v>0.03</v>
      </c>
      <c r="F3269" s="78" t="s">
        <v>237</v>
      </c>
      <c r="G3269" s="77" t="s">
        <v>621</v>
      </c>
      <c r="H3269" t="str">
        <f>VLOOKUP(D3269,'DETALLE PRECIO INGREDIENTES'!B:B,1,0)</f>
        <v>FRAMBUESA FRESCA</v>
      </c>
    </row>
    <row r="3270" spans="2:8" hidden="1" x14ac:dyDescent="0.35">
      <c r="B3270" s="80" t="s">
        <v>166</v>
      </c>
      <c r="C3270" s="80" t="s">
        <v>141</v>
      </c>
      <c r="D3270" s="73" t="s">
        <v>680</v>
      </c>
      <c r="E3270" s="74">
        <v>0.05</v>
      </c>
      <c r="F3270" s="78" t="s">
        <v>237</v>
      </c>
      <c r="G3270" s="77" t="s">
        <v>621</v>
      </c>
      <c r="H3270" t="str">
        <f>VLOOKUP(D3270,'DETALLE PRECIO INGREDIENTES'!B:B,1,0)</f>
        <v>LIMON DE JUGO</v>
      </c>
    </row>
    <row r="3271" spans="2:8" hidden="1" x14ac:dyDescent="0.35">
      <c r="B3271" s="80" t="s">
        <v>166</v>
      </c>
      <c r="C3271" s="80" t="s">
        <v>141</v>
      </c>
      <c r="D3271" s="73" t="s">
        <v>671</v>
      </c>
      <c r="E3271" s="74">
        <v>0.05</v>
      </c>
      <c r="F3271" s="78" t="s">
        <v>237</v>
      </c>
      <c r="G3271" s="77" t="s">
        <v>621</v>
      </c>
      <c r="H3271" t="str">
        <f>VLOOKUP(D3271,'DETALLE PRECIO INGREDIENTES'!B:B,1,0)</f>
        <v>FRUTILLA FRESCA</v>
      </c>
    </row>
    <row r="3272" spans="2:8" hidden="1" x14ac:dyDescent="0.35">
      <c r="B3272" s="80" t="s">
        <v>166</v>
      </c>
      <c r="C3272" s="80" t="s">
        <v>141</v>
      </c>
      <c r="D3272" s="73" t="s">
        <v>690</v>
      </c>
      <c r="E3272" s="74">
        <v>0.08</v>
      </c>
      <c r="F3272" s="78" t="s">
        <v>237</v>
      </c>
      <c r="G3272" s="77" t="s">
        <v>621</v>
      </c>
      <c r="H3272" t="str">
        <f>VLOOKUP(D3272,'DETALLE PRECIO INGREDIENTES'!B:B,1,0)</f>
        <v>NARANJA DE JUGO</v>
      </c>
    </row>
    <row r="3273" spans="2:8" hidden="1" x14ac:dyDescent="0.35">
      <c r="B3273" s="80" t="s">
        <v>166</v>
      </c>
      <c r="C3273" s="80" t="s">
        <v>141</v>
      </c>
      <c r="D3273" s="73" t="s">
        <v>565</v>
      </c>
      <c r="E3273" s="74">
        <v>7.0000000000000007E-2</v>
      </c>
      <c r="F3273" s="78" t="s">
        <v>237</v>
      </c>
      <c r="G3273" s="77" t="s">
        <v>551</v>
      </c>
      <c r="H3273" t="str">
        <f>VLOOKUP(D3273,'DETALLE PRECIO INGREDIENTES'!B:B,1,0)</f>
        <v>COBERTURA AMARGA</v>
      </c>
    </row>
    <row r="3274" spans="2:8" hidden="1" x14ac:dyDescent="0.35">
      <c r="B3274" s="80" t="s">
        <v>166</v>
      </c>
      <c r="C3274" s="80" t="s">
        <v>141</v>
      </c>
      <c r="D3274" s="73" t="s">
        <v>375</v>
      </c>
      <c r="E3274" s="74">
        <v>0.01</v>
      </c>
      <c r="F3274" s="78" t="s">
        <v>237</v>
      </c>
      <c r="G3274" s="77" t="s">
        <v>220</v>
      </c>
      <c r="H3274" t="str">
        <f>VLOOKUP(D3274,'DETALLE PRECIO INGREDIENTES'!B:B,1,0)</f>
        <v>MAICENA</v>
      </c>
    </row>
    <row r="3275" spans="2:8" hidden="1" x14ac:dyDescent="0.35">
      <c r="B3275" s="80" t="s">
        <v>166</v>
      </c>
      <c r="C3275" s="80" t="s">
        <v>141</v>
      </c>
      <c r="D3275" s="73" t="s">
        <v>348</v>
      </c>
      <c r="E3275" s="74">
        <v>0.01</v>
      </c>
      <c r="F3275" s="78" t="s">
        <v>237</v>
      </c>
      <c r="G3275" s="77" t="s">
        <v>220</v>
      </c>
      <c r="H3275" t="str">
        <f>VLOOKUP(D3275,'DETALLE PRECIO INGREDIENTES'!B:B,1,0)</f>
        <v>GLUCOSA</v>
      </c>
    </row>
    <row r="3276" spans="2:8" hidden="1" x14ac:dyDescent="0.35">
      <c r="B3276" s="80" t="s">
        <v>166</v>
      </c>
      <c r="C3276" s="80" t="s">
        <v>141</v>
      </c>
      <c r="D3276" s="73" t="s">
        <v>307</v>
      </c>
      <c r="E3276" s="74">
        <v>1</v>
      </c>
      <c r="F3276" s="78" t="s">
        <v>259</v>
      </c>
      <c r="G3276" s="77" t="s">
        <v>220</v>
      </c>
      <c r="H3276" t="str">
        <f>VLOOKUP(D3276,'DETALLE PRECIO INGREDIENTES'!B:B,1,0)</f>
        <v>COLAPEZ POR HOJA</v>
      </c>
    </row>
    <row r="3277" spans="2:8" hidden="1" x14ac:dyDescent="0.35">
      <c r="B3277" s="80" t="s">
        <v>166</v>
      </c>
      <c r="C3277" s="80" t="s">
        <v>141</v>
      </c>
      <c r="D3277" s="73" t="s">
        <v>244</v>
      </c>
      <c r="E3277" s="74">
        <v>2E-3</v>
      </c>
      <c r="F3277" s="78" t="s">
        <v>237</v>
      </c>
      <c r="G3277" s="77" t="s">
        <v>220</v>
      </c>
      <c r="H3277" t="str">
        <f>VLOOKUP(D3277,'DETALLE PRECIO INGREDIENTES'!B:B,1,0)</f>
        <v>AGAR-AGAR</v>
      </c>
    </row>
    <row r="3278" spans="2:8" hidden="1" x14ac:dyDescent="0.35">
      <c r="B3278" s="80" t="s">
        <v>166</v>
      </c>
      <c r="C3278" s="80" t="s">
        <v>141</v>
      </c>
      <c r="D3278" s="73" t="s">
        <v>273</v>
      </c>
      <c r="E3278" s="74">
        <v>3.5000000000000003E-2</v>
      </c>
      <c r="F3278" s="78" t="s">
        <v>237</v>
      </c>
      <c r="G3278" s="77" t="s">
        <v>220</v>
      </c>
      <c r="H3278" t="str">
        <f>VLOOKUP(D3278,'DETALLE PRECIO INGREDIENTES'!B:B,1,0)</f>
        <v>AVELLANAS EUROPEAS</v>
      </c>
    </row>
    <row r="3279" spans="2:8" x14ac:dyDescent="0.35">
      <c r="B3279" s="80" t="s">
        <v>166</v>
      </c>
      <c r="C3279" s="80" t="s">
        <v>141</v>
      </c>
      <c r="D3279" s="73" t="s">
        <v>985</v>
      </c>
      <c r="E3279" s="74">
        <v>1.6E-2</v>
      </c>
      <c r="F3279" s="78" t="s">
        <v>259</v>
      </c>
      <c r="G3279" s="77" t="s">
        <v>220</v>
      </c>
      <c r="H3279" t="e">
        <f>VLOOKUP(D3279,'DETALLE PRECIO INGREDIENTES'!B:B,1,0)</f>
        <v>#N/A</v>
      </c>
    </row>
    <row r="3280" spans="2:8" hidden="1" x14ac:dyDescent="0.35">
      <c r="B3280" s="80" t="s">
        <v>166</v>
      </c>
      <c r="C3280" s="80" t="s">
        <v>141</v>
      </c>
      <c r="D3280" s="73" t="s">
        <v>293</v>
      </c>
      <c r="E3280" s="74">
        <v>2E-3</v>
      </c>
      <c r="F3280" s="78" t="s">
        <v>237</v>
      </c>
      <c r="G3280" s="77" t="s">
        <v>220</v>
      </c>
      <c r="H3280" t="str">
        <f>VLOOKUP(D3280,'DETALLE PRECIO INGREDIENTES'!B:B,1,0)</f>
        <v>CANELA ENTERA</v>
      </c>
    </row>
    <row r="3281" spans="2:8" hidden="1" x14ac:dyDescent="0.35">
      <c r="B3281" s="80" t="s">
        <v>166</v>
      </c>
      <c r="C3281" s="80" t="s">
        <v>141</v>
      </c>
      <c r="D3281" s="73" t="s">
        <v>288</v>
      </c>
      <c r="E3281" s="74">
        <v>5.0000000000000001E-3</v>
      </c>
      <c r="F3281" s="78" t="s">
        <v>237</v>
      </c>
      <c r="G3281" s="77" t="s">
        <v>220</v>
      </c>
      <c r="H3281" t="str">
        <f>VLOOKUP(D3281,'DETALLE PRECIO INGREDIENTES'!B:B,1,0)</f>
        <v>CAFE INSTANTANEO</v>
      </c>
    </row>
    <row r="3282" spans="2:8" hidden="1" x14ac:dyDescent="0.35">
      <c r="B3282" s="80" t="s">
        <v>166</v>
      </c>
      <c r="C3282" s="80" t="s">
        <v>141</v>
      </c>
      <c r="D3282" s="73" t="s">
        <v>292</v>
      </c>
      <c r="E3282" s="74">
        <v>2E-3</v>
      </c>
      <c r="F3282" s="78" t="s">
        <v>237</v>
      </c>
      <c r="G3282" s="77" t="s">
        <v>220</v>
      </c>
      <c r="H3282" t="str">
        <f>VLOOKUP(D3282,'DETALLE PRECIO INGREDIENTES'!B:B,1,0)</f>
        <v>CANELA EN POLVO</v>
      </c>
    </row>
    <row r="3283" spans="2:8" hidden="1" x14ac:dyDescent="0.35">
      <c r="B3283" s="80" t="s">
        <v>166</v>
      </c>
      <c r="C3283" s="80" t="s">
        <v>141</v>
      </c>
      <c r="D3283" s="73" t="s">
        <v>644</v>
      </c>
      <c r="E3283" s="74">
        <v>0.03</v>
      </c>
      <c r="F3283" s="78" t="s">
        <v>237</v>
      </c>
      <c r="G3283" s="77" t="s">
        <v>621</v>
      </c>
      <c r="H3283" t="str">
        <f>VLOOKUP(D3283,'DETALLE PRECIO INGREDIENTES'!B:B,1,0)</f>
        <v>CEBOLLA BLANCA</v>
      </c>
    </row>
    <row r="3284" spans="2:8" hidden="1" x14ac:dyDescent="0.35">
      <c r="B3284" s="80" t="s">
        <v>166</v>
      </c>
      <c r="C3284" s="80" t="s">
        <v>141</v>
      </c>
      <c r="D3284" s="73" t="s">
        <v>628</v>
      </c>
      <c r="E3284" s="74">
        <v>2.5000000000000001E-2</v>
      </c>
      <c r="F3284" s="78" t="s">
        <v>259</v>
      </c>
      <c r="G3284" s="77" t="s">
        <v>621</v>
      </c>
      <c r="H3284" t="str">
        <f>VLOOKUP(D3284,'DETALLE PRECIO INGREDIENTES'!B:B,1,0)</f>
        <v>AJO CABEZA</v>
      </c>
    </row>
    <row r="3285" spans="2:8" hidden="1" x14ac:dyDescent="0.35">
      <c r="B3285" s="80" t="s">
        <v>166</v>
      </c>
      <c r="C3285" s="80" t="s">
        <v>141</v>
      </c>
      <c r="D3285" s="73" t="s">
        <v>675</v>
      </c>
      <c r="E3285" s="74">
        <v>0.01</v>
      </c>
      <c r="F3285" s="78" t="s">
        <v>237</v>
      </c>
      <c r="G3285" s="77" t="s">
        <v>621</v>
      </c>
      <c r="H3285" t="str">
        <f>VLOOKUP(D3285,'DETALLE PRECIO INGREDIENTES'!B:B,1,0)</f>
        <v>JENGIBRE</v>
      </c>
    </row>
    <row r="3286" spans="2:8" hidden="1" x14ac:dyDescent="0.35">
      <c r="B3286" s="80" t="s">
        <v>166</v>
      </c>
      <c r="C3286" s="80" t="s">
        <v>141</v>
      </c>
      <c r="D3286" s="73" t="s">
        <v>640</v>
      </c>
      <c r="E3286" s="74">
        <v>0.25</v>
      </c>
      <c r="F3286" s="78" t="s">
        <v>259</v>
      </c>
      <c r="G3286" s="77" t="s">
        <v>621</v>
      </c>
      <c r="H3286" t="str">
        <f>VLOOKUP(D3286,'DETALLE PRECIO INGREDIENTES'!B:B,1,0)</f>
        <v>BETARRAGA</v>
      </c>
    </row>
    <row r="3287" spans="2:8" hidden="1" x14ac:dyDescent="0.35">
      <c r="B3287" s="80" t="s">
        <v>166</v>
      </c>
      <c r="C3287" s="80" t="s">
        <v>141</v>
      </c>
      <c r="D3287" s="73" t="s">
        <v>720</v>
      </c>
      <c r="E3287" s="74">
        <v>0.05</v>
      </c>
      <c r="F3287" s="78" t="s">
        <v>237</v>
      </c>
      <c r="G3287" s="77" t="s">
        <v>621</v>
      </c>
      <c r="H3287" t="str">
        <f>VLOOKUP(D3287,'DETALLE PRECIO INGREDIENTES'!B:B,1,0)</f>
        <v>ZANAHORIA</v>
      </c>
    </row>
    <row r="3288" spans="2:8" hidden="1" x14ac:dyDescent="0.35">
      <c r="B3288" s="80" t="s">
        <v>166</v>
      </c>
      <c r="C3288" s="80" t="s">
        <v>141</v>
      </c>
      <c r="D3288" s="73" t="s">
        <v>705</v>
      </c>
      <c r="E3288" s="74">
        <v>0.1</v>
      </c>
      <c r="F3288" s="78" t="s">
        <v>237</v>
      </c>
      <c r="G3288" s="77" t="s">
        <v>621</v>
      </c>
      <c r="H3288" t="str">
        <f>VLOOKUP(D3288,'DETALLE PRECIO INGREDIENTES'!B:B,1,0)</f>
        <v>PLATANOS</v>
      </c>
    </row>
    <row r="3289" spans="2:8" hidden="1" x14ac:dyDescent="0.35">
      <c r="B3289" s="80" t="s">
        <v>166</v>
      </c>
      <c r="C3289" s="80" t="s">
        <v>141</v>
      </c>
      <c r="D3289" s="73" t="s">
        <v>382</v>
      </c>
      <c r="E3289" s="74">
        <v>0.04</v>
      </c>
      <c r="F3289" s="78" t="s">
        <v>237</v>
      </c>
      <c r="G3289" s="77" t="s">
        <v>220</v>
      </c>
      <c r="H3289" t="str">
        <f>VLOOKUP(D3289,'DETALLE PRECIO INGREDIENTES'!B:B,1,0)</f>
        <v>MANTEQUILLA DE MANÍ CROCANTE</v>
      </c>
    </row>
    <row r="3290" spans="2:8" hidden="1" x14ac:dyDescent="0.35">
      <c r="B3290" s="80" t="s">
        <v>166</v>
      </c>
      <c r="C3290" s="80" t="s">
        <v>141</v>
      </c>
      <c r="D3290" s="73" t="s">
        <v>759</v>
      </c>
      <c r="E3290" s="74">
        <v>2.5000000000000001E-2</v>
      </c>
      <c r="F3290" s="78" t="s">
        <v>237</v>
      </c>
      <c r="G3290" s="77" t="s">
        <v>736</v>
      </c>
      <c r="H3290" t="str">
        <f>VLOOKUP(D3290,'DETALLE PRECIO INGREDIENTES'!B:B,1,0)</f>
        <v>QUESO CREMA</v>
      </c>
    </row>
    <row r="3291" spans="2:8" hidden="1" x14ac:dyDescent="0.35">
      <c r="B3291" s="80" t="s">
        <v>166</v>
      </c>
      <c r="C3291" s="80" t="s">
        <v>141</v>
      </c>
      <c r="D3291" s="73" t="s">
        <v>850</v>
      </c>
      <c r="E3291" s="74">
        <v>5.0000000000000001E-3</v>
      </c>
      <c r="F3291" s="78" t="s">
        <v>237</v>
      </c>
      <c r="G3291" s="77" t="s">
        <v>847</v>
      </c>
      <c r="H3291" t="str">
        <f>VLOOKUP(D3291,'DETALLE PRECIO INGREDIENTES'!B:B,1,0)</f>
        <v>TE MATCHA</v>
      </c>
    </row>
    <row r="3292" spans="2:8" hidden="1" x14ac:dyDescent="0.35">
      <c r="B3292" s="80" t="s">
        <v>166</v>
      </c>
      <c r="C3292" s="80" t="s">
        <v>141</v>
      </c>
      <c r="D3292" s="73" t="s">
        <v>738</v>
      </c>
      <c r="E3292" s="74">
        <v>0.15</v>
      </c>
      <c r="F3292" s="78" t="s">
        <v>222</v>
      </c>
      <c r="G3292" s="77" t="s">
        <v>736</v>
      </c>
      <c r="H3292" t="str">
        <f>VLOOKUP(D3292,'DETALLE PRECIO INGREDIENTES'!B:B,1,0)</f>
        <v>CREMA DE COCO</v>
      </c>
    </row>
    <row r="3293" spans="2:8" hidden="1" x14ac:dyDescent="0.35">
      <c r="B3293" s="80" t="s">
        <v>166</v>
      </c>
      <c r="C3293" s="80" t="s">
        <v>141</v>
      </c>
      <c r="D3293" s="73" t="s">
        <v>513</v>
      </c>
      <c r="E3293" s="74">
        <v>0.25</v>
      </c>
      <c r="F3293" s="78" t="s">
        <v>259</v>
      </c>
      <c r="G3293" s="77" t="s">
        <v>485</v>
      </c>
      <c r="H3293" t="str">
        <f>VLOOKUP(D3293,'DETALLE PRECIO INGREDIENTES'!B:B,1,0)</f>
        <v>PAPEL MANTEQUILLA 75 X100</v>
      </c>
    </row>
    <row r="3294" spans="2:8" hidden="1" x14ac:dyDescent="0.35">
      <c r="B3294" s="80" t="s">
        <v>166</v>
      </c>
      <c r="C3294" s="80" t="s">
        <v>141</v>
      </c>
      <c r="D3294" s="73" t="s">
        <v>502</v>
      </c>
      <c r="E3294" s="74">
        <v>1</v>
      </c>
      <c r="F3294" s="78" t="s">
        <v>259</v>
      </c>
      <c r="G3294" s="77" t="s">
        <v>485</v>
      </c>
      <c r="H3294" t="str">
        <f>VLOOKUP(D3294,'DETALLE PRECIO INGREDIENTES'!B:B,1,0)</f>
        <v>MANGAS DESECHABLES MEDIANAS</v>
      </c>
    </row>
    <row r="3295" spans="2:8" hidden="1" x14ac:dyDescent="0.35">
      <c r="B3295" s="80" t="s">
        <v>166</v>
      </c>
      <c r="C3295" s="80" t="s">
        <v>141</v>
      </c>
      <c r="D3295" s="73" t="s">
        <v>504</v>
      </c>
      <c r="E3295" s="74">
        <v>0.5</v>
      </c>
      <c r="F3295" s="78" t="s">
        <v>259</v>
      </c>
      <c r="G3295" s="77" t="s">
        <v>485</v>
      </c>
      <c r="H3295" t="str">
        <f>VLOOKUP(D3295,'DETALLE PRECIO INGREDIENTES'!B:B,1,0)</f>
        <v>MICA CARTA</v>
      </c>
    </row>
    <row r="3296" spans="2:8" hidden="1" x14ac:dyDescent="0.35">
      <c r="B3296" s="80" t="s">
        <v>166</v>
      </c>
      <c r="C3296" s="80" t="s">
        <v>140</v>
      </c>
      <c r="D3296" s="73" t="s">
        <v>739</v>
      </c>
      <c r="E3296" s="74">
        <v>0.1323</v>
      </c>
      <c r="F3296" s="78" t="s">
        <v>222</v>
      </c>
      <c r="G3296" s="77" t="s">
        <v>736</v>
      </c>
      <c r="H3296" t="str">
        <f>VLOOKUP(D3296,'DETALLE PRECIO INGREDIENTES'!B:B,1,0)</f>
        <v>CREMA DE LECHE</v>
      </c>
    </row>
    <row r="3297" spans="2:8" hidden="1" x14ac:dyDescent="0.35">
      <c r="B3297" s="80" t="s">
        <v>166</v>
      </c>
      <c r="C3297" s="80" t="s">
        <v>140</v>
      </c>
      <c r="D3297" s="73" t="s">
        <v>748</v>
      </c>
      <c r="E3297" s="74">
        <v>0.11</v>
      </c>
      <c r="F3297" s="78" t="s">
        <v>222</v>
      </c>
      <c r="G3297" s="77" t="s">
        <v>736</v>
      </c>
      <c r="H3297" t="str">
        <f>VLOOKUP(D3297,'DETALLE PRECIO INGREDIENTES'!B:B,1,0)</f>
        <v>LECHE ENTERA</v>
      </c>
    </row>
    <row r="3298" spans="2:8" hidden="1" x14ac:dyDescent="0.35">
      <c r="B3298" s="80" t="s">
        <v>166</v>
      </c>
      <c r="C3298" s="80" t="s">
        <v>140</v>
      </c>
      <c r="D3298" s="73" t="s">
        <v>381</v>
      </c>
      <c r="E3298" s="74">
        <v>8.9999999999999993E-3</v>
      </c>
      <c r="F3298" s="78" t="s">
        <v>237</v>
      </c>
      <c r="G3298" s="77" t="s">
        <v>220</v>
      </c>
      <c r="H3298" t="str">
        <f>VLOOKUP(D3298,'DETALLE PRECIO INGREDIENTES'!B:B,1,0)</f>
        <v>MANTECA VEGETAL</v>
      </c>
    </row>
    <row r="3299" spans="2:8" hidden="1" x14ac:dyDescent="0.35">
      <c r="B3299" s="80" t="s">
        <v>166</v>
      </c>
      <c r="C3299" s="80" t="s">
        <v>140</v>
      </c>
      <c r="D3299" s="73" t="s">
        <v>746</v>
      </c>
      <c r="E3299" s="74">
        <v>1.9E-2</v>
      </c>
      <c r="F3299" s="78" t="s">
        <v>237</v>
      </c>
      <c r="G3299" s="77" t="s">
        <v>736</v>
      </c>
      <c r="H3299" t="str">
        <f>VLOOKUP(D3299,'DETALLE PRECIO INGREDIENTES'!B:B,1,0)</f>
        <v>LECHE EN POLVO DESCREMADA</v>
      </c>
    </row>
    <row r="3300" spans="2:8" hidden="1" x14ac:dyDescent="0.35">
      <c r="B3300" s="80" t="s">
        <v>166</v>
      </c>
      <c r="C3300" s="80" t="s">
        <v>140</v>
      </c>
      <c r="D3300" s="73" t="s">
        <v>322</v>
      </c>
      <c r="E3300" s="74">
        <v>1.7999999999999999E-2</v>
      </c>
      <c r="F3300" s="78" t="s">
        <v>237</v>
      </c>
      <c r="G3300" s="77" t="s">
        <v>220</v>
      </c>
      <c r="H3300" t="str">
        <f>VLOOKUP(D3300,'DETALLE PRECIO INGREDIENTES'!B:B,1,0)</f>
        <v>DEXTROSA</v>
      </c>
    </row>
    <row r="3301" spans="2:8" x14ac:dyDescent="0.35">
      <c r="B3301" s="80" t="s">
        <v>166</v>
      </c>
      <c r="C3301" s="80" t="s">
        <v>140</v>
      </c>
      <c r="D3301" s="73" t="s">
        <v>984</v>
      </c>
      <c r="E3301" s="74">
        <v>1.7999999999999999E-2</v>
      </c>
      <c r="F3301" s="78" t="e">
        <v>#N/A</v>
      </c>
      <c r="G3301" s="77" t="e">
        <v>#N/A</v>
      </c>
      <c r="H3301" t="e">
        <f>VLOOKUP(D3301,'DETALLE PRECIO INGREDIENTES'!B:B,1,0)</f>
        <v>#N/A</v>
      </c>
    </row>
    <row r="3302" spans="2:8" hidden="1" x14ac:dyDescent="0.35">
      <c r="B3302" s="80" t="s">
        <v>166</v>
      </c>
      <c r="C3302" s="80" t="s">
        <v>140</v>
      </c>
      <c r="D3302" s="73" t="s">
        <v>705</v>
      </c>
      <c r="E3302" s="74">
        <v>0.2</v>
      </c>
      <c r="F3302" s="78" t="s">
        <v>237</v>
      </c>
      <c r="G3302" s="77" t="s">
        <v>621</v>
      </c>
      <c r="H3302" t="str">
        <f>VLOOKUP(D3302,'DETALLE PRECIO INGREDIENTES'!B:B,1,0)</f>
        <v>PLATANOS</v>
      </c>
    </row>
    <row r="3303" spans="2:8" hidden="1" x14ac:dyDescent="0.35">
      <c r="B3303" s="80" t="s">
        <v>166</v>
      </c>
      <c r="C3303" s="80" t="s">
        <v>140</v>
      </c>
      <c r="D3303" s="73" t="s">
        <v>307</v>
      </c>
      <c r="E3303" s="74">
        <v>0.25</v>
      </c>
      <c r="F3303" s="78" t="s">
        <v>259</v>
      </c>
      <c r="G3303" s="77" t="s">
        <v>220</v>
      </c>
      <c r="H3303" t="str">
        <f>VLOOKUP(D3303,'DETALLE PRECIO INGREDIENTES'!B:B,1,0)</f>
        <v>COLAPEZ POR HOJA</v>
      </c>
    </row>
    <row r="3304" spans="2:8" x14ac:dyDescent="0.35">
      <c r="B3304" s="80" t="s">
        <v>166</v>
      </c>
      <c r="C3304" s="80" t="s">
        <v>140</v>
      </c>
      <c r="D3304" s="73" t="s">
        <v>966</v>
      </c>
      <c r="E3304" s="74">
        <v>0.05</v>
      </c>
      <c r="F3304" s="78" t="e">
        <v>#N/A</v>
      </c>
      <c r="G3304" s="77" t="e">
        <v>#N/A</v>
      </c>
      <c r="H3304" t="e">
        <f>VLOOKUP(D3304,'DETALLE PRECIO INGREDIENTES'!B:B,1,0)</f>
        <v>#N/A</v>
      </c>
    </row>
    <row r="3305" spans="2:8" hidden="1" x14ac:dyDescent="0.35">
      <c r="B3305" s="80" t="s">
        <v>166</v>
      </c>
      <c r="C3305" s="80" t="s">
        <v>140</v>
      </c>
      <c r="D3305" s="73" t="s">
        <v>277</v>
      </c>
      <c r="E3305" s="74">
        <v>7.2999999999999995E-2</v>
      </c>
      <c r="F3305" s="78" t="s">
        <v>237</v>
      </c>
      <c r="G3305" s="77" t="s">
        <v>220</v>
      </c>
      <c r="H3305" t="str">
        <f>VLOOKUP(D3305,'DETALLE PRECIO INGREDIENTES'!B:B,1,0)</f>
        <v>AZUCAR BLANCA GRANULADA</v>
      </c>
    </row>
    <row r="3306" spans="2:8" hidden="1" x14ac:dyDescent="0.35">
      <c r="B3306" s="80" t="s">
        <v>166</v>
      </c>
      <c r="C3306" s="80" t="s">
        <v>140</v>
      </c>
      <c r="D3306" s="73" t="s">
        <v>553</v>
      </c>
      <c r="E3306" s="74">
        <v>0.03</v>
      </c>
      <c r="F3306" s="78" t="s">
        <v>237</v>
      </c>
      <c r="G3306" s="77" t="s">
        <v>551</v>
      </c>
      <c r="H3306" t="str">
        <f>VLOOKUP(D3306,'DETALLE PRECIO INGREDIENTES'!B:B,1,0)</f>
        <v>CACAO EN POLVO ALCALINO</v>
      </c>
    </row>
    <row r="3307" spans="2:8" hidden="1" x14ac:dyDescent="0.35">
      <c r="B3307" s="80" t="s">
        <v>166</v>
      </c>
      <c r="C3307" s="80" t="s">
        <v>140</v>
      </c>
      <c r="D3307" s="73" t="s">
        <v>669</v>
      </c>
      <c r="E3307" s="74">
        <v>0.04</v>
      </c>
      <c r="F3307" s="78" t="s">
        <v>237</v>
      </c>
      <c r="G3307" s="77" t="s">
        <v>621</v>
      </c>
      <c r="H3307" t="str">
        <f>VLOOKUP(D3307,'DETALLE PRECIO INGREDIENTES'!B:B,1,0)</f>
        <v>FRAMBUESA FRESCA</v>
      </c>
    </row>
    <row r="3308" spans="2:8" hidden="1" x14ac:dyDescent="0.35">
      <c r="B3308" s="80" t="s">
        <v>166</v>
      </c>
      <c r="C3308" s="80" t="s">
        <v>140</v>
      </c>
      <c r="D3308" s="73" t="s">
        <v>671</v>
      </c>
      <c r="E3308" s="74">
        <v>0.05</v>
      </c>
      <c r="F3308" s="78" t="s">
        <v>237</v>
      </c>
      <c r="G3308" s="77" t="s">
        <v>621</v>
      </c>
      <c r="H3308" t="str">
        <f>VLOOKUP(D3308,'DETALLE PRECIO INGREDIENTES'!B:B,1,0)</f>
        <v>FRUTILLA FRESCA</v>
      </c>
    </row>
    <row r="3309" spans="2:8" hidden="1" x14ac:dyDescent="0.35">
      <c r="B3309" s="80" t="s">
        <v>166</v>
      </c>
      <c r="C3309" s="80" t="s">
        <v>140</v>
      </c>
      <c r="D3309" s="73" t="s">
        <v>565</v>
      </c>
      <c r="E3309" s="74">
        <v>7.4999999999999997E-2</v>
      </c>
      <c r="F3309" s="78" t="s">
        <v>237</v>
      </c>
      <c r="G3309" s="77" t="s">
        <v>551</v>
      </c>
      <c r="H3309" t="str">
        <f>VLOOKUP(D3309,'DETALLE PRECIO INGREDIENTES'!B:B,1,0)</f>
        <v>COBERTURA AMARGA</v>
      </c>
    </row>
    <row r="3310" spans="2:8" hidden="1" x14ac:dyDescent="0.35">
      <c r="B3310" s="80" t="s">
        <v>166</v>
      </c>
      <c r="C3310" s="80" t="s">
        <v>140</v>
      </c>
      <c r="D3310" s="73" t="s">
        <v>566</v>
      </c>
      <c r="E3310" s="74">
        <v>7.0000000000000007E-2</v>
      </c>
      <c r="F3310" s="78" t="s">
        <v>237</v>
      </c>
      <c r="G3310" s="77" t="s">
        <v>551</v>
      </c>
      <c r="H3310" t="str">
        <f>VLOOKUP(D3310,'DETALLE PRECIO INGREDIENTES'!B:B,1,0)</f>
        <v>COBERTURA BLANCA</v>
      </c>
    </row>
    <row r="3311" spans="2:8" hidden="1" x14ac:dyDescent="0.35">
      <c r="B3311" s="80" t="s">
        <v>166</v>
      </c>
      <c r="C3311" s="80" t="s">
        <v>140</v>
      </c>
      <c r="D3311" s="73" t="s">
        <v>690</v>
      </c>
      <c r="E3311" s="74">
        <v>0.1</v>
      </c>
      <c r="F3311" s="78" t="s">
        <v>237</v>
      </c>
      <c r="G3311" s="77" t="s">
        <v>621</v>
      </c>
      <c r="H3311" t="str">
        <f>VLOOKUP(D3311,'DETALLE PRECIO INGREDIENTES'!B:B,1,0)</f>
        <v>NARANJA DE JUGO</v>
      </c>
    </row>
    <row r="3312" spans="2:8" hidden="1" x14ac:dyDescent="0.35">
      <c r="B3312" s="80" t="s">
        <v>166</v>
      </c>
      <c r="C3312" s="80" t="s">
        <v>140</v>
      </c>
      <c r="D3312" s="73" t="s">
        <v>278</v>
      </c>
      <c r="E3312" s="74">
        <v>0.04</v>
      </c>
      <c r="F3312" s="78" t="s">
        <v>237</v>
      </c>
      <c r="G3312" s="77" t="s">
        <v>220</v>
      </c>
      <c r="H3312" t="str">
        <f>VLOOKUP(D3312,'DETALLE PRECIO INGREDIENTES'!B:B,1,0)</f>
        <v>AZUCAR FLOR</v>
      </c>
    </row>
    <row r="3313" spans="2:8" hidden="1" x14ac:dyDescent="0.35">
      <c r="B3313" s="80" t="s">
        <v>166</v>
      </c>
      <c r="C3313" s="80" t="s">
        <v>140</v>
      </c>
      <c r="D3313" s="73" t="s">
        <v>751</v>
      </c>
      <c r="E3313" s="74">
        <v>0.05</v>
      </c>
      <c r="F3313" s="78" t="s">
        <v>237</v>
      </c>
      <c r="G3313" s="77" t="s">
        <v>736</v>
      </c>
      <c r="H3313" t="str">
        <f>VLOOKUP(D3313,'DETALLE PRECIO INGREDIENTES'!B:B,1,0)</f>
        <v>MANTEQUILLA SIN SAL</v>
      </c>
    </row>
    <row r="3314" spans="2:8" hidden="1" x14ac:dyDescent="0.35">
      <c r="B3314" s="80" t="s">
        <v>166</v>
      </c>
      <c r="C3314" s="80" t="s">
        <v>140</v>
      </c>
      <c r="D3314" s="73" t="s">
        <v>354</v>
      </c>
      <c r="E3314" s="74">
        <v>6.3E-2</v>
      </c>
      <c r="F3314" s="78" t="s">
        <v>237</v>
      </c>
      <c r="G3314" s="77" t="s">
        <v>220</v>
      </c>
      <c r="H3314" t="str">
        <f>VLOOKUP(D3314,'DETALLE PRECIO INGREDIENTES'!B:B,1,0)</f>
        <v>HARINA BIZCOCHERA</v>
      </c>
    </row>
    <row r="3315" spans="2:8" hidden="1" x14ac:dyDescent="0.35">
      <c r="B3315" s="80" t="s">
        <v>166</v>
      </c>
      <c r="C3315" s="80" t="s">
        <v>140</v>
      </c>
      <c r="D3315" s="73" t="s">
        <v>729</v>
      </c>
      <c r="E3315" s="74">
        <v>0.5</v>
      </c>
      <c r="F3315" s="78" t="s">
        <v>259</v>
      </c>
      <c r="G3315" s="77" t="s">
        <v>728</v>
      </c>
      <c r="H3315" t="str">
        <f>VLOOKUP(D3315,'DETALLE PRECIO INGREDIENTES'!B:B,1,0)</f>
        <v>HUEVO EXTRA BLANCO</v>
      </c>
    </row>
    <row r="3316" spans="2:8" hidden="1" x14ac:dyDescent="0.35">
      <c r="B3316" s="80" t="s">
        <v>166</v>
      </c>
      <c r="C3316" s="80" t="s">
        <v>140</v>
      </c>
      <c r="D3316" s="73" t="s">
        <v>504</v>
      </c>
      <c r="E3316" s="74">
        <v>1</v>
      </c>
      <c r="F3316" s="78" t="s">
        <v>259</v>
      </c>
      <c r="G3316" s="77" t="s">
        <v>485</v>
      </c>
      <c r="H3316" t="str">
        <f>VLOOKUP(D3316,'DETALLE PRECIO INGREDIENTES'!B:B,1,0)</f>
        <v>MICA CARTA</v>
      </c>
    </row>
    <row r="3317" spans="2:8" hidden="1" x14ac:dyDescent="0.35">
      <c r="B3317" s="80" t="s">
        <v>166</v>
      </c>
      <c r="C3317" s="80" t="s">
        <v>140</v>
      </c>
      <c r="D3317" s="73" t="s">
        <v>513</v>
      </c>
      <c r="E3317" s="74">
        <v>0.5</v>
      </c>
      <c r="F3317" s="78" t="s">
        <v>259</v>
      </c>
      <c r="G3317" s="77" t="s">
        <v>485</v>
      </c>
      <c r="H3317" t="str">
        <f>VLOOKUP(D3317,'DETALLE PRECIO INGREDIENTES'!B:B,1,0)</f>
        <v>PAPEL MANTEQUILLA 75 X100</v>
      </c>
    </row>
    <row r="3318" spans="2:8" hidden="1" x14ac:dyDescent="0.35">
      <c r="B3318" s="80" t="s">
        <v>166</v>
      </c>
      <c r="C3318" s="80" t="s">
        <v>140</v>
      </c>
      <c r="D3318" s="73" t="s">
        <v>380</v>
      </c>
      <c r="E3318" s="74">
        <v>0.03</v>
      </c>
      <c r="F3318" s="78" t="s">
        <v>237</v>
      </c>
      <c r="G3318" s="77" t="s">
        <v>220</v>
      </c>
      <c r="H3318" t="str">
        <f>VLOOKUP(D3318,'DETALLE PRECIO INGREDIENTES'!B:B,1,0)</f>
        <v>MANI TOSTADO</v>
      </c>
    </row>
    <row r="3319" spans="2:8" hidden="1" x14ac:dyDescent="0.35">
      <c r="B3319" s="80" t="s">
        <v>166</v>
      </c>
      <c r="C3319" s="80" t="s">
        <v>140</v>
      </c>
      <c r="D3319" s="73" t="s">
        <v>668</v>
      </c>
      <c r="E3319" s="74">
        <v>7.0000000000000007E-2</v>
      </c>
      <c r="F3319" s="78" t="s">
        <v>237</v>
      </c>
      <c r="G3319" s="77" t="s">
        <v>621</v>
      </c>
      <c r="H3319" t="str">
        <f>VLOOKUP(D3319,'DETALLE PRECIO INGREDIENTES'!B:B,1,0)</f>
        <v>FRAMBUESA CONGELADA</v>
      </c>
    </row>
    <row r="3320" spans="2:8" hidden="1" x14ac:dyDescent="0.35">
      <c r="B3320" s="80" t="s">
        <v>166</v>
      </c>
      <c r="C3320" s="80" t="s">
        <v>140</v>
      </c>
      <c r="D3320" s="73" t="s">
        <v>634</v>
      </c>
      <c r="E3320" s="74">
        <v>0.05</v>
      </c>
      <c r="F3320" s="78" t="s">
        <v>237</v>
      </c>
      <c r="G3320" s="77" t="s">
        <v>621</v>
      </c>
      <c r="H3320" t="str">
        <f>VLOOKUP(D3320,'DETALLE PRECIO INGREDIENTES'!B:B,1,0)</f>
        <v>ARANDANOS FRESCOS</v>
      </c>
    </row>
    <row r="3321" spans="2:8" hidden="1" x14ac:dyDescent="0.35">
      <c r="B3321" s="80" t="s">
        <v>166</v>
      </c>
      <c r="C3321" s="80" t="s">
        <v>140</v>
      </c>
      <c r="D3321" s="73" t="s">
        <v>502</v>
      </c>
      <c r="E3321" s="74">
        <v>1</v>
      </c>
      <c r="F3321" s="78" t="s">
        <v>259</v>
      </c>
      <c r="G3321" s="77" t="s">
        <v>485</v>
      </c>
      <c r="H3321" t="str">
        <f>VLOOKUP(D3321,'DETALLE PRECIO INGREDIENTES'!B:B,1,0)</f>
        <v>MANGAS DESECHABLES MEDIANAS</v>
      </c>
    </row>
    <row r="3322" spans="2:8" hidden="1" x14ac:dyDescent="0.35">
      <c r="B3322" s="80" t="s">
        <v>166</v>
      </c>
      <c r="C3322" s="80" t="s">
        <v>139</v>
      </c>
      <c r="D3322" s="73" t="s">
        <v>729</v>
      </c>
      <c r="E3322" s="74">
        <v>2</v>
      </c>
      <c r="F3322" s="78" t="s">
        <v>259</v>
      </c>
      <c r="G3322" s="77" t="s">
        <v>728</v>
      </c>
      <c r="H3322" t="str">
        <f>VLOOKUP(D3322,'DETALLE PRECIO INGREDIENTES'!B:B,1,0)</f>
        <v>HUEVO EXTRA BLANCO</v>
      </c>
    </row>
    <row r="3323" spans="2:8" hidden="1" x14ac:dyDescent="0.35">
      <c r="B3323" s="80" t="s">
        <v>166</v>
      </c>
      <c r="C3323" s="80" t="s">
        <v>139</v>
      </c>
      <c r="D3323" s="73" t="s">
        <v>277</v>
      </c>
      <c r="E3323" s="74">
        <v>7.5999999999999998E-2</v>
      </c>
      <c r="F3323" s="78" t="s">
        <v>237</v>
      </c>
      <c r="G3323" s="77" t="s">
        <v>220</v>
      </c>
      <c r="H3323" t="str">
        <f>VLOOKUP(D3323,'DETALLE PRECIO INGREDIENTES'!B:B,1,0)</f>
        <v>AZUCAR BLANCA GRANULADA</v>
      </c>
    </row>
    <row r="3324" spans="2:8" hidden="1" x14ac:dyDescent="0.35">
      <c r="B3324" s="80" t="s">
        <v>166</v>
      </c>
      <c r="C3324" s="80" t="s">
        <v>139</v>
      </c>
      <c r="D3324" s="73" t="s">
        <v>739</v>
      </c>
      <c r="E3324" s="74">
        <v>0.20399999999999999</v>
      </c>
      <c r="F3324" s="78" t="s">
        <v>222</v>
      </c>
      <c r="G3324" s="77" t="s">
        <v>736</v>
      </c>
      <c r="H3324" t="str">
        <f>VLOOKUP(D3324,'DETALLE PRECIO INGREDIENTES'!B:B,1,0)</f>
        <v>CREMA DE LECHE</v>
      </c>
    </row>
    <row r="3325" spans="2:8" hidden="1" x14ac:dyDescent="0.35">
      <c r="B3325" s="80" t="s">
        <v>166</v>
      </c>
      <c r="C3325" s="80" t="s">
        <v>139</v>
      </c>
      <c r="D3325" s="73" t="s">
        <v>307</v>
      </c>
      <c r="E3325" s="74">
        <v>3</v>
      </c>
      <c r="F3325" s="78" t="s">
        <v>259</v>
      </c>
      <c r="G3325" s="77" t="s">
        <v>220</v>
      </c>
      <c r="H3325" t="str">
        <f>VLOOKUP(D3325,'DETALLE PRECIO INGREDIENTES'!B:B,1,0)</f>
        <v>COLAPEZ POR HOJA</v>
      </c>
    </row>
    <row r="3326" spans="2:8" hidden="1" x14ac:dyDescent="0.35">
      <c r="B3326" s="80" t="s">
        <v>166</v>
      </c>
      <c r="C3326" s="80" t="s">
        <v>139</v>
      </c>
      <c r="D3326" s="73" t="s">
        <v>686</v>
      </c>
      <c r="E3326" s="74">
        <v>3.7999999999999999E-2</v>
      </c>
      <c r="F3326" s="78" t="s">
        <v>237</v>
      </c>
      <c r="G3326" s="77" t="s">
        <v>621</v>
      </c>
      <c r="H3326" t="str">
        <f>VLOOKUP(D3326,'DETALLE PRECIO INGREDIENTES'!B:B,1,0)</f>
        <v>MIX DE BERRIES CONGELADO</v>
      </c>
    </row>
    <row r="3327" spans="2:8" hidden="1" x14ac:dyDescent="0.35">
      <c r="B3327" s="80" t="s">
        <v>166</v>
      </c>
      <c r="C3327" s="80" t="s">
        <v>139</v>
      </c>
      <c r="D3327" s="73" t="s">
        <v>767</v>
      </c>
      <c r="E3327" s="74">
        <v>3.2000000000000001E-2</v>
      </c>
      <c r="F3327" s="78" t="s">
        <v>237</v>
      </c>
      <c r="G3327" s="77" t="s">
        <v>736</v>
      </c>
      <c r="H3327" t="str">
        <f>VLOOKUP(D3327,'DETALLE PRECIO INGREDIENTES'!B:B,1,0)</f>
        <v>QUESO MASCARPONE</v>
      </c>
    </row>
    <row r="3328" spans="2:8" hidden="1" x14ac:dyDescent="0.35">
      <c r="B3328" s="80" t="s">
        <v>166</v>
      </c>
      <c r="C3328" s="80" t="s">
        <v>139</v>
      </c>
      <c r="D3328" s="73" t="s">
        <v>759</v>
      </c>
      <c r="E3328" s="74">
        <v>3.2000000000000001E-2</v>
      </c>
      <c r="F3328" s="78" t="s">
        <v>237</v>
      </c>
      <c r="G3328" s="77" t="s">
        <v>736</v>
      </c>
      <c r="H3328" t="str">
        <f>VLOOKUP(D3328,'DETALLE PRECIO INGREDIENTES'!B:B,1,0)</f>
        <v>QUESO CREMA</v>
      </c>
    </row>
    <row r="3329" spans="2:8" hidden="1" x14ac:dyDescent="0.35">
      <c r="B3329" s="80" t="s">
        <v>166</v>
      </c>
      <c r="C3329" s="80" t="s">
        <v>139</v>
      </c>
      <c r="D3329" s="73" t="s">
        <v>288</v>
      </c>
      <c r="E3329" s="74">
        <v>5.0000000000000001E-3</v>
      </c>
      <c r="F3329" s="78" t="s">
        <v>237</v>
      </c>
      <c r="G3329" s="77" t="s">
        <v>220</v>
      </c>
      <c r="H3329" t="str">
        <f>VLOOKUP(D3329,'DETALLE PRECIO INGREDIENTES'!B:B,1,0)</f>
        <v>CAFE INSTANTANEO</v>
      </c>
    </row>
    <row r="3330" spans="2:8" hidden="1" x14ac:dyDescent="0.35">
      <c r="B3330" s="80" t="s">
        <v>166</v>
      </c>
      <c r="C3330" s="80" t="s">
        <v>139</v>
      </c>
      <c r="D3330" s="73" t="s">
        <v>748</v>
      </c>
      <c r="E3330" s="74">
        <v>9.6000000000000002E-2</v>
      </c>
      <c r="F3330" s="78" t="s">
        <v>222</v>
      </c>
      <c r="G3330" s="77" t="s">
        <v>736</v>
      </c>
      <c r="H3330" t="str">
        <f>VLOOKUP(D3330,'DETALLE PRECIO INGREDIENTES'!B:B,1,0)</f>
        <v>LECHE ENTERA</v>
      </c>
    </row>
    <row r="3331" spans="2:8" hidden="1" x14ac:dyDescent="0.35">
      <c r="B3331" s="80" t="s">
        <v>166</v>
      </c>
      <c r="C3331" s="80" t="s">
        <v>139</v>
      </c>
      <c r="D3331" s="73" t="s">
        <v>375</v>
      </c>
      <c r="E3331" s="74">
        <v>4.4000000000000003E-3</v>
      </c>
      <c r="F3331" s="78" t="s">
        <v>237</v>
      </c>
      <c r="G3331" s="77" t="s">
        <v>220</v>
      </c>
      <c r="H3331" t="str">
        <f>VLOOKUP(D3331,'DETALLE PRECIO INGREDIENTES'!B:B,1,0)</f>
        <v>MAICENA</v>
      </c>
    </row>
    <row r="3332" spans="2:8" hidden="1" x14ac:dyDescent="0.35">
      <c r="B3332" s="80" t="s">
        <v>166</v>
      </c>
      <c r="C3332" s="80" t="s">
        <v>139</v>
      </c>
      <c r="D3332" s="73" t="s">
        <v>565</v>
      </c>
      <c r="E3332" s="74">
        <v>0.11700000000000001</v>
      </c>
      <c r="F3332" s="78" t="s">
        <v>237</v>
      </c>
      <c r="G3332" s="77" t="s">
        <v>551</v>
      </c>
      <c r="H3332" t="str">
        <f>VLOOKUP(D3332,'DETALLE PRECIO INGREDIENTES'!B:B,1,0)</f>
        <v>COBERTURA AMARGA</v>
      </c>
    </row>
    <row r="3333" spans="2:8" hidden="1" x14ac:dyDescent="0.35">
      <c r="B3333" s="80" t="s">
        <v>166</v>
      </c>
      <c r="C3333" s="80" t="s">
        <v>139</v>
      </c>
      <c r="D3333" s="73" t="s">
        <v>348</v>
      </c>
      <c r="E3333" s="74">
        <v>2.5000000000000001E-2</v>
      </c>
      <c r="F3333" s="78" t="s">
        <v>237</v>
      </c>
      <c r="G3333" s="77" t="s">
        <v>220</v>
      </c>
      <c r="H3333" t="str">
        <f>VLOOKUP(D3333,'DETALLE PRECIO INGREDIENTES'!B:B,1,0)</f>
        <v>GLUCOSA</v>
      </c>
    </row>
    <row r="3334" spans="2:8" hidden="1" x14ac:dyDescent="0.35">
      <c r="B3334" s="80" t="s">
        <v>166</v>
      </c>
      <c r="C3334" s="80" t="s">
        <v>139</v>
      </c>
      <c r="D3334" s="73" t="s">
        <v>891</v>
      </c>
      <c r="E3334" s="74">
        <v>1.7999999999999999E-2</v>
      </c>
      <c r="F3334" s="78" t="e">
        <v>#N/A</v>
      </c>
      <c r="G3334" s="77" t="e">
        <v>#N/A</v>
      </c>
      <c r="H3334" t="str">
        <f>VLOOKUP(D3334,'DETALLE PRECIO INGREDIENTES'!B:B,1,0)</f>
        <v>LECHE EVAPORADA</v>
      </c>
    </row>
    <row r="3335" spans="2:8" hidden="1" x14ac:dyDescent="0.35">
      <c r="B3335" s="80" t="s">
        <v>166</v>
      </c>
      <c r="C3335" s="80" t="s">
        <v>139</v>
      </c>
      <c r="D3335" s="73" t="s">
        <v>566</v>
      </c>
      <c r="E3335" s="74">
        <v>2.5000000000000001E-2</v>
      </c>
      <c r="F3335" s="78" t="s">
        <v>237</v>
      </c>
      <c r="G3335" s="77" t="s">
        <v>551</v>
      </c>
      <c r="H3335" t="str">
        <f>VLOOKUP(D3335,'DETALLE PRECIO INGREDIENTES'!B:B,1,0)</f>
        <v>COBERTURA BLANCA</v>
      </c>
    </row>
    <row r="3336" spans="2:8" hidden="1" x14ac:dyDescent="0.35">
      <c r="B3336" s="80" t="s">
        <v>166</v>
      </c>
      <c r="C3336" s="80" t="s">
        <v>139</v>
      </c>
      <c r="D3336" s="73" t="s">
        <v>308</v>
      </c>
      <c r="E3336" s="74">
        <v>0.05</v>
      </c>
      <c r="F3336" s="78" t="s">
        <v>259</v>
      </c>
      <c r="G3336" s="77" t="s">
        <v>220</v>
      </c>
      <c r="H3336" t="str">
        <f>VLOOKUP(D3336,'DETALLE PRECIO INGREDIENTES'!B:B,1,0)</f>
        <v>COLORANTE GEL AMARILLO</v>
      </c>
    </row>
    <row r="3337" spans="2:8" hidden="1" x14ac:dyDescent="0.35">
      <c r="B3337" s="80" t="s">
        <v>166</v>
      </c>
      <c r="C3337" s="80" t="s">
        <v>139</v>
      </c>
      <c r="D3337" s="73" t="s">
        <v>574</v>
      </c>
      <c r="E3337" s="74">
        <v>0.05</v>
      </c>
      <c r="F3337" s="78" t="s">
        <v>259</v>
      </c>
      <c r="G3337" s="77" t="s">
        <v>573</v>
      </c>
      <c r="H3337" t="str">
        <f>VLOOKUP(D3337,'DETALLE PRECIO INGREDIENTES'!B:B,1,0)</f>
        <v>COLORANTE GEL AZUL</v>
      </c>
    </row>
    <row r="3338" spans="2:8" hidden="1" x14ac:dyDescent="0.35">
      <c r="B3338" s="80" t="s">
        <v>166</v>
      </c>
      <c r="C3338" s="80" t="s">
        <v>139</v>
      </c>
      <c r="D3338" s="73" t="s">
        <v>575</v>
      </c>
      <c r="E3338" s="74">
        <v>0.05</v>
      </c>
      <c r="F3338" s="78" t="s">
        <v>259</v>
      </c>
      <c r="G3338" s="77" t="s">
        <v>573</v>
      </c>
      <c r="H3338" t="str">
        <f>VLOOKUP(D3338,'DETALLE PRECIO INGREDIENTES'!B:B,1,0)</f>
        <v>COLORANTE GEL ROJO</v>
      </c>
    </row>
    <row r="3339" spans="2:8" hidden="1" x14ac:dyDescent="0.35">
      <c r="B3339" s="80" t="s">
        <v>166</v>
      </c>
      <c r="C3339" s="80" t="s">
        <v>139</v>
      </c>
      <c r="D3339" s="73" t="s">
        <v>504</v>
      </c>
      <c r="E3339" s="74">
        <v>2</v>
      </c>
      <c r="F3339" s="78" t="s">
        <v>259</v>
      </c>
      <c r="G3339" s="77" t="s">
        <v>485</v>
      </c>
      <c r="H3339" t="str">
        <f>VLOOKUP(D3339,'DETALLE PRECIO INGREDIENTES'!B:B,1,0)</f>
        <v>MICA CARTA</v>
      </c>
    </row>
    <row r="3340" spans="2:8" hidden="1" x14ac:dyDescent="0.35">
      <c r="B3340" s="80" t="s">
        <v>166</v>
      </c>
      <c r="C3340" s="80" t="s">
        <v>139</v>
      </c>
      <c r="D3340" s="73" t="s">
        <v>671</v>
      </c>
      <c r="E3340" s="74">
        <v>0.04</v>
      </c>
      <c r="F3340" s="78" t="s">
        <v>237</v>
      </c>
      <c r="G3340" s="77" t="s">
        <v>621</v>
      </c>
      <c r="H3340" t="str">
        <f>VLOOKUP(D3340,'DETALLE PRECIO INGREDIENTES'!B:B,1,0)</f>
        <v>FRUTILLA FRESCA</v>
      </c>
    </row>
    <row r="3341" spans="2:8" hidden="1" x14ac:dyDescent="0.35">
      <c r="B3341" s="80" t="s">
        <v>166</v>
      </c>
      <c r="C3341" s="80" t="s">
        <v>139</v>
      </c>
      <c r="D3341" s="73" t="s">
        <v>690</v>
      </c>
      <c r="E3341" s="74">
        <v>0.05</v>
      </c>
      <c r="F3341" s="78" t="s">
        <v>237</v>
      </c>
      <c r="G3341" s="77" t="s">
        <v>621</v>
      </c>
      <c r="H3341" t="str">
        <f>VLOOKUP(D3341,'DETALLE PRECIO INGREDIENTES'!B:B,1,0)</f>
        <v>NARANJA DE JUGO</v>
      </c>
    </row>
    <row r="3342" spans="2:8" hidden="1" x14ac:dyDescent="0.35">
      <c r="B3342" s="80" t="s">
        <v>166</v>
      </c>
      <c r="C3342" s="80" t="s">
        <v>139</v>
      </c>
      <c r="D3342" s="73" t="s">
        <v>634</v>
      </c>
      <c r="E3342" s="74">
        <v>0.03</v>
      </c>
      <c r="F3342" s="78" t="s">
        <v>237</v>
      </c>
      <c r="G3342" s="77" t="s">
        <v>621</v>
      </c>
      <c r="H3342" t="str">
        <f>VLOOKUP(D3342,'DETALLE PRECIO INGREDIENTES'!B:B,1,0)</f>
        <v>ARANDANOS FRESCOS</v>
      </c>
    </row>
    <row r="3343" spans="2:8" hidden="1" x14ac:dyDescent="0.35">
      <c r="B3343" s="80" t="s">
        <v>166</v>
      </c>
      <c r="C3343" s="80" t="s">
        <v>139</v>
      </c>
      <c r="D3343" s="73" t="s">
        <v>471</v>
      </c>
      <c r="E3343" s="74">
        <v>0.125</v>
      </c>
      <c r="F3343" s="78" t="s">
        <v>259</v>
      </c>
      <c r="G3343" s="77" t="s">
        <v>220</v>
      </c>
      <c r="H3343" t="str">
        <f>VLOOKUP(D3343,'DETALLE PRECIO INGREDIENTES'!B:B,1,0)</f>
        <v>VAINA VAINILLA</v>
      </c>
    </row>
    <row r="3344" spans="2:8" hidden="1" x14ac:dyDescent="0.35">
      <c r="B3344" s="80" t="s">
        <v>166</v>
      </c>
      <c r="C3344" s="80" t="s">
        <v>139</v>
      </c>
      <c r="D3344" s="73" t="s">
        <v>751</v>
      </c>
      <c r="E3344" s="74">
        <v>3.7999999999999999E-2</v>
      </c>
      <c r="F3344" s="78" t="s">
        <v>237</v>
      </c>
      <c r="G3344" s="77" t="s">
        <v>736</v>
      </c>
      <c r="H3344" t="str">
        <f>VLOOKUP(D3344,'DETALLE PRECIO INGREDIENTES'!B:B,1,0)</f>
        <v>MANTEQUILLA SIN SAL</v>
      </c>
    </row>
    <row r="3345" spans="2:8" hidden="1" x14ac:dyDescent="0.35">
      <c r="B3345" s="80" t="s">
        <v>166</v>
      </c>
      <c r="C3345" s="80" t="s">
        <v>139</v>
      </c>
      <c r="D3345" s="73" t="s">
        <v>354</v>
      </c>
      <c r="E3345" s="74">
        <v>2.5000000000000001E-2</v>
      </c>
      <c r="F3345" s="78" t="s">
        <v>237</v>
      </c>
      <c r="G3345" s="77" t="s">
        <v>220</v>
      </c>
      <c r="H3345" t="str">
        <f>VLOOKUP(D3345,'DETALLE PRECIO INGREDIENTES'!B:B,1,0)</f>
        <v>HARINA BIZCOCHERA</v>
      </c>
    </row>
    <row r="3346" spans="2:8" hidden="1" x14ac:dyDescent="0.35">
      <c r="B3346" s="80" t="s">
        <v>166</v>
      </c>
      <c r="C3346" s="80" t="s">
        <v>138</v>
      </c>
      <c r="D3346" s="73" t="s">
        <v>751</v>
      </c>
      <c r="E3346" s="74">
        <v>0.05</v>
      </c>
      <c r="F3346" s="78" t="s">
        <v>237</v>
      </c>
      <c r="G3346" s="77" t="s">
        <v>736</v>
      </c>
      <c r="H3346" t="str">
        <f>VLOOKUP(D3346,'DETALLE PRECIO INGREDIENTES'!B:B,1,0)</f>
        <v>MANTEQUILLA SIN SAL</v>
      </c>
    </row>
    <row r="3347" spans="2:8" hidden="1" x14ac:dyDescent="0.35">
      <c r="B3347" s="80" t="s">
        <v>166</v>
      </c>
      <c r="C3347" s="80" t="s">
        <v>138</v>
      </c>
      <c r="D3347" s="73" t="s">
        <v>354</v>
      </c>
      <c r="E3347" s="74">
        <v>7.4999999999999997E-2</v>
      </c>
      <c r="F3347" s="78" t="s">
        <v>237</v>
      </c>
      <c r="G3347" s="77" t="s">
        <v>220</v>
      </c>
      <c r="H3347" t="str">
        <f>VLOOKUP(D3347,'DETALLE PRECIO INGREDIENTES'!B:B,1,0)</f>
        <v>HARINA BIZCOCHERA</v>
      </c>
    </row>
    <row r="3348" spans="2:8" hidden="1" x14ac:dyDescent="0.35">
      <c r="B3348" s="80" t="s">
        <v>166</v>
      </c>
      <c r="C3348" s="80" t="s">
        <v>138</v>
      </c>
      <c r="D3348" s="73" t="s">
        <v>729</v>
      </c>
      <c r="E3348" s="74">
        <v>2</v>
      </c>
      <c r="F3348" s="78" t="s">
        <v>259</v>
      </c>
      <c r="G3348" s="77" t="s">
        <v>728</v>
      </c>
      <c r="H3348" t="str">
        <f>VLOOKUP(D3348,'DETALLE PRECIO INGREDIENTES'!B:B,1,0)</f>
        <v>HUEVO EXTRA BLANCO</v>
      </c>
    </row>
    <row r="3349" spans="2:8" hidden="1" x14ac:dyDescent="0.35">
      <c r="B3349" s="80" t="s">
        <v>166</v>
      </c>
      <c r="C3349" s="80" t="s">
        <v>138</v>
      </c>
      <c r="D3349" s="73" t="s">
        <v>748</v>
      </c>
      <c r="E3349" s="74">
        <v>0.13</v>
      </c>
      <c r="F3349" s="78" t="s">
        <v>222</v>
      </c>
      <c r="G3349" s="77" t="s">
        <v>736</v>
      </c>
      <c r="H3349" t="str">
        <f>VLOOKUP(D3349,'DETALLE PRECIO INGREDIENTES'!B:B,1,0)</f>
        <v>LECHE ENTERA</v>
      </c>
    </row>
    <row r="3350" spans="2:8" hidden="1" x14ac:dyDescent="0.35">
      <c r="B3350" s="80" t="s">
        <v>166</v>
      </c>
      <c r="C3350" s="80" t="s">
        <v>138</v>
      </c>
      <c r="D3350" s="73" t="s">
        <v>277</v>
      </c>
      <c r="E3350" s="74">
        <v>0.2</v>
      </c>
      <c r="F3350" s="78" t="s">
        <v>237</v>
      </c>
      <c r="G3350" s="77" t="s">
        <v>220</v>
      </c>
      <c r="H3350" t="str">
        <f>VLOOKUP(D3350,'DETALLE PRECIO INGREDIENTES'!B:B,1,0)</f>
        <v>AZUCAR BLANCA GRANULADA</v>
      </c>
    </row>
    <row r="3351" spans="2:8" hidden="1" x14ac:dyDescent="0.35">
      <c r="B3351" s="80" t="s">
        <v>166</v>
      </c>
      <c r="C3351" s="80" t="s">
        <v>138</v>
      </c>
      <c r="D3351" s="73" t="s">
        <v>375</v>
      </c>
      <c r="E3351" s="74">
        <v>4.0000000000000001E-3</v>
      </c>
      <c r="F3351" s="78" t="s">
        <v>237</v>
      </c>
      <c r="G3351" s="77" t="s">
        <v>220</v>
      </c>
      <c r="H3351" t="str">
        <f>VLOOKUP(D3351,'DETALLE PRECIO INGREDIENTES'!B:B,1,0)</f>
        <v>MAICENA</v>
      </c>
    </row>
    <row r="3352" spans="2:8" hidden="1" x14ac:dyDescent="0.35">
      <c r="B3352" s="80" t="s">
        <v>166</v>
      </c>
      <c r="C3352" s="80" t="s">
        <v>138</v>
      </c>
      <c r="D3352" s="73" t="s">
        <v>739</v>
      </c>
      <c r="E3352" s="74">
        <v>0.2</v>
      </c>
      <c r="F3352" s="78" t="s">
        <v>222</v>
      </c>
      <c r="G3352" s="77" t="s">
        <v>736</v>
      </c>
      <c r="H3352" t="str">
        <f>VLOOKUP(D3352,'DETALLE PRECIO INGREDIENTES'!B:B,1,0)</f>
        <v>CREMA DE LECHE</v>
      </c>
    </row>
    <row r="3353" spans="2:8" hidden="1" x14ac:dyDescent="0.35">
      <c r="B3353" s="80" t="s">
        <v>166</v>
      </c>
      <c r="C3353" s="80" t="s">
        <v>138</v>
      </c>
      <c r="D3353" s="73" t="s">
        <v>307</v>
      </c>
      <c r="E3353" s="74">
        <v>2</v>
      </c>
      <c r="F3353" s="78" t="s">
        <v>259</v>
      </c>
      <c r="G3353" s="77" t="s">
        <v>220</v>
      </c>
      <c r="H3353" t="str">
        <f>VLOOKUP(D3353,'DETALLE PRECIO INGREDIENTES'!B:B,1,0)</f>
        <v>COLAPEZ POR HOJA</v>
      </c>
    </row>
    <row r="3354" spans="2:8" hidden="1" x14ac:dyDescent="0.35">
      <c r="B3354" s="80" t="s">
        <v>166</v>
      </c>
      <c r="C3354" s="80" t="s">
        <v>138</v>
      </c>
      <c r="D3354" s="73" t="s">
        <v>556</v>
      </c>
      <c r="E3354" s="74">
        <v>0.06</v>
      </c>
      <c r="F3354" s="78" t="s">
        <v>237</v>
      </c>
      <c r="G3354" s="77" t="s">
        <v>551</v>
      </c>
      <c r="H3354" t="str">
        <f>VLOOKUP(D3354,'DETALLE PRECIO INGREDIENTES'!B:B,1,0)</f>
        <v>CHOCOLATE AMARGO 56%</v>
      </c>
    </row>
    <row r="3355" spans="2:8" hidden="1" x14ac:dyDescent="0.35">
      <c r="B3355" s="80" t="s">
        <v>166</v>
      </c>
      <c r="C3355" s="80" t="s">
        <v>138</v>
      </c>
      <c r="D3355" s="73" t="s">
        <v>322</v>
      </c>
      <c r="E3355" s="74">
        <v>0.05</v>
      </c>
      <c r="F3355" s="78" t="s">
        <v>237</v>
      </c>
      <c r="G3355" s="77" t="s">
        <v>220</v>
      </c>
      <c r="H3355" t="str">
        <f>VLOOKUP(D3355,'DETALLE PRECIO INGREDIENTES'!B:B,1,0)</f>
        <v>DEXTROSA</v>
      </c>
    </row>
    <row r="3356" spans="2:8" hidden="1" x14ac:dyDescent="0.35">
      <c r="B3356" s="80" t="s">
        <v>166</v>
      </c>
      <c r="C3356" s="80" t="s">
        <v>138</v>
      </c>
      <c r="D3356" s="73" t="s">
        <v>471</v>
      </c>
      <c r="E3356" s="74">
        <v>0.06</v>
      </c>
      <c r="F3356" s="78" t="s">
        <v>259</v>
      </c>
      <c r="G3356" s="77" t="s">
        <v>220</v>
      </c>
      <c r="H3356" t="str">
        <f>VLOOKUP(D3356,'DETALLE PRECIO INGREDIENTES'!B:B,1,0)</f>
        <v>VAINA VAINILLA</v>
      </c>
    </row>
    <row r="3357" spans="2:8" hidden="1" x14ac:dyDescent="0.35">
      <c r="B3357" s="80" t="s">
        <v>166</v>
      </c>
      <c r="C3357" s="80" t="s">
        <v>138</v>
      </c>
      <c r="D3357" s="73" t="s">
        <v>680</v>
      </c>
      <c r="E3357" s="74">
        <v>0.06</v>
      </c>
      <c r="F3357" s="78" t="s">
        <v>237</v>
      </c>
      <c r="G3357" s="77" t="s">
        <v>621</v>
      </c>
      <c r="H3357" t="str">
        <f>VLOOKUP(D3357,'DETALLE PRECIO INGREDIENTES'!B:B,1,0)</f>
        <v>LIMON DE JUGO</v>
      </c>
    </row>
    <row r="3358" spans="2:8" hidden="1" x14ac:dyDescent="0.35">
      <c r="B3358" s="80" t="s">
        <v>166</v>
      </c>
      <c r="C3358" s="80" t="s">
        <v>138</v>
      </c>
      <c r="D3358" s="73" t="s">
        <v>329</v>
      </c>
      <c r="E3358" s="74">
        <v>1E-3</v>
      </c>
      <c r="F3358" s="78" t="s">
        <v>222</v>
      </c>
      <c r="G3358" s="77" t="s">
        <v>220</v>
      </c>
      <c r="H3358" t="str">
        <f>VLOOKUP(D3358,'DETALLE PRECIO INGREDIENTES'!B:B,1,0)</f>
        <v>ESENCIA DE VAINILLA</v>
      </c>
    </row>
    <row r="3359" spans="2:8" hidden="1" x14ac:dyDescent="0.35">
      <c r="B3359" s="80" t="s">
        <v>166</v>
      </c>
      <c r="C3359" s="80" t="s">
        <v>138</v>
      </c>
      <c r="D3359" s="73" t="s">
        <v>278</v>
      </c>
      <c r="E3359" s="74">
        <v>2.5000000000000001E-2</v>
      </c>
      <c r="F3359" s="78" t="s">
        <v>237</v>
      </c>
      <c r="G3359" s="77" t="s">
        <v>220</v>
      </c>
      <c r="H3359" t="str">
        <f>VLOOKUP(D3359,'DETALLE PRECIO INGREDIENTES'!B:B,1,0)</f>
        <v>AZUCAR FLOR</v>
      </c>
    </row>
    <row r="3360" spans="2:8" hidden="1" x14ac:dyDescent="0.35">
      <c r="B3360" s="80" t="s">
        <v>166</v>
      </c>
      <c r="C3360" s="80" t="s">
        <v>138</v>
      </c>
      <c r="D3360" s="73" t="s">
        <v>565</v>
      </c>
      <c r="E3360" s="74">
        <v>0.05</v>
      </c>
      <c r="F3360" s="78" t="s">
        <v>237</v>
      </c>
      <c r="G3360" s="77" t="s">
        <v>551</v>
      </c>
      <c r="H3360" t="str">
        <f>VLOOKUP(D3360,'DETALLE PRECIO INGREDIENTES'!B:B,1,0)</f>
        <v>COBERTURA AMARGA</v>
      </c>
    </row>
    <row r="3361" spans="2:8" hidden="1" x14ac:dyDescent="0.35">
      <c r="B3361" s="80" t="s">
        <v>166</v>
      </c>
      <c r="C3361" s="80" t="s">
        <v>138</v>
      </c>
      <c r="D3361" s="73" t="s">
        <v>566</v>
      </c>
      <c r="E3361" s="74">
        <v>0.05</v>
      </c>
      <c r="F3361" s="78" t="s">
        <v>237</v>
      </c>
      <c r="G3361" s="77" t="s">
        <v>551</v>
      </c>
      <c r="H3361" t="str">
        <f>VLOOKUP(D3361,'DETALLE PRECIO INGREDIENTES'!B:B,1,0)</f>
        <v>COBERTURA BLANCA</v>
      </c>
    </row>
    <row r="3362" spans="2:8" hidden="1" x14ac:dyDescent="0.35">
      <c r="B3362" s="80" t="s">
        <v>166</v>
      </c>
      <c r="C3362" s="80" t="s">
        <v>138</v>
      </c>
      <c r="D3362" s="73" t="s">
        <v>669</v>
      </c>
      <c r="E3362" s="74">
        <v>0.03</v>
      </c>
      <c r="F3362" s="78" t="s">
        <v>237</v>
      </c>
      <c r="G3362" s="77" t="s">
        <v>621</v>
      </c>
      <c r="H3362" t="str">
        <f>VLOOKUP(D3362,'DETALLE PRECIO INGREDIENTES'!B:B,1,0)</f>
        <v>FRAMBUESA FRESCA</v>
      </c>
    </row>
    <row r="3363" spans="2:8" hidden="1" x14ac:dyDescent="0.35">
      <c r="B3363" s="80" t="s">
        <v>166</v>
      </c>
      <c r="C3363" s="80" t="s">
        <v>138</v>
      </c>
      <c r="D3363" s="73" t="s">
        <v>634</v>
      </c>
      <c r="E3363" s="74">
        <v>0.03</v>
      </c>
      <c r="F3363" s="78" t="s">
        <v>237</v>
      </c>
      <c r="G3363" s="77" t="s">
        <v>621</v>
      </c>
      <c r="H3363" t="str">
        <f>VLOOKUP(D3363,'DETALLE PRECIO INGREDIENTES'!B:B,1,0)</f>
        <v>ARANDANOS FRESCOS</v>
      </c>
    </row>
    <row r="3364" spans="2:8" hidden="1" x14ac:dyDescent="0.35">
      <c r="B3364" s="80" t="s">
        <v>166</v>
      </c>
      <c r="C3364" s="80" t="s">
        <v>138</v>
      </c>
      <c r="D3364" s="73" t="s">
        <v>690</v>
      </c>
      <c r="E3364" s="74">
        <v>0.04</v>
      </c>
      <c r="F3364" s="78" t="s">
        <v>237</v>
      </c>
      <c r="G3364" s="77" t="s">
        <v>621</v>
      </c>
      <c r="H3364" t="str">
        <f>VLOOKUP(D3364,'DETALLE PRECIO INGREDIENTES'!B:B,1,0)</f>
        <v>NARANJA DE JUGO</v>
      </c>
    </row>
    <row r="3365" spans="2:8" hidden="1" x14ac:dyDescent="0.35">
      <c r="B3365" s="80" t="s">
        <v>166</v>
      </c>
      <c r="C3365" s="80" t="s">
        <v>138</v>
      </c>
      <c r="D3365" s="73" t="s">
        <v>676</v>
      </c>
      <c r="E3365" s="74">
        <v>0.03</v>
      </c>
      <c r="F3365" s="78" t="s">
        <v>237</v>
      </c>
      <c r="G3365" s="77" t="s">
        <v>621</v>
      </c>
      <c r="H3365" t="str">
        <f>VLOOKUP(D3365,'DETALLE PRECIO INGREDIENTES'!B:B,1,0)</f>
        <v>KIWI</v>
      </c>
    </row>
    <row r="3366" spans="2:8" hidden="1" x14ac:dyDescent="0.35">
      <c r="B3366" s="80" t="s">
        <v>166</v>
      </c>
      <c r="C3366" s="80" t="s">
        <v>138</v>
      </c>
      <c r="D3366" s="73" t="s">
        <v>684</v>
      </c>
      <c r="E3366" s="74">
        <v>0.03</v>
      </c>
      <c r="F3366" s="78" t="s">
        <v>237</v>
      </c>
      <c r="G3366" s="77" t="s">
        <v>621</v>
      </c>
      <c r="H3366" t="str">
        <f>VLOOKUP(D3366,'DETALLE PRECIO INGREDIENTES'!B:B,1,0)</f>
        <v>MANZANA VERDE</v>
      </c>
    </row>
    <row r="3367" spans="2:8" x14ac:dyDescent="0.35">
      <c r="B3367" s="80" t="s">
        <v>166</v>
      </c>
      <c r="C3367" s="80" t="s">
        <v>138</v>
      </c>
      <c r="D3367" s="73" t="s">
        <v>984</v>
      </c>
      <c r="E3367" s="74">
        <v>4.3999999999999997E-2</v>
      </c>
      <c r="F3367" s="78" t="e">
        <v>#N/A</v>
      </c>
      <c r="G3367" s="77" t="e">
        <v>#N/A</v>
      </c>
      <c r="H3367" t="e">
        <f>VLOOKUP(D3367,'DETALLE PRECIO INGREDIENTES'!B:B,1,0)</f>
        <v>#N/A</v>
      </c>
    </row>
    <row r="3368" spans="2:8" hidden="1" x14ac:dyDescent="0.35">
      <c r="B3368" s="80" t="s">
        <v>166</v>
      </c>
      <c r="C3368" s="80" t="s">
        <v>138</v>
      </c>
      <c r="D3368" s="73" t="s">
        <v>436</v>
      </c>
      <c r="E3368" s="74">
        <v>3.0000000000000001E-3</v>
      </c>
      <c r="F3368" s="78" t="s">
        <v>237</v>
      </c>
      <c r="G3368" s="77" t="s">
        <v>220</v>
      </c>
      <c r="H3368" t="str">
        <f>VLOOKUP(D3368,'DETALLE PRECIO INGREDIENTES'!B:B,1,0)</f>
        <v>PROSORBETE 5 NEUTRO CALIENTE</v>
      </c>
    </row>
    <row r="3369" spans="2:8" hidden="1" x14ac:dyDescent="0.35">
      <c r="B3369" s="80" t="s">
        <v>166</v>
      </c>
      <c r="C3369" s="80" t="s">
        <v>138</v>
      </c>
      <c r="D3369" s="73" t="s">
        <v>697</v>
      </c>
      <c r="E3369" s="74">
        <v>7.4999999999999997E-2</v>
      </c>
      <c r="F3369" s="78" t="s">
        <v>237</v>
      </c>
      <c r="G3369" s="77" t="s">
        <v>621</v>
      </c>
      <c r="H3369" t="str">
        <f>VLOOKUP(D3369,'DETALLE PRECIO INGREDIENTES'!B:B,1,0)</f>
        <v>PERAS</v>
      </c>
    </row>
    <row r="3370" spans="2:8" hidden="1" x14ac:dyDescent="0.35">
      <c r="B3370" s="80" t="s">
        <v>166</v>
      </c>
      <c r="C3370" s="80" t="s">
        <v>138</v>
      </c>
      <c r="D3370" s="73" t="s">
        <v>668</v>
      </c>
      <c r="E3370" s="74">
        <v>0.05</v>
      </c>
      <c r="F3370" s="78" t="s">
        <v>237</v>
      </c>
      <c r="G3370" s="77" t="s">
        <v>621</v>
      </c>
      <c r="H3370" t="str">
        <f>VLOOKUP(D3370,'DETALLE PRECIO INGREDIENTES'!B:B,1,0)</f>
        <v>FRAMBUESA CONGELADA</v>
      </c>
    </row>
    <row r="3371" spans="2:8" x14ac:dyDescent="0.35">
      <c r="B3371" s="80" t="s">
        <v>166</v>
      </c>
      <c r="C3371" s="80" t="s">
        <v>137</v>
      </c>
      <c r="D3371" s="73" t="s">
        <v>984</v>
      </c>
      <c r="E3371" s="74">
        <v>0.01</v>
      </c>
      <c r="F3371" s="78" t="e">
        <v>#N/A</v>
      </c>
      <c r="G3371" s="77" t="e">
        <v>#N/A</v>
      </c>
      <c r="H3371" t="e">
        <f>VLOOKUP(D3371,'DETALLE PRECIO INGREDIENTES'!B:B,1,0)</f>
        <v>#N/A</v>
      </c>
    </row>
    <row r="3372" spans="2:8" hidden="1" x14ac:dyDescent="0.35">
      <c r="B3372" s="80" t="s">
        <v>166</v>
      </c>
      <c r="C3372" s="80" t="s">
        <v>137</v>
      </c>
      <c r="D3372" s="73" t="s">
        <v>322</v>
      </c>
      <c r="E3372" s="74">
        <v>0.01</v>
      </c>
      <c r="F3372" s="78" t="s">
        <v>237</v>
      </c>
      <c r="G3372" s="77" t="s">
        <v>220</v>
      </c>
      <c r="H3372" t="str">
        <f>VLOOKUP(D3372,'DETALLE PRECIO INGREDIENTES'!B:B,1,0)</f>
        <v>DEXTROSA</v>
      </c>
    </row>
    <row r="3373" spans="2:8" hidden="1" x14ac:dyDescent="0.35">
      <c r="B3373" s="80" t="s">
        <v>166</v>
      </c>
      <c r="C3373" s="80" t="s">
        <v>137</v>
      </c>
      <c r="D3373" s="73" t="s">
        <v>377</v>
      </c>
      <c r="E3373" s="74">
        <v>1.2999999999999999E-3</v>
      </c>
      <c r="F3373" s="78" t="s">
        <v>237</v>
      </c>
      <c r="G3373" s="77" t="s">
        <v>220</v>
      </c>
      <c r="H3373" t="str">
        <f>VLOOKUP(D3373,'DETALLE PRECIO INGREDIENTES'!B:B,1,0)</f>
        <v>MALTODEXTRINA</v>
      </c>
    </row>
    <row r="3374" spans="2:8" hidden="1" x14ac:dyDescent="0.35">
      <c r="B3374" s="80" t="s">
        <v>166</v>
      </c>
      <c r="C3374" s="80" t="s">
        <v>137</v>
      </c>
      <c r="D3374" s="73" t="s">
        <v>436</v>
      </c>
      <c r="E3374" s="74">
        <v>1.2999999999999999E-3</v>
      </c>
      <c r="F3374" s="78" t="s">
        <v>237</v>
      </c>
      <c r="G3374" s="77" t="s">
        <v>220</v>
      </c>
      <c r="H3374" t="str">
        <f>VLOOKUP(D3374,'DETALLE PRECIO INGREDIENTES'!B:B,1,0)</f>
        <v>PROSORBETE 5 NEUTRO CALIENTE</v>
      </c>
    </row>
    <row r="3375" spans="2:8" hidden="1" x14ac:dyDescent="0.35">
      <c r="B3375" s="80" t="s">
        <v>166</v>
      </c>
      <c r="C3375" s="80" t="s">
        <v>137</v>
      </c>
      <c r="D3375" s="73" t="s">
        <v>746</v>
      </c>
      <c r="E3375" s="74">
        <v>3.5999999999999997E-2</v>
      </c>
      <c r="F3375" s="78" t="s">
        <v>237</v>
      </c>
      <c r="G3375" s="77" t="s">
        <v>736</v>
      </c>
      <c r="H3375" t="str">
        <f>VLOOKUP(D3375,'DETALLE PRECIO INGREDIENTES'!B:B,1,0)</f>
        <v>LECHE EN POLVO DESCREMADA</v>
      </c>
    </row>
    <row r="3376" spans="2:8" hidden="1" x14ac:dyDescent="0.35">
      <c r="B3376" s="80" t="s">
        <v>166</v>
      </c>
      <c r="C3376" s="80" t="s">
        <v>137</v>
      </c>
      <c r="D3376" s="73" t="s">
        <v>748</v>
      </c>
      <c r="E3376" s="74">
        <v>0.15</v>
      </c>
      <c r="F3376" s="78" t="s">
        <v>222</v>
      </c>
      <c r="G3376" s="77" t="s">
        <v>736</v>
      </c>
      <c r="H3376" t="str">
        <f>VLOOKUP(D3376,'DETALLE PRECIO INGREDIENTES'!B:B,1,0)</f>
        <v>LECHE ENTERA</v>
      </c>
    </row>
    <row r="3377" spans="2:8" hidden="1" x14ac:dyDescent="0.35">
      <c r="B3377" s="80" t="s">
        <v>166</v>
      </c>
      <c r="C3377" s="80" t="s">
        <v>137</v>
      </c>
      <c r="D3377" s="73" t="s">
        <v>739</v>
      </c>
      <c r="E3377" s="74">
        <v>0.05</v>
      </c>
      <c r="F3377" s="78" t="s">
        <v>222</v>
      </c>
      <c r="G3377" s="77" t="s">
        <v>736</v>
      </c>
      <c r="H3377" t="str">
        <f>VLOOKUP(D3377,'DETALLE PRECIO INGREDIENTES'!B:B,1,0)</f>
        <v>CREMA DE LECHE</v>
      </c>
    </row>
    <row r="3378" spans="2:8" hidden="1" x14ac:dyDescent="0.35">
      <c r="B3378" s="80" t="s">
        <v>166</v>
      </c>
      <c r="C3378" s="80" t="s">
        <v>137</v>
      </c>
      <c r="D3378" s="73" t="s">
        <v>420</v>
      </c>
      <c r="E3378" s="74">
        <v>1.6400000000000001E-2</v>
      </c>
      <c r="F3378" s="78" t="s">
        <v>237</v>
      </c>
      <c r="G3378" s="77" t="s">
        <v>220</v>
      </c>
      <c r="H3378" t="str">
        <f>VLOOKUP(D3378,'DETALLE PRECIO INGREDIENTES'!B:B,1,0)</f>
        <v>PASTA DE VAINILLA</v>
      </c>
    </row>
    <row r="3379" spans="2:8" hidden="1" x14ac:dyDescent="0.35">
      <c r="B3379" s="80" t="s">
        <v>166</v>
      </c>
      <c r="C3379" s="80" t="s">
        <v>137</v>
      </c>
      <c r="D3379" s="73" t="s">
        <v>471</v>
      </c>
      <c r="E3379" s="74">
        <v>1</v>
      </c>
      <c r="F3379" s="78" t="s">
        <v>259</v>
      </c>
      <c r="G3379" s="77" t="s">
        <v>220</v>
      </c>
      <c r="H3379" t="str">
        <f>VLOOKUP(D3379,'DETALLE PRECIO INGREDIENTES'!B:B,1,0)</f>
        <v>VAINA VAINILLA</v>
      </c>
    </row>
    <row r="3380" spans="2:8" hidden="1" x14ac:dyDescent="0.35">
      <c r="B3380" s="80" t="s">
        <v>166</v>
      </c>
      <c r="C3380" s="80" t="s">
        <v>137</v>
      </c>
      <c r="D3380" s="73" t="s">
        <v>277</v>
      </c>
      <c r="E3380" s="74">
        <v>7.3999999999999996E-2</v>
      </c>
      <c r="F3380" s="78" t="s">
        <v>237</v>
      </c>
      <c r="G3380" s="77" t="s">
        <v>220</v>
      </c>
      <c r="H3380" t="str">
        <f>VLOOKUP(D3380,'DETALLE PRECIO INGREDIENTES'!B:B,1,0)</f>
        <v>AZUCAR BLANCA GRANULADA</v>
      </c>
    </row>
    <row r="3381" spans="2:8" hidden="1" x14ac:dyDescent="0.35">
      <c r="B3381" s="80" t="s">
        <v>166</v>
      </c>
      <c r="C3381" s="80" t="s">
        <v>137</v>
      </c>
      <c r="D3381" s="73" t="s">
        <v>348</v>
      </c>
      <c r="E3381" s="74">
        <v>4.0000000000000001E-3</v>
      </c>
      <c r="F3381" s="78" t="s">
        <v>237</v>
      </c>
      <c r="G3381" s="77" t="s">
        <v>220</v>
      </c>
      <c r="H3381" t="str">
        <f>VLOOKUP(D3381,'DETALLE PRECIO INGREDIENTES'!B:B,1,0)</f>
        <v>GLUCOSA</v>
      </c>
    </row>
    <row r="3382" spans="2:8" hidden="1" x14ac:dyDescent="0.35">
      <c r="B3382" s="80" t="s">
        <v>166</v>
      </c>
      <c r="C3382" s="80" t="s">
        <v>137</v>
      </c>
      <c r="D3382" s="73" t="s">
        <v>729</v>
      </c>
      <c r="E3382" s="74">
        <v>3</v>
      </c>
      <c r="F3382" s="78" t="s">
        <v>259</v>
      </c>
      <c r="G3382" s="77" t="s">
        <v>728</v>
      </c>
      <c r="H3382" t="str">
        <f>VLOOKUP(D3382,'DETALLE PRECIO INGREDIENTES'!B:B,1,0)</f>
        <v>HUEVO EXTRA BLANCO</v>
      </c>
    </row>
    <row r="3383" spans="2:8" hidden="1" x14ac:dyDescent="0.35">
      <c r="B3383" s="80" t="s">
        <v>166</v>
      </c>
      <c r="C3383" s="80" t="s">
        <v>137</v>
      </c>
      <c r="D3383" s="73" t="s">
        <v>556</v>
      </c>
      <c r="E3383" s="74">
        <v>2.1999999999999999E-2</v>
      </c>
      <c r="F3383" s="78" t="s">
        <v>237</v>
      </c>
      <c r="G3383" s="77" t="s">
        <v>551</v>
      </c>
      <c r="H3383" t="str">
        <f>VLOOKUP(D3383,'DETALLE PRECIO INGREDIENTES'!B:B,1,0)</f>
        <v>CHOCOLATE AMARGO 56%</v>
      </c>
    </row>
    <row r="3384" spans="2:8" hidden="1" x14ac:dyDescent="0.35">
      <c r="B3384" s="80" t="s">
        <v>166</v>
      </c>
      <c r="C3384" s="80" t="s">
        <v>137</v>
      </c>
      <c r="D3384" s="73" t="s">
        <v>401</v>
      </c>
      <c r="E3384" s="74">
        <v>2.5000000000000001E-2</v>
      </c>
      <c r="F3384" s="78" t="s">
        <v>237</v>
      </c>
      <c r="G3384" s="77" t="s">
        <v>220</v>
      </c>
      <c r="H3384" t="str">
        <f>VLOOKUP(D3384,'DETALLE PRECIO INGREDIENTES'!B:B,1,0)</f>
        <v>NARANJA CONFITADA</v>
      </c>
    </row>
    <row r="3385" spans="2:8" hidden="1" x14ac:dyDescent="0.35">
      <c r="B3385" s="80" t="s">
        <v>166</v>
      </c>
      <c r="C3385" s="80" t="s">
        <v>137</v>
      </c>
      <c r="D3385" s="73" t="s">
        <v>329</v>
      </c>
      <c r="E3385" s="74">
        <v>3.0000000000000001E-3</v>
      </c>
      <c r="F3385" s="78" t="s">
        <v>222</v>
      </c>
      <c r="G3385" s="77" t="s">
        <v>220</v>
      </c>
      <c r="H3385" t="str">
        <f>VLOOKUP(D3385,'DETALLE PRECIO INGREDIENTES'!B:B,1,0)</f>
        <v>ESENCIA DE VAINILLA</v>
      </c>
    </row>
    <row r="3386" spans="2:8" hidden="1" x14ac:dyDescent="0.35">
      <c r="B3386" s="80" t="s">
        <v>166</v>
      </c>
      <c r="C3386" s="80" t="s">
        <v>137</v>
      </c>
      <c r="D3386" s="73" t="s">
        <v>354</v>
      </c>
      <c r="E3386" s="74">
        <v>2.5000000000000001E-2</v>
      </c>
      <c r="F3386" s="78" t="s">
        <v>237</v>
      </c>
      <c r="G3386" s="77" t="s">
        <v>220</v>
      </c>
      <c r="H3386" t="str">
        <f>VLOOKUP(D3386,'DETALLE PRECIO INGREDIENTES'!B:B,1,0)</f>
        <v>HARINA BIZCOCHERA</v>
      </c>
    </row>
    <row r="3387" spans="2:8" hidden="1" x14ac:dyDescent="0.35">
      <c r="B3387" s="80" t="s">
        <v>166</v>
      </c>
      <c r="C3387" s="80" t="s">
        <v>137</v>
      </c>
      <c r="D3387" s="73" t="s">
        <v>751</v>
      </c>
      <c r="E3387" s="74">
        <v>8.9999999999999993E-3</v>
      </c>
      <c r="F3387" s="78" t="s">
        <v>237</v>
      </c>
      <c r="G3387" s="77" t="s">
        <v>736</v>
      </c>
      <c r="H3387" t="str">
        <f>VLOOKUP(D3387,'DETALLE PRECIO INGREDIENTES'!B:B,1,0)</f>
        <v>MANTEQUILLA SIN SAL</v>
      </c>
    </row>
    <row r="3388" spans="2:8" hidden="1" x14ac:dyDescent="0.35">
      <c r="B3388" s="80" t="s">
        <v>166</v>
      </c>
      <c r="C3388" s="80" t="s">
        <v>137</v>
      </c>
      <c r="D3388" s="73" t="s">
        <v>281</v>
      </c>
      <c r="E3388" s="74">
        <v>5.0000000000000001E-3</v>
      </c>
      <c r="F3388" s="78" t="s">
        <v>237</v>
      </c>
      <c r="G3388" s="77" t="s">
        <v>220</v>
      </c>
      <c r="H3388" t="str">
        <f>VLOOKUP(D3388,'DETALLE PRECIO INGREDIENTES'!B:B,1,0)</f>
        <v>AZUCAR INVERTIDA</v>
      </c>
    </row>
    <row r="3389" spans="2:8" hidden="1" x14ac:dyDescent="0.35">
      <c r="B3389" s="80" t="s">
        <v>166</v>
      </c>
      <c r="C3389" s="80" t="s">
        <v>137</v>
      </c>
      <c r="D3389" s="73" t="s">
        <v>434</v>
      </c>
      <c r="E3389" s="74">
        <v>2E-3</v>
      </c>
      <c r="F3389" s="78" t="s">
        <v>237</v>
      </c>
      <c r="G3389" s="77" t="s">
        <v>220</v>
      </c>
      <c r="H3389" t="str">
        <f>VLOOKUP(D3389,'DETALLE PRECIO INGREDIENTES'!B:B,1,0)</f>
        <v>PROCREMA 5 ESTABILIZANTE</v>
      </c>
    </row>
    <row r="3390" spans="2:8" hidden="1" x14ac:dyDescent="0.35">
      <c r="B3390" s="80" t="s">
        <v>166</v>
      </c>
      <c r="C3390" s="80" t="s">
        <v>137</v>
      </c>
      <c r="D3390" s="73" t="s">
        <v>967</v>
      </c>
      <c r="E3390" s="74">
        <v>0.125</v>
      </c>
      <c r="F3390" s="78" t="s">
        <v>237</v>
      </c>
      <c r="G3390" s="77" t="s">
        <v>884</v>
      </c>
      <c r="H3390" t="str">
        <f>VLOOKUP(D3390,'DETALLE PRECIO INGREDIENTES'!B:B,1,0)</f>
        <v>yogurt natural</v>
      </c>
    </row>
    <row r="3391" spans="2:8" hidden="1" x14ac:dyDescent="0.35">
      <c r="B3391" s="80" t="s">
        <v>166</v>
      </c>
      <c r="C3391" s="80" t="s">
        <v>137</v>
      </c>
      <c r="D3391" s="73" t="s">
        <v>686</v>
      </c>
      <c r="E3391" s="74">
        <v>0.05</v>
      </c>
      <c r="F3391" s="78" t="s">
        <v>237</v>
      </c>
      <c r="G3391" s="77" t="s">
        <v>621</v>
      </c>
      <c r="H3391" t="str">
        <f>VLOOKUP(D3391,'DETALLE PRECIO INGREDIENTES'!B:B,1,0)</f>
        <v>MIX DE BERRIES CONGELADO</v>
      </c>
    </row>
    <row r="3392" spans="2:8" hidden="1" x14ac:dyDescent="0.35">
      <c r="B3392" s="80" t="s">
        <v>103</v>
      </c>
      <c r="C3392" s="80" t="s">
        <v>101</v>
      </c>
      <c r="D3392" s="73" t="s">
        <v>557</v>
      </c>
      <c r="E3392" s="74">
        <v>0.12</v>
      </c>
      <c r="F3392" s="78" t="s">
        <v>237</v>
      </c>
      <c r="G3392" s="77" t="s">
        <v>551</v>
      </c>
      <c r="H3392" t="str">
        <f>VLOOKUP(D3392,'DETALLE PRECIO INGREDIENTES'!B:B,1,0)</f>
        <v>CHOCOLATE AMARGO 56% FLUIDO</v>
      </c>
    </row>
    <row r="3393" spans="2:8" hidden="1" x14ac:dyDescent="0.35">
      <c r="B3393" s="80" t="s">
        <v>103</v>
      </c>
      <c r="C3393" s="80" t="s">
        <v>101</v>
      </c>
      <c r="D3393" s="73" t="s">
        <v>605</v>
      </c>
      <c r="E3393" s="74">
        <v>5.0000000000000001E-3</v>
      </c>
      <c r="F3393" s="78" t="s">
        <v>237</v>
      </c>
      <c r="G3393" s="77" t="s">
        <v>601</v>
      </c>
      <c r="H3393" t="str">
        <f>VLOOKUP(D3393,'DETALLE PRECIO INGREDIENTES'!B:B,1,0)</f>
        <v>PIÑA CONFITADA</v>
      </c>
    </row>
    <row r="3394" spans="2:8" hidden="1" x14ac:dyDescent="0.35">
      <c r="B3394" s="80" t="s">
        <v>103</v>
      </c>
      <c r="C3394" s="80" t="s">
        <v>101</v>
      </c>
      <c r="D3394" s="73" t="s">
        <v>401</v>
      </c>
      <c r="E3394" s="74">
        <v>1.2999999999999999E-2</v>
      </c>
      <c r="F3394" s="78" t="s">
        <v>237</v>
      </c>
      <c r="G3394" s="77" t="s">
        <v>220</v>
      </c>
      <c r="H3394" t="str">
        <f>VLOOKUP(D3394,'DETALLE PRECIO INGREDIENTES'!B:B,1,0)</f>
        <v>NARANJA CONFITADA</v>
      </c>
    </row>
    <row r="3395" spans="2:8" hidden="1" x14ac:dyDescent="0.35">
      <c r="B3395" s="80" t="s">
        <v>103</v>
      </c>
      <c r="C3395" s="80" t="s">
        <v>101</v>
      </c>
      <c r="D3395" s="73" t="s">
        <v>380</v>
      </c>
      <c r="E3395" s="74">
        <v>7.0000000000000007E-2</v>
      </c>
      <c r="F3395" s="78" t="s">
        <v>237</v>
      </c>
      <c r="G3395" s="77" t="s">
        <v>220</v>
      </c>
      <c r="H3395" t="str">
        <f>VLOOKUP(D3395,'DETALLE PRECIO INGREDIENTES'!B:B,1,0)</f>
        <v>MANI TOSTADO</v>
      </c>
    </row>
    <row r="3396" spans="2:8" hidden="1" x14ac:dyDescent="0.35">
      <c r="B3396" s="80" t="s">
        <v>103</v>
      </c>
      <c r="C3396" s="80" t="s">
        <v>101</v>
      </c>
      <c r="D3396" s="73" t="s">
        <v>725</v>
      </c>
      <c r="E3396" s="74">
        <v>5.0000000000000001E-3</v>
      </c>
      <c r="F3396" s="78" t="s">
        <v>237</v>
      </c>
      <c r="G3396" s="77" t="s">
        <v>724</v>
      </c>
      <c r="H3396" t="str">
        <f>VLOOKUP(D3396,'DETALLE PRECIO INGREDIENTES'!B:B,1,0)</f>
        <v>NUEZ CUARTILLO</v>
      </c>
    </row>
    <row r="3397" spans="2:8" hidden="1" x14ac:dyDescent="0.35">
      <c r="B3397" s="80" t="s">
        <v>103</v>
      </c>
      <c r="C3397" s="80" t="s">
        <v>101</v>
      </c>
      <c r="D3397" s="73" t="s">
        <v>570</v>
      </c>
      <c r="E3397" s="74">
        <v>0.02</v>
      </c>
      <c r="F3397" s="78" t="s">
        <v>237</v>
      </c>
      <c r="G3397" s="77" t="s">
        <v>551</v>
      </c>
      <c r="H3397" t="str">
        <f>VLOOKUP(D3397,'DETALLE PRECIO INGREDIENTES'!B:B,1,0)</f>
        <v>MANTECA DE CACAO</v>
      </c>
    </row>
    <row r="3398" spans="2:8" hidden="1" x14ac:dyDescent="0.35">
      <c r="B3398" s="80" t="s">
        <v>103</v>
      </c>
      <c r="C3398" s="80" t="s">
        <v>101</v>
      </c>
      <c r="D3398" s="73" t="s">
        <v>277</v>
      </c>
      <c r="E3398" s="74">
        <v>0.1</v>
      </c>
      <c r="F3398" s="78" t="s">
        <v>237</v>
      </c>
      <c r="G3398" s="77" t="s">
        <v>220</v>
      </c>
      <c r="H3398" t="str">
        <f>VLOOKUP(D3398,'DETALLE PRECIO INGREDIENTES'!B:B,1,0)</f>
        <v>AZUCAR BLANCA GRANULADA</v>
      </c>
    </row>
    <row r="3399" spans="2:8" hidden="1" x14ac:dyDescent="0.35">
      <c r="B3399" s="80" t="s">
        <v>103</v>
      </c>
      <c r="C3399" s="80" t="s">
        <v>101</v>
      </c>
      <c r="D3399" s="73" t="s">
        <v>261</v>
      </c>
      <c r="E3399" s="74">
        <v>0.02</v>
      </c>
      <c r="F3399" s="78" t="s">
        <v>237</v>
      </c>
      <c r="G3399" s="77" t="s">
        <v>220</v>
      </c>
      <c r="H3399" t="str">
        <f>VLOOKUP(D3399,'DETALLE PRECIO INGREDIENTES'!B:B,1,0)</f>
        <v>ALMENDRAS ENTERAS</v>
      </c>
    </row>
    <row r="3400" spans="2:8" hidden="1" x14ac:dyDescent="0.35">
      <c r="B3400" s="80" t="s">
        <v>103</v>
      </c>
      <c r="C3400" s="80" t="s">
        <v>101</v>
      </c>
      <c r="D3400" s="73" t="s">
        <v>438</v>
      </c>
      <c r="E3400" s="74">
        <v>4.4999999999999998E-2</v>
      </c>
      <c r="F3400" s="78" t="s">
        <v>237</v>
      </c>
      <c r="G3400" s="77" t="s">
        <v>220</v>
      </c>
      <c r="H3400" t="str">
        <f>VLOOKUP(D3400,'DETALLE PRECIO INGREDIENTES'!B:B,1,0)</f>
        <v>QUINOA INFLADA POPS</v>
      </c>
    </row>
    <row r="3401" spans="2:8" hidden="1" x14ac:dyDescent="0.35">
      <c r="B3401" s="80" t="s">
        <v>103</v>
      </c>
      <c r="C3401" s="80" t="s">
        <v>101</v>
      </c>
      <c r="D3401" s="73" t="s">
        <v>461</v>
      </c>
      <c r="E3401" s="74">
        <v>5.0000000000000001E-3</v>
      </c>
      <c r="F3401" s="78" t="s">
        <v>237</v>
      </c>
      <c r="G3401" s="77" t="s">
        <v>220</v>
      </c>
      <c r="H3401" t="str">
        <f>VLOOKUP(D3401,'DETALLE PRECIO INGREDIENTES'!B:B,1,0)</f>
        <v>SORBITOL</v>
      </c>
    </row>
    <row r="3402" spans="2:8" hidden="1" x14ac:dyDescent="0.35">
      <c r="B3402" s="80" t="s">
        <v>103</v>
      </c>
      <c r="C3402" s="80" t="s">
        <v>101</v>
      </c>
      <c r="D3402" s="73" t="s">
        <v>348</v>
      </c>
      <c r="E3402" s="74">
        <v>0.05</v>
      </c>
      <c r="F3402" s="78" t="s">
        <v>237</v>
      </c>
      <c r="G3402" s="77" t="s">
        <v>220</v>
      </c>
      <c r="H3402" t="str">
        <f>VLOOKUP(D3402,'DETALLE PRECIO INGREDIENTES'!B:B,1,0)</f>
        <v>GLUCOSA</v>
      </c>
    </row>
    <row r="3403" spans="2:8" hidden="1" x14ac:dyDescent="0.35">
      <c r="B3403" s="80" t="s">
        <v>103</v>
      </c>
      <c r="C3403" s="80" t="s">
        <v>101</v>
      </c>
      <c r="D3403" s="73" t="s">
        <v>471</v>
      </c>
      <c r="E3403" s="74">
        <v>0.25</v>
      </c>
      <c r="F3403" s="78" t="s">
        <v>259</v>
      </c>
      <c r="G3403" s="77" t="s">
        <v>220</v>
      </c>
      <c r="H3403" t="str">
        <f>VLOOKUP(D3403,'DETALLE PRECIO INGREDIENTES'!B:B,1,0)</f>
        <v>VAINA VAINILLA</v>
      </c>
    </row>
    <row r="3404" spans="2:8" hidden="1" x14ac:dyDescent="0.35">
      <c r="B3404" s="80" t="s">
        <v>103</v>
      </c>
      <c r="C3404" s="80" t="s">
        <v>101</v>
      </c>
      <c r="D3404" s="73" t="s">
        <v>561</v>
      </c>
      <c r="E3404" s="74">
        <v>0.09</v>
      </c>
      <c r="F3404" s="78" t="s">
        <v>237</v>
      </c>
      <c r="G3404" s="77" t="s">
        <v>551</v>
      </c>
      <c r="H3404" t="str">
        <f>VLOOKUP(D3404,'DETALLE PRECIO INGREDIENTES'!B:B,1,0)</f>
        <v>CHOCOLATE DE LECHE 33%</v>
      </c>
    </row>
    <row r="3405" spans="2:8" hidden="1" x14ac:dyDescent="0.35">
      <c r="B3405" s="80" t="s">
        <v>103</v>
      </c>
      <c r="C3405" s="80" t="s">
        <v>101</v>
      </c>
      <c r="D3405" s="73" t="s">
        <v>739</v>
      </c>
      <c r="E3405" s="74">
        <v>0.15</v>
      </c>
      <c r="F3405" s="78" t="s">
        <v>222</v>
      </c>
      <c r="G3405" s="77" t="s">
        <v>736</v>
      </c>
      <c r="H3405" t="str">
        <f>VLOOKUP(D3405,'DETALLE PRECIO INGREDIENTES'!B:B,1,0)</f>
        <v>CREMA DE LECHE</v>
      </c>
    </row>
    <row r="3406" spans="2:8" hidden="1" x14ac:dyDescent="0.35">
      <c r="B3406" s="80" t="s">
        <v>103</v>
      </c>
      <c r="C3406" s="80" t="s">
        <v>101</v>
      </c>
      <c r="D3406" s="73" t="s">
        <v>961</v>
      </c>
      <c r="E3406" s="74">
        <v>1.4999999999999999E-2</v>
      </c>
      <c r="F3406" s="78" t="s">
        <v>237</v>
      </c>
      <c r="G3406" s="77" t="s">
        <v>220</v>
      </c>
      <c r="H3406" t="str">
        <f>VLOOKUP(D3406,'DETALLE PRECIO INGREDIENTES'!B:B,1,0)</f>
        <v>miel</v>
      </c>
    </row>
    <row r="3407" spans="2:8" hidden="1" x14ac:dyDescent="0.35">
      <c r="B3407" s="80" t="s">
        <v>103</v>
      </c>
      <c r="C3407" s="80" t="s">
        <v>101</v>
      </c>
      <c r="D3407" s="73" t="s">
        <v>751</v>
      </c>
      <c r="E3407" s="74">
        <v>0.08</v>
      </c>
      <c r="F3407" s="78" t="s">
        <v>237</v>
      </c>
      <c r="G3407" s="77" t="s">
        <v>736</v>
      </c>
      <c r="H3407" t="str">
        <f>VLOOKUP(D3407,'DETALLE PRECIO INGREDIENTES'!B:B,1,0)</f>
        <v>MANTEQUILLA SIN SAL</v>
      </c>
    </row>
    <row r="3408" spans="2:8" hidden="1" x14ac:dyDescent="0.35">
      <c r="B3408" s="80" t="s">
        <v>103</v>
      </c>
      <c r="C3408" s="80" t="s">
        <v>101</v>
      </c>
      <c r="D3408" s="73" t="s">
        <v>562</v>
      </c>
      <c r="E3408" s="74">
        <v>0.08</v>
      </c>
      <c r="F3408" s="78" t="s">
        <v>237</v>
      </c>
      <c r="G3408" s="77" t="s">
        <v>551</v>
      </c>
      <c r="H3408" t="str">
        <f>VLOOKUP(D3408,'DETALLE PRECIO INGREDIENTES'!B:B,1,0)</f>
        <v>CHOCOLATE ECUADOR BLANCO 31%</v>
      </c>
    </row>
    <row r="3409" spans="2:8" hidden="1" x14ac:dyDescent="0.35">
      <c r="B3409" s="80" t="s">
        <v>103</v>
      </c>
      <c r="C3409" s="80" t="s">
        <v>101</v>
      </c>
      <c r="D3409" s="73" t="s">
        <v>593</v>
      </c>
      <c r="E3409" s="74">
        <v>0.05</v>
      </c>
      <c r="F3409" s="78" t="s">
        <v>237</v>
      </c>
      <c r="G3409" s="77" t="s">
        <v>587</v>
      </c>
      <c r="H3409" t="str">
        <f>VLOOKUP(D3409,'DETALLE PRECIO INGREDIENTES'!B:B,1,0)</f>
        <v>PULPA DE FRAMBUESA S/AZUCAR</v>
      </c>
    </row>
    <row r="3410" spans="2:8" hidden="1" x14ac:dyDescent="0.35">
      <c r="B3410" s="80" t="s">
        <v>103</v>
      </c>
      <c r="C3410" s="80" t="s">
        <v>101</v>
      </c>
      <c r="D3410" s="73" t="s">
        <v>281</v>
      </c>
      <c r="E3410" s="74">
        <v>0.02</v>
      </c>
      <c r="F3410" s="78" t="s">
        <v>237</v>
      </c>
      <c r="G3410" s="77" t="s">
        <v>220</v>
      </c>
      <c r="H3410" t="str">
        <f>VLOOKUP(D3410,'DETALLE PRECIO INGREDIENTES'!B:B,1,0)</f>
        <v>AZUCAR INVERTIDA</v>
      </c>
    </row>
    <row r="3411" spans="2:8" hidden="1" x14ac:dyDescent="0.35">
      <c r="B3411" s="80" t="s">
        <v>103</v>
      </c>
      <c r="C3411" s="80" t="s">
        <v>101</v>
      </c>
      <c r="D3411" s="73" t="s">
        <v>624</v>
      </c>
      <c r="E3411" s="74">
        <v>0.2</v>
      </c>
      <c r="F3411" s="78" t="s">
        <v>259</v>
      </c>
      <c r="G3411" s="77" t="s">
        <v>621</v>
      </c>
      <c r="H3411" t="str">
        <f>VLOOKUP(D3411,'DETALLE PRECIO INGREDIENTES'!B:B,1,0)</f>
        <v>AJI CACHO CABRA AHUMADO</v>
      </c>
    </row>
    <row r="3412" spans="2:8" hidden="1" x14ac:dyDescent="0.35">
      <c r="B3412" s="80" t="s">
        <v>103</v>
      </c>
      <c r="C3412" s="80" t="s">
        <v>101</v>
      </c>
      <c r="D3412" s="73" t="s">
        <v>445</v>
      </c>
      <c r="E3412" s="74">
        <v>2E-3</v>
      </c>
      <c r="F3412" s="78" t="s">
        <v>237</v>
      </c>
      <c r="G3412" s="77" t="s">
        <v>220</v>
      </c>
      <c r="H3412" t="str">
        <f>VLOOKUP(D3412,'DETALLE PRECIO INGREDIENTES'!B:B,1,0)</f>
        <v>SAL DE MESA LOBOS</v>
      </c>
    </row>
    <row r="3413" spans="2:8" hidden="1" x14ac:dyDescent="0.35">
      <c r="B3413" s="80" t="s">
        <v>103</v>
      </c>
      <c r="C3413" s="80" t="s">
        <v>101</v>
      </c>
      <c r="D3413" s="73" t="s">
        <v>284</v>
      </c>
      <c r="E3413" s="74">
        <v>2E-3</v>
      </c>
      <c r="F3413" s="78" t="s">
        <v>237</v>
      </c>
      <c r="G3413" s="77" t="s">
        <v>220</v>
      </c>
      <c r="H3413" t="str">
        <f>VLOOKUP(D3413,'DETALLE PRECIO INGREDIENTES'!B:B,1,0)</f>
        <v>BICARBONATO DE SODIO</v>
      </c>
    </row>
    <row r="3414" spans="2:8" hidden="1" x14ac:dyDescent="0.35">
      <c r="B3414" s="80" t="s">
        <v>103</v>
      </c>
      <c r="C3414" s="80" t="s">
        <v>101</v>
      </c>
      <c r="D3414" s="73" t="s">
        <v>690</v>
      </c>
      <c r="E3414" s="74">
        <v>0.1</v>
      </c>
      <c r="F3414" s="78" t="s">
        <v>237</v>
      </c>
      <c r="G3414" s="77" t="s">
        <v>621</v>
      </c>
      <c r="H3414" t="str">
        <f>VLOOKUP(D3414,'DETALLE PRECIO INGREDIENTES'!B:B,1,0)</f>
        <v>NARANJA DE JUGO</v>
      </c>
    </row>
    <row r="3415" spans="2:8" hidden="1" x14ac:dyDescent="0.35">
      <c r="B3415" s="80" t="s">
        <v>103</v>
      </c>
      <c r="C3415" s="80" t="s">
        <v>101</v>
      </c>
      <c r="D3415" s="73" t="s">
        <v>553</v>
      </c>
      <c r="E3415" s="74">
        <v>0.01</v>
      </c>
      <c r="F3415" s="78" t="s">
        <v>237</v>
      </c>
      <c r="G3415" s="77" t="s">
        <v>551</v>
      </c>
      <c r="H3415" t="str">
        <f>VLOOKUP(D3415,'DETALLE PRECIO INGREDIENTES'!B:B,1,0)</f>
        <v>CACAO EN POLVO ALCALINO</v>
      </c>
    </row>
    <row r="3416" spans="2:8" hidden="1" x14ac:dyDescent="0.35">
      <c r="B3416" s="80" t="s">
        <v>103</v>
      </c>
      <c r="C3416" s="80" t="s">
        <v>101</v>
      </c>
      <c r="D3416" s="73" t="s">
        <v>586</v>
      </c>
      <c r="E3416" s="74">
        <v>0.01</v>
      </c>
      <c r="F3416" s="78" t="s">
        <v>259</v>
      </c>
      <c r="G3416" s="77" t="s">
        <v>573</v>
      </c>
      <c r="H3416" t="str">
        <f>VLOOKUP(D3416,'DETALLE PRECIO INGREDIENTES'!B:B,1,0)</f>
        <v>COLORANTE METALICO ORO</v>
      </c>
    </row>
    <row r="3417" spans="2:8" hidden="1" x14ac:dyDescent="0.35">
      <c r="B3417" s="80" t="s">
        <v>103</v>
      </c>
      <c r="C3417" s="80" t="s">
        <v>101</v>
      </c>
      <c r="D3417" s="73" t="s">
        <v>511</v>
      </c>
      <c r="E3417" s="74">
        <v>1</v>
      </c>
      <c r="F3417" s="78" t="s">
        <v>259</v>
      </c>
      <c r="G3417" s="77" t="s">
        <v>485</v>
      </c>
      <c r="H3417" t="str">
        <f>VLOOKUP(D3417,'DETALLE PRECIO INGREDIENTES'!B:B,1,0)</f>
        <v>PAPEL CERESINADO PLIEGO</v>
      </c>
    </row>
    <row r="3418" spans="2:8" hidden="1" x14ac:dyDescent="0.35">
      <c r="B3418" s="80" t="s">
        <v>103</v>
      </c>
      <c r="C3418" s="80" t="s">
        <v>101</v>
      </c>
      <c r="D3418" s="73" t="s">
        <v>502</v>
      </c>
      <c r="E3418" s="74">
        <v>1</v>
      </c>
      <c r="F3418" s="78" t="s">
        <v>259</v>
      </c>
      <c r="G3418" s="77" t="s">
        <v>485</v>
      </c>
      <c r="H3418" t="str">
        <f>VLOOKUP(D3418,'DETALLE PRECIO INGREDIENTES'!B:B,1,0)</f>
        <v>MANGAS DESECHABLES MEDIANAS</v>
      </c>
    </row>
    <row r="3419" spans="2:8" hidden="1" x14ac:dyDescent="0.35">
      <c r="B3419" s="80" t="s">
        <v>103</v>
      </c>
      <c r="C3419" s="80" t="s">
        <v>101</v>
      </c>
      <c r="D3419" s="73" t="s">
        <v>512</v>
      </c>
      <c r="E3419" s="74">
        <v>0.5</v>
      </c>
      <c r="F3419" s="78" t="s">
        <v>259</v>
      </c>
      <c r="G3419" s="77" t="s">
        <v>485</v>
      </c>
      <c r="H3419" t="str">
        <f>VLOOKUP(D3419,'DETALLE PRECIO INGREDIENTES'!B:B,1,0)</f>
        <v>PAPEL GUITARRA</v>
      </c>
    </row>
    <row r="3420" spans="2:8" hidden="1" x14ac:dyDescent="0.35">
      <c r="B3420" s="80" t="s">
        <v>103</v>
      </c>
      <c r="C3420" s="80" t="s">
        <v>101</v>
      </c>
      <c r="D3420" s="73" t="s">
        <v>565</v>
      </c>
      <c r="E3420" s="74">
        <v>0.15</v>
      </c>
      <c r="F3420" s="78" t="s">
        <v>237</v>
      </c>
      <c r="G3420" s="77" t="s">
        <v>551</v>
      </c>
      <c r="H3420" t="str">
        <f>VLOOKUP(D3420,'DETALLE PRECIO INGREDIENTES'!B:B,1,0)</f>
        <v>COBERTURA AMARGA</v>
      </c>
    </row>
    <row r="3421" spans="2:8" hidden="1" x14ac:dyDescent="0.35">
      <c r="B3421" s="80" t="s">
        <v>103</v>
      </c>
      <c r="C3421" s="80" t="s">
        <v>101</v>
      </c>
      <c r="D3421" s="73" t="s">
        <v>567</v>
      </c>
      <c r="E3421" s="74">
        <v>0.1</v>
      </c>
      <c r="F3421" s="78" t="s">
        <v>237</v>
      </c>
      <c r="G3421" s="77" t="s">
        <v>551</v>
      </c>
      <c r="H3421" t="str">
        <f>VLOOKUP(D3421,'DETALLE PRECIO INGREDIENTES'!B:B,1,0)</f>
        <v>COBERTURA LECHE</v>
      </c>
    </row>
    <row r="3422" spans="2:8" hidden="1" x14ac:dyDescent="0.35">
      <c r="B3422" s="80" t="s">
        <v>103</v>
      </c>
      <c r="C3422" s="80" t="s">
        <v>101</v>
      </c>
      <c r="D3422" s="73" t="s">
        <v>566</v>
      </c>
      <c r="E3422" s="74">
        <v>0.15</v>
      </c>
      <c r="F3422" s="78" t="s">
        <v>237</v>
      </c>
      <c r="G3422" s="77" t="s">
        <v>551</v>
      </c>
      <c r="H3422" t="str">
        <f>VLOOKUP(D3422,'DETALLE PRECIO INGREDIENTES'!B:B,1,0)</f>
        <v>COBERTURA BLANCA</v>
      </c>
    </row>
    <row r="3423" spans="2:8" hidden="1" x14ac:dyDescent="0.35">
      <c r="B3423" s="80" t="s">
        <v>103</v>
      </c>
      <c r="C3423" s="80" t="s">
        <v>101</v>
      </c>
      <c r="D3423" s="73" t="s">
        <v>567</v>
      </c>
      <c r="E3423" s="74">
        <v>0.1</v>
      </c>
      <c r="F3423" s="78" t="s">
        <v>237</v>
      </c>
      <c r="G3423" s="77" t="s">
        <v>551</v>
      </c>
      <c r="H3423" t="str">
        <f>VLOOKUP(D3423,'DETALLE PRECIO INGREDIENTES'!B:B,1,0)</f>
        <v>COBERTURA LECHE</v>
      </c>
    </row>
    <row r="3424" spans="2:8" hidden="1" x14ac:dyDescent="0.35">
      <c r="B3424" s="80" t="s">
        <v>103</v>
      </c>
      <c r="C3424" s="80" t="s">
        <v>100</v>
      </c>
      <c r="D3424" s="73" t="s">
        <v>557</v>
      </c>
      <c r="E3424" s="74">
        <v>0.12</v>
      </c>
      <c r="F3424" s="78" t="s">
        <v>237</v>
      </c>
      <c r="G3424" s="77" t="s">
        <v>551</v>
      </c>
      <c r="H3424" t="str">
        <f>VLOOKUP(D3424,'DETALLE PRECIO INGREDIENTES'!B:B,1,0)</f>
        <v>CHOCOLATE AMARGO 56% FLUIDO</v>
      </c>
    </row>
    <row r="3425" spans="2:8" hidden="1" x14ac:dyDescent="0.35">
      <c r="B3425" s="80" t="s">
        <v>103</v>
      </c>
      <c r="C3425" s="80" t="s">
        <v>100</v>
      </c>
      <c r="D3425" s="73" t="s">
        <v>380</v>
      </c>
      <c r="E3425" s="74">
        <v>7.0000000000000007E-2</v>
      </c>
      <c r="F3425" s="78" t="s">
        <v>237</v>
      </c>
      <c r="G3425" s="77" t="s">
        <v>220</v>
      </c>
      <c r="H3425" t="str">
        <f>VLOOKUP(D3425,'DETALLE PRECIO INGREDIENTES'!B:B,1,0)</f>
        <v>MANI TOSTADO</v>
      </c>
    </row>
    <row r="3426" spans="2:8" hidden="1" x14ac:dyDescent="0.35">
      <c r="B3426" s="80" t="s">
        <v>103</v>
      </c>
      <c r="C3426" s="80" t="s">
        <v>100</v>
      </c>
      <c r="D3426" s="73" t="s">
        <v>570</v>
      </c>
      <c r="E3426" s="74">
        <v>0.01</v>
      </c>
      <c r="F3426" s="78" t="s">
        <v>237</v>
      </c>
      <c r="G3426" s="77" t="s">
        <v>551</v>
      </c>
      <c r="H3426" t="str">
        <f>VLOOKUP(D3426,'DETALLE PRECIO INGREDIENTES'!B:B,1,0)</f>
        <v>MANTECA DE CACAO</v>
      </c>
    </row>
    <row r="3427" spans="2:8" hidden="1" x14ac:dyDescent="0.35">
      <c r="B3427" s="80" t="s">
        <v>103</v>
      </c>
      <c r="C3427" s="80" t="s">
        <v>100</v>
      </c>
      <c r="D3427" s="73" t="s">
        <v>277</v>
      </c>
      <c r="E3427" s="74">
        <v>0.13</v>
      </c>
      <c r="F3427" s="78" t="s">
        <v>237</v>
      </c>
      <c r="G3427" s="77" t="s">
        <v>220</v>
      </c>
      <c r="H3427" t="str">
        <f>VLOOKUP(D3427,'DETALLE PRECIO INGREDIENTES'!B:B,1,0)</f>
        <v>AZUCAR BLANCA GRANULADA</v>
      </c>
    </row>
    <row r="3428" spans="2:8" hidden="1" x14ac:dyDescent="0.35">
      <c r="B3428" s="80" t="s">
        <v>103</v>
      </c>
      <c r="C3428" s="80" t="s">
        <v>100</v>
      </c>
      <c r="D3428" s="73" t="s">
        <v>461</v>
      </c>
      <c r="E3428" s="74">
        <v>5.0000000000000001E-3</v>
      </c>
      <c r="F3428" s="78" t="s">
        <v>237</v>
      </c>
      <c r="G3428" s="77" t="s">
        <v>220</v>
      </c>
      <c r="H3428" t="str">
        <f>VLOOKUP(D3428,'DETALLE PRECIO INGREDIENTES'!B:B,1,0)</f>
        <v>SORBITOL</v>
      </c>
    </row>
    <row r="3429" spans="2:8" hidden="1" x14ac:dyDescent="0.35">
      <c r="B3429" s="80" t="s">
        <v>103</v>
      </c>
      <c r="C3429" s="80" t="s">
        <v>100</v>
      </c>
      <c r="D3429" s="73" t="s">
        <v>348</v>
      </c>
      <c r="E3429" s="74">
        <v>0.05</v>
      </c>
      <c r="F3429" s="78" t="s">
        <v>237</v>
      </c>
      <c r="G3429" s="77" t="s">
        <v>220</v>
      </c>
      <c r="H3429" t="str">
        <f>VLOOKUP(D3429,'DETALLE PRECIO INGREDIENTES'!B:B,1,0)</f>
        <v>GLUCOSA</v>
      </c>
    </row>
    <row r="3430" spans="2:8" hidden="1" x14ac:dyDescent="0.35">
      <c r="B3430" s="80" t="s">
        <v>103</v>
      </c>
      <c r="C3430" s="80" t="s">
        <v>100</v>
      </c>
      <c r="D3430" s="73" t="s">
        <v>471</v>
      </c>
      <c r="E3430" s="74">
        <v>0.25</v>
      </c>
      <c r="F3430" s="78" t="s">
        <v>259</v>
      </c>
      <c r="G3430" s="77" t="s">
        <v>220</v>
      </c>
      <c r="H3430" t="str">
        <f>VLOOKUP(D3430,'DETALLE PRECIO INGREDIENTES'!B:B,1,0)</f>
        <v>VAINA VAINILLA</v>
      </c>
    </row>
    <row r="3431" spans="2:8" hidden="1" x14ac:dyDescent="0.35">
      <c r="B3431" s="80" t="s">
        <v>103</v>
      </c>
      <c r="C3431" s="80" t="s">
        <v>100</v>
      </c>
      <c r="D3431" s="73" t="s">
        <v>561</v>
      </c>
      <c r="E3431" s="74">
        <v>0.09</v>
      </c>
      <c r="F3431" s="78" t="s">
        <v>237</v>
      </c>
      <c r="G3431" s="77" t="s">
        <v>551</v>
      </c>
      <c r="H3431" t="str">
        <f>VLOOKUP(D3431,'DETALLE PRECIO INGREDIENTES'!B:B,1,0)</f>
        <v>CHOCOLATE DE LECHE 33%</v>
      </c>
    </row>
    <row r="3432" spans="2:8" hidden="1" x14ac:dyDescent="0.35">
      <c r="B3432" s="80" t="s">
        <v>103</v>
      </c>
      <c r="C3432" s="80" t="s">
        <v>100</v>
      </c>
      <c r="D3432" s="73" t="s">
        <v>739</v>
      </c>
      <c r="E3432" s="74">
        <v>0.1</v>
      </c>
      <c r="F3432" s="78" t="s">
        <v>222</v>
      </c>
      <c r="G3432" s="77" t="s">
        <v>736</v>
      </c>
      <c r="H3432" t="str">
        <f>VLOOKUP(D3432,'DETALLE PRECIO INGREDIENTES'!B:B,1,0)</f>
        <v>CREMA DE LECHE</v>
      </c>
    </row>
    <row r="3433" spans="2:8" hidden="1" x14ac:dyDescent="0.35">
      <c r="B3433" s="80" t="s">
        <v>103</v>
      </c>
      <c r="C3433" s="80" t="s">
        <v>100</v>
      </c>
      <c r="D3433" s="73" t="s">
        <v>961</v>
      </c>
      <c r="E3433" s="74">
        <v>1.4999999999999999E-2</v>
      </c>
      <c r="F3433" s="78" t="s">
        <v>237</v>
      </c>
      <c r="G3433" s="77" t="s">
        <v>220</v>
      </c>
      <c r="H3433" t="str">
        <f>VLOOKUP(D3433,'DETALLE PRECIO INGREDIENTES'!B:B,1,0)</f>
        <v>miel</v>
      </c>
    </row>
    <row r="3434" spans="2:8" hidden="1" x14ac:dyDescent="0.35">
      <c r="B3434" s="80" t="s">
        <v>103</v>
      </c>
      <c r="C3434" s="80" t="s">
        <v>100</v>
      </c>
      <c r="D3434" s="73" t="s">
        <v>751</v>
      </c>
      <c r="E3434" s="74">
        <v>0.1</v>
      </c>
      <c r="F3434" s="78" t="s">
        <v>237</v>
      </c>
      <c r="G3434" s="77" t="s">
        <v>736</v>
      </c>
      <c r="H3434" t="str">
        <f>VLOOKUP(D3434,'DETALLE PRECIO INGREDIENTES'!B:B,1,0)</f>
        <v>MANTEQUILLA SIN SAL</v>
      </c>
    </row>
    <row r="3435" spans="2:8" hidden="1" x14ac:dyDescent="0.35">
      <c r="B3435" s="80" t="s">
        <v>103</v>
      </c>
      <c r="C3435" s="80" t="s">
        <v>100</v>
      </c>
      <c r="D3435" s="73" t="s">
        <v>562</v>
      </c>
      <c r="E3435" s="74">
        <v>0.09</v>
      </c>
      <c r="F3435" s="78" t="s">
        <v>237</v>
      </c>
      <c r="G3435" s="77" t="s">
        <v>551</v>
      </c>
      <c r="H3435" t="str">
        <f>VLOOKUP(D3435,'DETALLE PRECIO INGREDIENTES'!B:B,1,0)</f>
        <v>CHOCOLATE ECUADOR BLANCO 31%</v>
      </c>
    </row>
    <row r="3436" spans="2:8" hidden="1" x14ac:dyDescent="0.35">
      <c r="B3436" s="80" t="s">
        <v>103</v>
      </c>
      <c r="C3436" s="80" t="s">
        <v>100</v>
      </c>
      <c r="D3436" s="73" t="s">
        <v>593</v>
      </c>
      <c r="E3436" s="74">
        <v>0.05</v>
      </c>
      <c r="F3436" s="78" t="s">
        <v>237</v>
      </c>
      <c r="G3436" s="77" t="s">
        <v>587</v>
      </c>
      <c r="H3436" t="str">
        <f>VLOOKUP(D3436,'DETALLE PRECIO INGREDIENTES'!B:B,1,0)</f>
        <v>PULPA DE FRAMBUESA S/AZUCAR</v>
      </c>
    </row>
    <row r="3437" spans="2:8" hidden="1" x14ac:dyDescent="0.35">
      <c r="B3437" s="80" t="s">
        <v>103</v>
      </c>
      <c r="C3437" s="80" t="s">
        <v>100</v>
      </c>
      <c r="D3437" s="73" t="s">
        <v>281</v>
      </c>
      <c r="E3437" s="74">
        <v>0.02</v>
      </c>
      <c r="F3437" s="78" t="s">
        <v>237</v>
      </c>
      <c r="G3437" s="77" t="s">
        <v>220</v>
      </c>
      <c r="H3437" t="str">
        <f>VLOOKUP(D3437,'DETALLE PRECIO INGREDIENTES'!B:B,1,0)</f>
        <v>AZUCAR INVERTIDA</v>
      </c>
    </row>
    <row r="3438" spans="2:8" hidden="1" x14ac:dyDescent="0.35">
      <c r="B3438" s="80" t="s">
        <v>103</v>
      </c>
      <c r="C3438" s="80" t="s">
        <v>100</v>
      </c>
      <c r="D3438" s="73" t="s">
        <v>624</v>
      </c>
      <c r="E3438" s="74">
        <v>0.2</v>
      </c>
      <c r="F3438" s="78" t="s">
        <v>259</v>
      </c>
      <c r="G3438" s="77" t="s">
        <v>621</v>
      </c>
      <c r="H3438" t="str">
        <f>VLOOKUP(D3438,'DETALLE PRECIO INGREDIENTES'!B:B,1,0)</f>
        <v>AJI CACHO CABRA AHUMADO</v>
      </c>
    </row>
    <row r="3439" spans="2:8" hidden="1" x14ac:dyDescent="0.35">
      <c r="B3439" s="80" t="s">
        <v>103</v>
      </c>
      <c r="C3439" s="80" t="s">
        <v>100</v>
      </c>
      <c r="D3439" s="73" t="s">
        <v>690</v>
      </c>
      <c r="E3439" s="74">
        <v>0.1</v>
      </c>
      <c r="F3439" s="78" t="s">
        <v>237</v>
      </c>
      <c r="G3439" s="77" t="s">
        <v>621</v>
      </c>
      <c r="H3439" t="str">
        <f>VLOOKUP(D3439,'DETALLE PRECIO INGREDIENTES'!B:B,1,0)</f>
        <v>NARANJA DE JUGO</v>
      </c>
    </row>
    <row r="3440" spans="2:8" hidden="1" x14ac:dyDescent="0.35">
      <c r="B3440" s="80" t="s">
        <v>103</v>
      </c>
      <c r="C3440" s="80" t="s">
        <v>100</v>
      </c>
      <c r="D3440" s="73" t="s">
        <v>553</v>
      </c>
      <c r="E3440" s="74">
        <v>0.01</v>
      </c>
      <c r="F3440" s="78" t="s">
        <v>237</v>
      </c>
      <c r="G3440" s="77" t="s">
        <v>551</v>
      </c>
      <c r="H3440" t="str">
        <f>VLOOKUP(D3440,'DETALLE PRECIO INGREDIENTES'!B:B,1,0)</f>
        <v>CACAO EN POLVO ALCALINO</v>
      </c>
    </row>
    <row r="3441" spans="2:8" hidden="1" x14ac:dyDescent="0.35">
      <c r="B3441" s="80" t="s">
        <v>103</v>
      </c>
      <c r="C3441" s="80" t="s">
        <v>100</v>
      </c>
      <c r="D3441" s="73" t="s">
        <v>511</v>
      </c>
      <c r="E3441" s="74">
        <v>1</v>
      </c>
      <c r="F3441" s="78" t="s">
        <v>259</v>
      </c>
      <c r="G3441" s="77" t="s">
        <v>485</v>
      </c>
      <c r="H3441" t="str">
        <f>VLOOKUP(D3441,'DETALLE PRECIO INGREDIENTES'!B:B,1,0)</f>
        <v>PAPEL CERESINADO PLIEGO</v>
      </c>
    </row>
    <row r="3442" spans="2:8" hidden="1" x14ac:dyDescent="0.35">
      <c r="B3442" s="80" t="s">
        <v>103</v>
      </c>
      <c r="C3442" s="80" t="s">
        <v>100</v>
      </c>
      <c r="D3442" s="73" t="s">
        <v>502</v>
      </c>
      <c r="E3442" s="74">
        <v>1</v>
      </c>
      <c r="F3442" s="78" t="s">
        <v>259</v>
      </c>
      <c r="G3442" s="77" t="s">
        <v>485</v>
      </c>
      <c r="H3442" t="str">
        <f>VLOOKUP(D3442,'DETALLE PRECIO INGREDIENTES'!B:B,1,0)</f>
        <v>MANGAS DESECHABLES MEDIANAS</v>
      </c>
    </row>
    <row r="3443" spans="2:8" hidden="1" x14ac:dyDescent="0.35">
      <c r="B3443" s="80" t="s">
        <v>103</v>
      </c>
      <c r="C3443" s="80" t="s">
        <v>100</v>
      </c>
      <c r="D3443" s="73" t="s">
        <v>565</v>
      </c>
      <c r="E3443" s="74">
        <v>0.05</v>
      </c>
      <c r="F3443" s="78" t="s">
        <v>237</v>
      </c>
      <c r="G3443" s="77" t="s">
        <v>551</v>
      </c>
      <c r="H3443" t="str">
        <f>VLOOKUP(D3443,'DETALLE PRECIO INGREDIENTES'!B:B,1,0)</f>
        <v>COBERTURA AMARGA</v>
      </c>
    </row>
    <row r="3444" spans="2:8" hidden="1" x14ac:dyDescent="0.35">
      <c r="B3444" s="80" t="s">
        <v>103</v>
      </c>
      <c r="C3444" s="80" t="s">
        <v>100</v>
      </c>
      <c r="D3444" s="73" t="s">
        <v>567</v>
      </c>
      <c r="E3444" s="74">
        <v>0.1</v>
      </c>
      <c r="F3444" s="78" t="s">
        <v>237</v>
      </c>
      <c r="G3444" s="77" t="s">
        <v>551</v>
      </c>
      <c r="H3444" t="str">
        <f>VLOOKUP(D3444,'DETALLE PRECIO INGREDIENTES'!B:B,1,0)</f>
        <v>COBERTURA LECHE</v>
      </c>
    </row>
    <row r="3445" spans="2:8" hidden="1" x14ac:dyDescent="0.35">
      <c r="B3445" s="80" t="s">
        <v>103</v>
      </c>
      <c r="C3445" s="80" t="s">
        <v>100</v>
      </c>
      <c r="D3445" s="73" t="s">
        <v>566</v>
      </c>
      <c r="E3445" s="74">
        <v>0.1</v>
      </c>
      <c r="F3445" s="78" t="s">
        <v>237</v>
      </c>
      <c r="G3445" s="77" t="s">
        <v>551</v>
      </c>
      <c r="H3445" t="str">
        <f>VLOOKUP(D3445,'DETALLE PRECIO INGREDIENTES'!B:B,1,0)</f>
        <v>COBERTURA BLANCA</v>
      </c>
    </row>
    <row r="3446" spans="2:8" hidden="1" x14ac:dyDescent="0.35">
      <c r="B3446" s="80" t="s">
        <v>103</v>
      </c>
      <c r="C3446" s="80" t="s">
        <v>99</v>
      </c>
      <c r="D3446" s="73" t="s">
        <v>557</v>
      </c>
      <c r="E3446" s="74">
        <v>0.1</v>
      </c>
      <c r="F3446" s="78" t="s">
        <v>237</v>
      </c>
      <c r="G3446" s="77" t="s">
        <v>551</v>
      </c>
      <c r="H3446" t="str">
        <f>VLOOKUP(D3446,'DETALLE PRECIO INGREDIENTES'!B:B,1,0)</f>
        <v>CHOCOLATE AMARGO 56% FLUIDO</v>
      </c>
    </row>
    <row r="3447" spans="2:8" hidden="1" x14ac:dyDescent="0.35">
      <c r="B3447" s="80" t="s">
        <v>103</v>
      </c>
      <c r="C3447" s="80" t="s">
        <v>99</v>
      </c>
      <c r="D3447" s="73" t="s">
        <v>561</v>
      </c>
      <c r="E3447" s="74">
        <v>0.17</v>
      </c>
      <c r="F3447" s="78" t="s">
        <v>237</v>
      </c>
      <c r="G3447" s="77" t="s">
        <v>551</v>
      </c>
      <c r="H3447" t="str">
        <f>VLOOKUP(D3447,'DETALLE PRECIO INGREDIENTES'!B:B,1,0)</f>
        <v>CHOCOLATE DE LECHE 33%</v>
      </c>
    </row>
    <row r="3448" spans="2:8" hidden="1" x14ac:dyDescent="0.35">
      <c r="B3448" s="80" t="s">
        <v>103</v>
      </c>
      <c r="C3448" s="80" t="s">
        <v>99</v>
      </c>
      <c r="D3448" s="73" t="s">
        <v>739</v>
      </c>
      <c r="E3448" s="74">
        <v>0.1</v>
      </c>
      <c r="F3448" s="78" t="s">
        <v>222</v>
      </c>
      <c r="G3448" s="77" t="s">
        <v>736</v>
      </c>
      <c r="H3448" t="str">
        <f>VLOOKUP(D3448,'DETALLE PRECIO INGREDIENTES'!B:B,1,0)</f>
        <v>CREMA DE LECHE</v>
      </c>
    </row>
    <row r="3449" spans="2:8" hidden="1" x14ac:dyDescent="0.35">
      <c r="B3449" s="80" t="s">
        <v>103</v>
      </c>
      <c r="C3449" s="80" t="s">
        <v>99</v>
      </c>
      <c r="D3449" s="73" t="s">
        <v>281</v>
      </c>
      <c r="E3449" s="74">
        <v>1.4999999999999999E-2</v>
      </c>
      <c r="F3449" s="78" t="s">
        <v>237</v>
      </c>
      <c r="G3449" s="77" t="s">
        <v>220</v>
      </c>
      <c r="H3449" t="str">
        <f>VLOOKUP(D3449,'DETALLE PRECIO INGREDIENTES'!B:B,1,0)</f>
        <v>AZUCAR INVERTIDA</v>
      </c>
    </row>
    <row r="3450" spans="2:8" hidden="1" x14ac:dyDescent="0.35">
      <c r="B3450" s="80" t="s">
        <v>103</v>
      </c>
      <c r="C3450" s="80" t="s">
        <v>99</v>
      </c>
      <c r="D3450" s="73" t="s">
        <v>751</v>
      </c>
      <c r="E3450" s="74">
        <v>0.1</v>
      </c>
      <c r="F3450" s="78" t="s">
        <v>237</v>
      </c>
      <c r="G3450" s="77" t="s">
        <v>736</v>
      </c>
      <c r="H3450" t="str">
        <f>VLOOKUP(D3450,'DETALLE PRECIO INGREDIENTES'!B:B,1,0)</f>
        <v>MANTEQUILLA SIN SAL</v>
      </c>
    </row>
    <row r="3451" spans="2:8" hidden="1" x14ac:dyDescent="0.35">
      <c r="B3451" s="80" t="s">
        <v>103</v>
      </c>
      <c r="C3451" s="80" t="s">
        <v>99</v>
      </c>
      <c r="D3451" s="73" t="s">
        <v>471</v>
      </c>
      <c r="E3451" s="74">
        <v>0.15</v>
      </c>
      <c r="F3451" s="78" t="s">
        <v>259</v>
      </c>
      <c r="G3451" s="77" t="s">
        <v>220</v>
      </c>
      <c r="H3451" t="str">
        <f>VLOOKUP(D3451,'DETALLE PRECIO INGREDIENTES'!B:B,1,0)</f>
        <v>VAINA VAINILLA</v>
      </c>
    </row>
    <row r="3452" spans="2:8" hidden="1" x14ac:dyDescent="0.35">
      <c r="B3452" s="80" t="s">
        <v>103</v>
      </c>
      <c r="C3452" s="80" t="s">
        <v>99</v>
      </c>
      <c r="D3452" s="73" t="s">
        <v>348</v>
      </c>
      <c r="E3452" s="74">
        <v>0.05</v>
      </c>
      <c r="F3452" s="78" t="s">
        <v>237</v>
      </c>
      <c r="G3452" s="77" t="s">
        <v>220</v>
      </c>
      <c r="H3452" t="str">
        <f>VLOOKUP(D3452,'DETALLE PRECIO INGREDIENTES'!B:B,1,0)</f>
        <v>GLUCOSA</v>
      </c>
    </row>
    <row r="3453" spans="2:8" hidden="1" x14ac:dyDescent="0.35">
      <c r="B3453" s="80" t="s">
        <v>103</v>
      </c>
      <c r="C3453" s="80" t="s">
        <v>99</v>
      </c>
      <c r="D3453" s="73" t="s">
        <v>277</v>
      </c>
      <c r="E3453" s="74">
        <v>0.1</v>
      </c>
      <c r="F3453" s="78" t="s">
        <v>237</v>
      </c>
      <c r="G3453" s="77" t="s">
        <v>220</v>
      </c>
      <c r="H3453" t="str">
        <f>VLOOKUP(D3453,'DETALLE PRECIO INGREDIENTES'!B:B,1,0)</f>
        <v>AZUCAR BLANCA GRANULADA</v>
      </c>
    </row>
    <row r="3454" spans="2:8" hidden="1" x14ac:dyDescent="0.35">
      <c r="B3454" s="80" t="s">
        <v>103</v>
      </c>
      <c r="C3454" s="80" t="s">
        <v>99</v>
      </c>
      <c r="D3454" s="73" t="s">
        <v>599</v>
      </c>
      <c r="E3454" s="74">
        <v>2.5000000000000001E-2</v>
      </c>
      <c r="F3454" s="78" t="s">
        <v>237</v>
      </c>
      <c r="G3454" s="77" t="s">
        <v>587</v>
      </c>
      <c r="H3454" t="str">
        <f>VLOOKUP(D3454,'DETALLE PRECIO INGREDIENTES'!B:B,1,0)</f>
        <v>PULPA DE MARACUYA SIN SEMILLA</v>
      </c>
    </row>
    <row r="3455" spans="2:8" hidden="1" x14ac:dyDescent="0.35">
      <c r="B3455" s="80" t="s">
        <v>103</v>
      </c>
      <c r="C3455" s="80" t="s">
        <v>99</v>
      </c>
      <c r="D3455" s="73" t="s">
        <v>562</v>
      </c>
      <c r="E3455" s="74">
        <v>0.1</v>
      </c>
      <c r="F3455" s="78" t="s">
        <v>237</v>
      </c>
      <c r="G3455" s="77" t="s">
        <v>551</v>
      </c>
      <c r="H3455" t="str">
        <f>VLOOKUP(D3455,'DETALLE PRECIO INGREDIENTES'!B:B,1,0)</f>
        <v>CHOCOLATE ECUADOR BLANCO 31%</v>
      </c>
    </row>
    <row r="3456" spans="2:8" hidden="1" x14ac:dyDescent="0.35">
      <c r="B3456" s="80" t="s">
        <v>103</v>
      </c>
      <c r="C3456" s="80" t="s">
        <v>99</v>
      </c>
      <c r="D3456" s="73" t="s">
        <v>570</v>
      </c>
      <c r="E3456" s="74">
        <v>0.08</v>
      </c>
      <c r="F3456" s="78" t="s">
        <v>237</v>
      </c>
      <c r="G3456" s="77" t="s">
        <v>551</v>
      </c>
      <c r="H3456" t="str">
        <f>VLOOKUP(D3456,'DETALLE PRECIO INGREDIENTES'!B:B,1,0)</f>
        <v>MANTECA DE CACAO</v>
      </c>
    </row>
    <row r="3457" spans="2:8" hidden="1" x14ac:dyDescent="0.35">
      <c r="B3457" s="80" t="s">
        <v>103</v>
      </c>
      <c r="C3457" s="80" t="s">
        <v>99</v>
      </c>
      <c r="D3457" s="73" t="s">
        <v>705</v>
      </c>
      <c r="E3457" s="74">
        <v>0.08</v>
      </c>
      <c r="F3457" s="78" t="s">
        <v>237</v>
      </c>
      <c r="G3457" s="77" t="s">
        <v>621</v>
      </c>
      <c r="H3457" t="str">
        <f>VLOOKUP(D3457,'DETALLE PRECIO INGREDIENTES'!B:B,1,0)</f>
        <v>PLATANOS</v>
      </c>
    </row>
    <row r="3458" spans="2:8" hidden="1" x14ac:dyDescent="0.35">
      <c r="B3458" s="80" t="s">
        <v>103</v>
      </c>
      <c r="C3458" s="80" t="s">
        <v>99</v>
      </c>
      <c r="D3458" s="73" t="s">
        <v>421</v>
      </c>
      <c r="E3458" s="74">
        <v>2E-3</v>
      </c>
      <c r="F3458" s="78" t="s">
        <v>237</v>
      </c>
      <c r="G3458" s="77" t="s">
        <v>220</v>
      </c>
      <c r="H3458" t="str">
        <f>VLOOKUP(D3458,'DETALLE PRECIO INGREDIENTES'!B:B,1,0)</f>
        <v>PECTINA AMARILLA MEDIUM RAPIDA</v>
      </c>
    </row>
    <row r="3459" spans="2:8" hidden="1" x14ac:dyDescent="0.35">
      <c r="B3459" s="80" t="s">
        <v>103</v>
      </c>
      <c r="C3459" s="80" t="s">
        <v>99</v>
      </c>
      <c r="D3459" s="73" t="s">
        <v>243</v>
      </c>
      <c r="E3459" s="74">
        <v>2E-3</v>
      </c>
      <c r="F3459" s="78" t="s">
        <v>237</v>
      </c>
      <c r="G3459" s="77" t="s">
        <v>220</v>
      </c>
      <c r="H3459" t="str">
        <f>VLOOKUP(D3459,'DETALLE PRECIO INGREDIENTES'!B:B,1,0)</f>
        <v>ACIDO CITRICO</v>
      </c>
    </row>
    <row r="3460" spans="2:8" hidden="1" x14ac:dyDescent="0.35">
      <c r="B3460" s="80" t="s">
        <v>103</v>
      </c>
      <c r="C3460" s="80" t="s">
        <v>99</v>
      </c>
      <c r="D3460" s="73" t="s">
        <v>322</v>
      </c>
      <c r="E3460" s="74">
        <v>1.0999999999999999E-2</v>
      </c>
      <c r="F3460" s="78" t="s">
        <v>237</v>
      </c>
      <c r="G3460" s="77" t="s">
        <v>220</v>
      </c>
      <c r="H3460" t="str">
        <f>VLOOKUP(D3460,'DETALLE PRECIO INGREDIENTES'!B:B,1,0)</f>
        <v>DEXTROSA</v>
      </c>
    </row>
    <row r="3461" spans="2:8" hidden="1" x14ac:dyDescent="0.35">
      <c r="B3461" s="80" t="s">
        <v>103</v>
      </c>
      <c r="C3461" s="80" t="s">
        <v>99</v>
      </c>
      <c r="D3461" s="73" t="s">
        <v>590</v>
      </c>
      <c r="E3461" s="74">
        <v>0.03</v>
      </c>
      <c r="F3461" s="78" t="s">
        <v>237</v>
      </c>
      <c r="G3461" s="77" t="s">
        <v>587</v>
      </c>
      <c r="H3461" t="str">
        <f>VLOOKUP(D3461,'DETALLE PRECIO INGREDIENTES'!B:B,1,0)</f>
        <v>PULPA DE CHIRIMOYA</v>
      </c>
    </row>
    <row r="3462" spans="2:8" hidden="1" x14ac:dyDescent="0.35">
      <c r="B3462" s="80" t="s">
        <v>103</v>
      </c>
      <c r="C3462" s="80" t="s">
        <v>99</v>
      </c>
      <c r="D3462" s="73" t="s">
        <v>461</v>
      </c>
      <c r="E3462" s="74">
        <v>3.0000000000000001E-3</v>
      </c>
      <c r="F3462" s="78" t="s">
        <v>237</v>
      </c>
      <c r="G3462" s="77" t="s">
        <v>220</v>
      </c>
      <c r="H3462" t="str">
        <f>VLOOKUP(D3462,'DETALLE PRECIO INGREDIENTES'!B:B,1,0)</f>
        <v>SORBITOL</v>
      </c>
    </row>
    <row r="3463" spans="2:8" hidden="1" x14ac:dyDescent="0.35">
      <c r="B3463" s="80" t="s">
        <v>103</v>
      </c>
      <c r="C3463" s="80" t="s">
        <v>99</v>
      </c>
      <c r="D3463" s="73" t="s">
        <v>690</v>
      </c>
      <c r="E3463" s="74">
        <v>0.1</v>
      </c>
      <c r="F3463" s="78" t="s">
        <v>237</v>
      </c>
      <c r="G3463" s="77" t="s">
        <v>621</v>
      </c>
      <c r="H3463" t="str">
        <f>VLOOKUP(D3463,'DETALLE PRECIO INGREDIENTES'!B:B,1,0)</f>
        <v>NARANJA DE JUGO</v>
      </c>
    </row>
    <row r="3464" spans="2:8" hidden="1" x14ac:dyDescent="0.35">
      <c r="B3464" s="80" t="s">
        <v>103</v>
      </c>
      <c r="C3464" s="80" t="s">
        <v>99</v>
      </c>
      <c r="D3464" s="73" t="s">
        <v>780</v>
      </c>
      <c r="E3464" s="74">
        <v>8.0000000000000002E-3</v>
      </c>
      <c r="F3464" s="78" t="s">
        <v>259</v>
      </c>
      <c r="G3464" s="77" t="s">
        <v>776</v>
      </c>
      <c r="H3464" t="str">
        <f>VLOOKUP(D3464,'DETALLE PRECIO INGREDIENTES'!B:B,1,0)</f>
        <v>GRAND MANIER</v>
      </c>
    </row>
    <row r="3465" spans="2:8" hidden="1" x14ac:dyDescent="0.35">
      <c r="B3465" s="80" t="s">
        <v>103</v>
      </c>
      <c r="C3465" s="80" t="s">
        <v>99</v>
      </c>
      <c r="D3465" s="73" t="s">
        <v>571</v>
      </c>
      <c r="E3465" s="74">
        <v>0.08</v>
      </c>
      <c r="F3465" s="78" t="s">
        <v>259</v>
      </c>
      <c r="G3465" s="77" t="s">
        <v>551</v>
      </c>
      <c r="H3465" t="str">
        <f>VLOOKUP(D3465,'DETALLE PRECIO INGREDIENTES'!B:B,1,0)</f>
        <v>MANTECA DE CACAO COLOR BLANCO</v>
      </c>
    </row>
    <row r="3466" spans="2:8" hidden="1" x14ac:dyDescent="0.35">
      <c r="B3466" s="80" t="s">
        <v>103</v>
      </c>
      <c r="C3466" s="80" t="s">
        <v>99</v>
      </c>
      <c r="D3466" s="73" t="s">
        <v>583</v>
      </c>
      <c r="E3466" s="74">
        <v>0.01</v>
      </c>
      <c r="F3466" s="78" t="s">
        <v>259</v>
      </c>
      <c r="G3466" s="77" t="s">
        <v>573</v>
      </c>
      <c r="H3466" t="str">
        <f>VLOOKUP(D3466,'DETALLE PRECIO INGREDIENTES'!B:B,1,0)</f>
        <v>COLORANTE LIPOSOLUBLE AZUL LIQUIDO</v>
      </c>
    </row>
    <row r="3467" spans="2:8" hidden="1" x14ac:dyDescent="0.35">
      <c r="B3467" s="80" t="s">
        <v>103</v>
      </c>
      <c r="C3467" s="80" t="s">
        <v>99</v>
      </c>
      <c r="D3467" s="73" t="s">
        <v>582</v>
      </c>
      <c r="E3467" s="74">
        <v>0.01</v>
      </c>
      <c r="F3467" s="78" t="s">
        <v>259</v>
      </c>
      <c r="G3467" s="77" t="s">
        <v>573</v>
      </c>
      <c r="H3467" t="str">
        <f>VLOOKUP(D3467,'DETALLE PRECIO INGREDIENTES'!B:B,1,0)</f>
        <v>COLORANTE LIPOSOLUBLE AMARILLO LIQUIDO</v>
      </c>
    </row>
    <row r="3468" spans="2:8" hidden="1" x14ac:dyDescent="0.35">
      <c r="B3468" s="80" t="s">
        <v>103</v>
      </c>
      <c r="C3468" s="80" t="s">
        <v>99</v>
      </c>
      <c r="D3468" s="73" t="s">
        <v>584</v>
      </c>
      <c r="E3468" s="74">
        <v>0.01</v>
      </c>
      <c r="F3468" s="78" t="s">
        <v>259</v>
      </c>
      <c r="G3468" s="77" t="s">
        <v>573</v>
      </c>
      <c r="H3468" t="str">
        <f>VLOOKUP(D3468,'DETALLE PRECIO INGREDIENTES'!B:B,1,0)</f>
        <v>COLORANTE LIPOSOLUBLE ROJO LIQUIDO</v>
      </c>
    </row>
    <row r="3469" spans="2:8" hidden="1" x14ac:dyDescent="0.35">
      <c r="B3469" s="80" t="s">
        <v>103</v>
      </c>
      <c r="C3469" s="80" t="s">
        <v>99</v>
      </c>
      <c r="D3469" s="73" t="s">
        <v>585</v>
      </c>
      <c r="E3469" s="74">
        <v>0.01</v>
      </c>
      <c r="F3469" s="78" t="s">
        <v>259</v>
      </c>
      <c r="G3469" s="77" t="s">
        <v>573</v>
      </c>
      <c r="H3469" t="str">
        <f>VLOOKUP(D3469,'DETALLE PRECIO INGREDIENTES'!B:B,1,0)</f>
        <v>COLORANTE LIPOSOLUBLE VERDE LIQUIDO</v>
      </c>
    </row>
    <row r="3470" spans="2:8" hidden="1" x14ac:dyDescent="0.35">
      <c r="B3470" s="80" t="s">
        <v>103</v>
      </c>
      <c r="C3470" s="80" t="s">
        <v>99</v>
      </c>
      <c r="D3470" s="73" t="s">
        <v>586</v>
      </c>
      <c r="E3470" s="74">
        <v>5.0000000000000001E-3</v>
      </c>
      <c r="F3470" s="78" t="s">
        <v>259</v>
      </c>
      <c r="G3470" s="77" t="s">
        <v>573</v>
      </c>
      <c r="H3470" t="str">
        <f>VLOOKUP(D3470,'DETALLE PRECIO INGREDIENTES'!B:B,1,0)</f>
        <v>COLORANTE METALICO ORO</v>
      </c>
    </row>
    <row r="3471" spans="2:8" hidden="1" x14ac:dyDescent="0.35">
      <c r="B3471" s="80" t="s">
        <v>103</v>
      </c>
      <c r="C3471" s="80" t="s">
        <v>99</v>
      </c>
      <c r="D3471" s="73" t="s">
        <v>510</v>
      </c>
      <c r="E3471" s="74">
        <v>1</v>
      </c>
      <c r="F3471" s="78" t="s">
        <v>259</v>
      </c>
      <c r="G3471" s="77" t="s">
        <v>485</v>
      </c>
      <c r="H3471" t="str">
        <f>VLOOKUP(D3471,'DETALLE PRECIO INGREDIENTES'!B:B,1,0)</f>
        <v>PAPEL CERESINADO ALIMENTOS</v>
      </c>
    </row>
    <row r="3472" spans="2:8" hidden="1" x14ac:dyDescent="0.35">
      <c r="B3472" s="80" t="s">
        <v>103</v>
      </c>
      <c r="C3472" s="80" t="s">
        <v>99</v>
      </c>
      <c r="D3472" s="73" t="s">
        <v>512</v>
      </c>
      <c r="E3472" s="74">
        <v>1</v>
      </c>
      <c r="F3472" s="78" t="s">
        <v>259</v>
      </c>
      <c r="G3472" s="77" t="s">
        <v>485</v>
      </c>
      <c r="H3472" t="str">
        <f>VLOOKUP(D3472,'DETALLE PRECIO INGREDIENTES'!B:B,1,0)</f>
        <v>PAPEL GUITARRA</v>
      </c>
    </row>
    <row r="3473" spans="2:8" hidden="1" x14ac:dyDescent="0.35">
      <c r="B3473" s="80" t="s">
        <v>103</v>
      </c>
      <c r="C3473" s="80" t="s">
        <v>99</v>
      </c>
      <c r="D3473" s="73" t="s">
        <v>503</v>
      </c>
      <c r="E3473" s="74">
        <v>2.5</v>
      </c>
      <c r="F3473" s="78" t="s">
        <v>259</v>
      </c>
      <c r="G3473" s="77" t="s">
        <v>485</v>
      </c>
      <c r="H3473" t="str">
        <f>VLOOKUP(D3473,'DETALLE PRECIO INGREDIENTES'!B:B,1,0)</f>
        <v>MANGAS DESECHABLES PEQUEÑAS</v>
      </c>
    </row>
    <row r="3474" spans="2:8" hidden="1" x14ac:dyDescent="0.35">
      <c r="B3474" s="80" t="s">
        <v>103</v>
      </c>
      <c r="C3474" s="80" t="s">
        <v>99</v>
      </c>
      <c r="D3474" s="73" t="s">
        <v>567</v>
      </c>
      <c r="E3474" s="74">
        <v>0.05</v>
      </c>
      <c r="F3474" s="78" t="s">
        <v>237</v>
      </c>
      <c r="G3474" s="77" t="s">
        <v>551</v>
      </c>
      <c r="H3474" t="str">
        <f>VLOOKUP(D3474,'DETALLE PRECIO INGREDIENTES'!B:B,1,0)</f>
        <v>COBERTURA LECHE</v>
      </c>
    </row>
    <row r="3475" spans="2:8" hidden="1" x14ac:dyDescent="0.35">
      <c r="B3475" s="80" t="s">
        <v>103</v>
      </c>
      <c r="C3475" s="80" t="s">
        <v>99</v>
      </c>
      <c r="D3475" s="73" t="s">
        <v>566</v>
      </c>
      <c r="E3475" s="74">
        <v>0.1</v>
      </c>
      <c r="F3475" s="78" t="s">
        <v>237</v>
      </c>
      <c r="G3475" s="77" t="s">
        <v>551</v>
      </c>
      <c r="H3475" t="str">
        <f>VLOOKUP(D3475,'DETALLE PRECIO INGREDIENTES'!B:B,1,0)</f>
        <v>COBERTURA BLANCA</v>
      </c>
    </row>
    <row r="3476" spans="2:8" hidden="1" x14ac:dyDescent="0.35">
      <c r="B3476" s="80" t="s">
        <v>103</v>
      </c>
      <c r="C3476" s="80" t="s">
        <v>98</v>
      </c>
      <c r="D3476" s="73" t="s">
        <v>561</v>
      </c>
      <c r="E3476" s="74">
        <v>0.3</v>
      </c>
      <c r="F3476" s="78" t="s">
        <v>237</v>
      </c>
      <c r="G3476" s="77" t="s">
        <v>551</v>
      </c>
      <c r="H3476" t="str">
        <f>VLOOKUP(D3476,'DETALLE PRECIO INGREDIENTES'!B:B,1,0)</f>
        <v>CHOCOLATE DE LECHE 33%</v>
      </c>
    </row>
    <row r="3477" spans="2:8" hidden="1" x14ac:dyDescent="0.35">
      <c r="B3477" s="80" t="s">
        <v>103</v>
      </c>
      <c r="C3477" s="80" t="s">
        <v>98</v>
      </c>
      <c r="D3477" s="73" t="s">
        <v>739</v>
      </c>
      <c r="E3477" s="74">
        <v>7.0000000000000007E-2</v>
      </c>
      <c r="F3477" s="78" t="s">
        <v>222</v>
      </c>
      <c r="G3477" s="77" t="s">
        <v>736</v>
      </c>
      <c r="H3477" t="str">
        <f>VLOOKUP(D3477,'DETALLE PRECIO INGREDIENTES'!B:B,1,0)</f>
        <v>CREMA DE LECHE</v>
      </c>
    </row>
    <row r="3478" spans="2:8" hidden="1" x14ac:dyDescent="0.35">
      <c r="B3478" s="80" t="s">
        <v>103</v>
      </c>
      <c r="C3478" s="80" t="s">
        <v>98</v>
      </c>
      <c r="D3478" s="73" t="s">
        <v>751</v>
      </c>
      <c r="E3478" s="74">
        <v>0.02</v>
      </c>
      <c r="F3478" s="78" t="s">
        <v>237</v>
      </c>
      <c r="G3478" s="77" t="s">
        <v>736</v>
      </c>
      <c r="H3478" t="str">
        <f>VLOOKUP(D3478,'DETALLE PRECIO INGREDIENTES'!B:B,1,0)</f>
        <v>MANTEQUILLA SIN SAL</v>
      </c>
    </row>
    <row r="3479" spans="2:8" hidden="1" x14ac:dyDescent="0.35">
      <c r="B3479" s="80" t="s">
        <v>103</v>
      </c>
      <c r="C3479" s="80" t="s">
        <v>98</v>
      </c>
      <c r="D3479" s="73" t="s">
        <v>348</v>
      </c>
      <c r="E3479" s="74">
        <v>7.0000000000000007E-2</v>
      </c>
      <c r="F3479" s="78" t="s">
        <v>237</v>
      </c>
      <c r="G3479" s="77" t="s">
        <v>220</v>
      </c>
      <c r="H3479" t="str">
        <f>VLOOKUP(D3479,'DETALLE PRECIO INGREDIENTES'!B:B,1,0)</f>
        <v>GLUCOSA</v>
      </c>
    </row>
    <row r="3480" spans="2:8" hidden="1" x14ac:dyDescent="0.35">
      <c r="B3480" s="80" t="s">
        <v>103</v>
      </c>
      <c r="C3480" s="80" t="s">
        <v>98</v>
      </c>
      <c r="D3480" s="73" t="s">
        <v>277</v>
      </c>
      <c r="E3480" s="74">
        <v>0.2</v>
      </c>
      <c r="F3480" s="78" t="s">
        <v>237</v>
      </c>
      <c r="G3480" s="77" t="s">
        <v>220</v>
      </c>
      <c r="H3480" t="str">
        <f>VLOOKUP(D3480,'DETALLE PRECIO INGREDIENTES'!B:B,1,0)</f>
        <v>AZUCAR BLANCA GRANULADA</v>
      </c>
    </row>
    <row r="3481" spans="2:8" hidden="1" x14ac:dyDescent="0.35">
      <c r="B3481" s="80" t="s">
        <v>103</v>
      </c>
      <c r="C3481" s="80" t="s">
        <v>98</v>
      </c>
      <c r="D3481" s="73" t="s">
        <v>599</v>
      </c>
      <c r="E3481" s="74">
        <v>0.05</v>
      </c>
      <c r="F3481" s="78" t="s">
        <v>237</v>
      </c>
      <c r="G3481" s="77" t="s">
        <v>587</v>
      </c>
      <c r="H3481" t="str">
        <f>VLOOKUP(D3481,'DETALLE PRECIO INGREDIENTES'!B:B,1,0)</f>
        <v>PULPA DE MARACUYA SIN SEMILLA</v>
      </c>
    </row>
    <row r="3482" spans="2:8" hidden="1" x14ac:dyDescent="0.35">
      <c r="B3482" s="80" t="s">
        <v>103</v>
      </c>
      <c r="C3482" s="80" t="s">
        <v>98</v>
      </c>
      <c r="D3482" s="73" t="s">
        <v>566</v>
      </c>
      <c r="E3482" s="74">
        <v>0.01</v>
      </c>
      <c r="F3482" s="78" t="s">
        <v>237</v>
      </c>
      <c r="G3482" s="77" t="s">
        <v>551</v>
      </c>
      <c r="H3482" t="str">
        <f>VLOOKUP(D3482,'DETALLE PRECIO INGREDIENTES'!B:B,1,0)</f>
        <v>COBERTURA BLANCA</v>
      </c>
    </row>
    <row r="3483" spans="2:8" hidden="1" x14ac:dyDescent="0.35">
      <c r="B3483" s="80" t="s">
        <v>103</v>
      </c>
      <c r="C3483" s="80" t="s">
        <v>98</v>
      </c>
      <c r="D3483" s="73" t="s">
        <v>570</v>
      </c>
      <c r="E3483" s="74">
        <v>0.04</v>
      </c>
      <c r="F3483" s="78" t="s">
        <v>237</v>
      </c>
      <c r="G3483" s="77" t="s">
        <v>551</v>
      </c>
      <c r="H3483" t="str">
        <f>VLOOKUP(D3483,'DETALLE PRECIO INGREDIENTES'!B:B,1,0)</f>
        <v>MANTECA DE CACAO</v>
      </c>
    </row>
    <row r="3484" spans="2:8" hidden="1" x14ac:dyDescent="0.35">
      <c r="B3484" s="80" t="s">
        <v>103</v>
      </c>
      <c r="C3484" s="80" t="s">
        <v>98</v>
      </c>
      <c r="D3484" s="73" t="s">
        <v>705</v>
      </c>
      <c r="E3484" s="74">
        <v>0.1</v>
      </c>
      <c r="F3484" s="78" t="s">
        <v>237</v>
      </c>
      <c r="G3484" s="77" t="s">
        <v>621</v>
      </c>
      <c r="H3484" t="str">
        <f>VLOOKUP(D3484,'DETALLE PRECIO INGREDIENTES'!B:B,1,0)</f>
        <v>PLATANOS</v>
      </c>
    </row>
    <row r="3485" spans="2:8" hidden="1" x14ac:dyDescent="0.35">
      <c r="B3485" s="80" t="s">
        <v>103</v>
      </c>
      <c r="C3485" s="80" t="s">
        <v>98</v>
      </c>
      <c r="D3485" s="73" t="s">
        <v>421</v>
      </c>
      <c r="E3485" s="74">
        <v>2E-3</v>
      </c>
      <c r="F3485" s="78" t="s">
        <v>237</v>
      </c>
      <c r="G3485" s="77" t="s">
        <v>220</v>
      </c>
      <c r="H3485" t="str">
        <f>VLOOKUP(D3485,'DETALLE PRECIO INGREDIENTES'!B:B,1,0)</f>
        <v>PECTINA AMARILLA MEDIUM RAPIDA</v>
      </c>
    </row>
    <row r="3486" spans="2:8" hidden="1" x14ac:dyDescent="0.35">
      <c r="B3486" s="80" t="s">
        <v>103</v>
      </c>
      <c r="C3486" s="80" t="s">
        <v>98</v>
      </c>
      <c r="D3486" s="73" t="s">
        <v>243</v>
      </c>
      <c r="E3486" s="74">
        <v>2E-3</v>
      </c>
      <c r="F3486" s="78" t="s">
        <v>237</v>
      </c>
      <c r="G3486" s="77" t="s">
        <v>220</v>
      </c>
      <c r="H3486" t="str">
        <f>VLOOKUP(D3486,'DETALLE PRECIO INGREDIENTES'!B:B,1,0)</f>
        <v>ACIDO CITRICO</v>
      </c>
    </row>
    <row r="3487" spans="2:8" hidden="1" x14ac:dyDescent="0.35">
      <c r="B3487" s="80" t="s">
        <v>103</v>
      </c>
      <c r="C3487" s="80" t="s">
        <v>98</v>
      </c>
      <c r="D3487" s="73" t="s">
        <v>571</v>
      </c>
      <c r="E3487" s="74">
        <v>0.05</v>
      </c>
      <c r="F3487" s="78" t="s">
        <v>259</v>
      </c>
      <c r="G3487" s="77" t="s">
        <v>551</v>
      </c>
      <c r="H3487" t="str">
        <f>VLOOKUP(D3487,'DETALLE PRECIO INGREDIENTES'!B:B,1,0)</f>
        <v>MANTECA DE CACAO COLOR BLANCO</v>
      </c>
    </row>
    <row r="3488" spans="2:8" hidden="1" x14ac:dyDescent="0.35">
      <c r="B3488" s="80" t="s">
        <v>103</v>
      </c>
      <c r="C3488" s="80" t="s">
        <v>98</v>
      </c>
      <c r="D3488" s="73" t="s">
        <v>582</v>
      </c>
      <c r="E3488" s="74">
        <v>8.0000000000000002E-3</v>
      </c>
      <c r="F3488" s="78" t="s">
        <v>259</v>
      </c>
      <c r="G3488" s="77" t="s">
        <v>573</v>
      </c>
      <c r="H3488" t="str">
        <f>VLOOKUP(D3488,'DETALLE PRECIO INGREDIENTES'!B:B,1,0)</f>
        <v>COLORANTE LIPOSOLUBLE AMARILLO LIQUIDO</v>
      </c>
    </row>
    <row r="3489" spans="2:8" hidden="1" x14ac:dyDescent="0.35">
      <c r="B3489" s="80" t="s">
        <v>103</v>
      </c>
      <c r="C3489" s="80" t="s">
        <v>98</v>
      </c>
      <c r="D3489" s="73" t="s">
        <v>583</v>
      </c>
      <c r="E3489" s="74">
        <v>8.0000000000000002E-3</v>
      </c>
      <c r="F3489" s="78" t="s">
        <v>259</v>
      </c>
      <c r="G3489" s="77" t="s">
        <v>573</v>
      </c>
      <c r="H3489" t="str">
        <f>VLOOKUP(D3489,'DETALLE PRECIO INGREDIENTES'!B:B,1,0)</f>
        <v>COLORANTE LIPOSOLUBLE AZUL LIQUIDO</v>
      </c>
    </row>
    <row r="3490" spans="2:8" hidden="1" x14ac:dyDescent="0.35">
      <c r="B3490" s="80" t="s">
        <v>103</v>
      </c>
      <c r="C3490" s="80" t="s">
        <v>98</v>
      </c>
      <c r="D3490" s="73" t="s">
        <v>584</v>
      </c>
      <c r="E3490" s="74">
        <v>8.0000000000000002E-3</v>
      </c>
      <c r="F3490" s="78" t="s">
        <v>259</v>
      </c>
      <c r="G3490" s="77" t="s">
        <v>573</v>
      </c>
      <c r="H3490" t="str">
        <f>VLOOKUP(D3490,'DETALLE PRECIO INGREDIENTES'!B:B,1,0)</f>
        <v>COLORANTE LIPOSOLUBLE ROJO LIQUIDO</v>
      </c>
    </row>
    <row r="3491" spans="2:8" hidden="1" x14ac:dyDescent="0.35">
      <c r="B3491" s="80" t="s">
        <v>103</v>
      </c>
      <c r="C3491" s="80" t="s">
        <v>98</v>
      </c>
      <c r="D3491" s="73" t="s">
        <v>585</v>
      </c>
      <c r="E3491" s="74">
        <v>8.0000000000000002E-3</v>
      </c>
      <c r="F3491" s="78" t="s">
        <v>259</v>
      </c>
      <c r="G3491" s="77" t="s">
        <v>573</v>
      </c>
      <c r="H3491" t="str">
        <f>VLOOKUP(D3491,'DETALLE PRECIO INGREDIENTES'!B:B,1,0)</f>
        <v>COLORANTE LIPOSOLUBLE VERDE LIQUIDO</v>
      </c>
    </row>
    <row r="3492" spans="2:8" hidden="1" x14ac:dyDescent="0.35">
      <c r="B3492" s="80" t="s">
        <v>103</v>
      </c>
      <c r="C3492" s="80" t="s">
        <v>98</v>
      </c>
      <c r="D3492" s="73" t="s">
        <v>686</v>
      </c>
      <c r="E3492" s="74">
        <v>0.2</v>
      </c>
      <c r="F3492" s="78" t="s">
        <v>237</v>
      </c>
      <c r="G3492" s="77" t="s">
        <v>621</v>
      </c>
      <c r="H3492" t="str">
        <f>VLOOKUP(D3492,'DETALLE PRECIO INGREDIENTES'!B:B,1,0)</f>
        <v>MIX DE BERRIES CONGELADO</v>
      </c>
    </row>
    <row r="3493" spans="2:8" hidden="1" x14ac:dyDescent="0.35">
      <c r="B3493" s="80" t="s">
        <v>103</v>
      </c>
      <c r="C3493" s="80" t="s">
        <v>98</v>
      </c>
      <c r="D3493" s="73" t="s">
        <v>680</v>
      </c>
      <c r="E3493" s="74">
        <v>0.1</v>
      </c>
      <c r="F3493" s="78" t="s">
        <v>237</v>
      </c>
      <c r="G3493" s="77" t="s">
        <v>621</v>
      </c>
      <c r="H3493" t="str">
        <f>VLOOKUP(D3493,'DETALLE PRECIO INGREDIENTES'!B:B,1,0)</f>
        <v>LIMON DE JUGO</v>
      </c>
    </row>
    <row r="3494" spans="2:8" hidden="1" x14ac:dyDescent="0.35">
      <c r="B3494" s="80" t="s">
        <v>103</v>
      </c>
      <c r="C3494" s="80" t="s">
        <v>98</v>
      </c>
      <c r="D3494" s="73" t="s">
        <v>499</v>
      </c>
      <c r="E3494" s="74">
        <v>1</v>
      </c>
      <c r="F3494" s="78" t="s">
        <v>259</v>
      </c>
      <c r="G3494" s="77" t="s">
        <v>485</v>
      </c>
      <c r="H3494" t="str">
        <f>VLOOKUP(D3494,'DETALLE PRECIO INGREDIENTES'!B:B,1,0)</f>
        <v>FRASCO CONSERVA 250 CC CON TAPA</v>
      </c>
    </row>
    <row r="3495" spans="2:8" hidden="1" x14ac:dyDescent="0.35">
      <c r="B3495" s="80" t="s">
        <v>103</v>
      </c>
      <c r="C3495" s="80" t="s">
        <v>98</v>
      </c>
      <c r="D3495" s="73" t="s">
        <v>511</v>
      </c>
      <c r="E3495" s="74">
        <v>1</v>
      </c>
      <c r="F3495" s="78" t="s">
        <v>259</v>
      </c>
      <c r="G3495" s="77" t="s">
        <v>485</v>
      </c>
      <c r="H3495" t="str">
        <f>VLOOKUP(D3495,'DETALLE PRECIO INGREDIENTES'!B:B,1,0)</f>
        <v>PAPEL CERESINADO PLIEGO</v>
      </c>
    </row>
    <row r="3496" spans="2:8" hidden="1" x14ac:dyDescent="0.35">
      <c r="B3496" s="80" t="s">
        <v>103</v>
      </c>
      <c r="C3496" s="80" t="s">
        <v>98</v>
      </c>
      <c r="D3496" s="73" t="s">
        <v>512</v>
      </c>
      <c r="E3496" s="74">
        <v>1</v>
      </c>
      <c r="F3496" s="78" t="s">
        <v>259</v>
      </c>
      <c r="G3496" s="77" t="s">
        <v>485</v>
      </c>
      <c r="H3496" t="str">
        <f>VLOOKUP(D3496,'DETALLE PRECIO INGREDIENTES'!B:B,1,0)</f>
        <v>PAPEL GUITARRA</v>
      </c>
    </row>
    <row r="3497" spans="2:8" hidden="1" x14ac:dyDescent="0.35">
      <c r="B3497" s="80" t="s">
        <v>103</v>
      </c>
      <c r="C3497" s="80" t="s">
        <v>98</v>
      </c>
      <c r="D3497" s="73" t="s">
        <v>503</v>
      </c>
      <c r="E3497" s="74">
        <v>2</v>
      </c>
      <c r="F3497" s="78" t="s">
        <v>259</v>
      </c>
      <c r="G3497" s="77" t="s">
        <v>485</v>
      </c>
      <c r="H3497" t="str">
        <f>VLOOKUP(D3497,'DETALLE PRECIO INGREDIENTES'!B:B,1,0)</f>
        <v>MANGAS DESECHABLES PEQUEÑAS</v>
      </c>
    </row>
    <row r="3498" spans="2:8" hidden="1" x14ac:dyDescent="0.35">
      <c r="B3498" s="80" t="s">
        <v>103</v>
      </c>
      <c r="C3498" s="80" t="s">
        <v>97</v>
      </c>
      <c r="D3498" s="73" t="s">
        <v>722</v>
      </c>
      <c r="E3498" s="74">
        <v>0.15</v>
      </c>
      <c r="F3498" s="78" t="s">
        <v>237</v>
      </c>
      <c r="G3498" s="77" t="s">
        <v>621</v>
      </c>
      <c r="H3498" t="str">
        <f>VLOOKUP(D3498,'DETALLE PRECIO INGREDIENTES'!B:B,1,0)</f>
        <v>ZAPALLO CAMOTE</v>
      </c>
    </row>
    <row r="3499" spans="2:8" hidden="1" x14ac:dyDescent="0.35">
      <c r="B3499" s="80" t="s">
        <v>103</v>
      </c>
      <c r="C3499" s="80" t="s">
        <v>97</v>
      </c>
      <c r="D3499" s="73" t="s">
        <v>277</v>
      </c>
      <c r="E3499" s="74">
        <v>0.7</v>
      </c>
      <c r="F3499" s="78" t="s">
        <v>237</v>
      </c>
      <c r="G3499" s="77" t="s">
        <v>220</v>
      </c>
      <c r="H3499" t="str">
        <f>VLOOKUP(D3499,'DETALLE PRECIO INGREDIENTES'!B:B,1,0)</f>
        <v>AZUCAR BLANCA GRANULADA</v>
      </c>
    </row>
    <row r="3500" spans="2:8" hidden="1" x14ac:dyDescent="0.35">
      <c r="B3500" s="80" t="s">
        <v>103</v>
      </c>
      <c r="C3500" s="80" t="s">
        <v>97</v>
      </c>
      <c r="D3500" s="73" t="s">
        <v>293</v>
      </c>
      <c r="E3500" s="74">
        <v>5.0000000000000001E-3</v>
      </c>
      <c r="F3500" s="78" t="s">
        <v>237</v>
      </c>
      <c r="G3500" s="77" t="s">
        <v>220</v>
      </c>
      <c r="H3500" t="str">
        <f>VLOOKUP(D3500,'DETALLE PRECIO INGREDIENTES'!B:B,1,0)</f>
        <v>CANELA ENTERA</v>
      </c>
    </row>
    <row r="3501" spans="2:8" hidden="1" x14ac:dyDescent="0.35">
      <c r="B3501" s="80" t="s">
        <v>103</v>
      </c>
      <c r="C3501" s="80" t="s">
        <v>97</v>
      </c>
      <c r="D3501" s="73" t="s">
        <v>302</v>
      </c>
      <c r="E3501" s="74">
        <v>3.0000000000000001E-3</v>
      </c>
      <c r="F3501" s="78" t="s">
        <v>237</v>
      </c>
      <c r="G3501" s="77" t="s">
        <v>220</v>
      </c>
      <c r="H3501" t="str">
        <f>VLOOKUP(D3501,'DETALLE PRECIO INGREDIENTES'!B:B,1,0)</f>
        <v>CLAVO DE OLOR ENTERO</v>
      </c>
    </row>
    <row r="3502" spans="2:8" hidden="1" x14ac:dyDescent="0.35">
      <c r="B3502" s="80" t="s">
        <v>103</v>
      </c>
      <c r="C3502" s="80" t="s">
        <v>97</v>
      </c>
      <c r="D3502" s="73" t="s">
        <v>680</v>
      </c>
      <c r="E3502" s="74">
        <v>0.1</v>
      </c>
      <c r="F3502" s="78" t="s">
        <v>237</v>
      </c>
      <c r="G3502" s="77" t="s">
        <v>621</v>
      </c>
      <c r="H3502" t="str">
        <f>VLOOKUP(D3502,'DETALLE PRECIO INGREDIENTES'!B:B,1,0)</f>
        <v>LIMON DE JUGO</v>
      </c>
    </row>
    <row r="3503" spans="2:8" hidden="1" x14ac:dyDescent="0.35">
      <c r="B3503" s="80" t="s">
        <v>103</v>
      </c>
      <c r="C3503" s="80" t="s">
        <v>97</v>
      </c>
      <c r="D3503" s="73" t="s">
        <v>499</v>
      </c>
      <c r="E3503" s="74">
        <v>1</v>
      </c>
      <c r="F3503" s="78" t="s">
        <v>259</v>
      </c>
      <c r="G3503" s="77" t="s">
        <v>485</v>
      </c>
      <c r="H3503" t="str">
        <f>VLOOKUP(D3503,'DETALLE PRECIO INGREDIENTES'!B:B,1,0)</f>
        <v>FRASCO CONSERVA 250 CC CON TAPA</v>
      </c>
    </row>
    <row r="3504" spans="2:8" hidden="1" x14ac:dyDescent="0.35">
      <c r="B3504" s="80" t="s">
        <v>103</v>
      </c>
      <c r="C3504" s="80" t="s">
        <v>97</v>
      </c>
      <c r="D3504" s="73" t="s">
        <v>348</v>
      </c>
      <c r="E3504" s="74">
        <v>0.2</v>
      </c>
      <c r="F3504" s="78" t="s">
        <v>237</v>
      </c>
      <c r="G3504" s="77" t="s">
        <v>220</v>
      </c>
      <c r="H3504" t="str">
        <f>VLOOKUP(D3504,'DETALLE PRECIO INGREDIENTES'!B:B,1,0)</f>
        <v>GLUCOSA</v>
      </c>
    </row>
    <row r="3505" spans="2:8" hidden="1" x14ac:dyDescent="0.35">
      <c r="B3505" s="80" t="s">
        <v>103</v>
      </c>
      <c r="C3505" s="80" t="s">
        <v>97</v>
      </c>
      <c r="D3505" s="73" t="s">
        <v>380</v>
      </c>
      <c r="E3505" s="74">
        <v>0.1</v>
      </c>
      <c r="F3505" s="78" t="s">
        <v>237</v>
      </c>
      <c r="G3505" s="77" t="s">
        <v>220</v>
      </c>
      <c r="H3505" t="str">
        <f>VLOOKUP(D3505,'DETALLE PRECIO INGREDIENTES'!B:B,1,0)</f>
        <v>MANI TOSTADO</v>
      </c>
    </row>
    <row r="3506" spans="2:8" hidden="1" x14ac:dyDescent="0.35">
      <c r="B3506" s="80" t="s">
        <v>103</v>
      </c>
      <c r="C3506" s="80" t="s">
        <v>97</v>
      </c>
      <c r="D3506" s="73" t="s">
        <v>751</v>
      </c>
      <c r="E3506" s="74">
        <v>0.05</v>
      </c>
      <c r="F3506" s="78" t="s">
        <v>237</v>
      </c>
      <c r="G3506" s="77" t="s">
        <v>736</v>
      </c>
      <c r="H3506" t="str">
        <f>VLOOKUP(D3506,'DETALLE PRECIO INGREDIENTES'!B:B,1,0)</f>
        <v>MANTEQUILLA SIN SAL</v>
      </c>
    </row>
    <row r="3507" spans="2:8" hidden="1" x14ac:dyDescent="0.35">
      <c r="B3507" s="80" t="s">
        <v>103</v>
      </c>
      <c r="C3507" s="80" t="s">
        <v>97</v>
      </c>
      <c r="D3507" s="73" t="s">
        <v>443</v>
      </c>
      <c r="E3507" s="74">
        <v>1E-3</v>
      </c>
      <c r="F3507" s="78" t="s">
        <v>237</v>
      </c>
      <c r="G3507" s="77" t="s">
        <v>220</v>
      </c>
      <c r="H3507" t="str">
        <f>VLOOKUP(D3507,'DETALLE PRECIO INGREDIENTES'!B:B,1,0)</f>
        <v>SAL DE MAR FINA</v>
      </c>
    </row>
    <row r="3508" spans="2:8" hidden="1" x14ac:dyDescent="0.35">
      <c r="B3508" s="80" t="s">
        <v>103</v>
      </c>
      <c r="C3508" s="80" t="s">
        <v>97</v>
      </c>
      <c r="D3508" s="73" t="s">
        <v>284</v>
      </c>
      <c r="E3508" s="74">
        <v>2E-3</v>
      </c>
      <c r="F3508" s="78" t="s">
        <v>237</v>
      </c>
      <c r="G3508" s="77" t="s">
        <v>220</v>
      </c>
      <c r="H3508" t="str">
        <f>VLOOKUP(D3508,'DETALLE PRECIO INGREDIENTES'!B:B,1,0)</f>
        <v>BICARBONATO DE SODIO</v>
      </c>
    </row>
    <row r="3509" spans="2:8" hidden="1" x14ac:dyDescent="0.35">
      <c r="B3509" s="80" t="s">
        <v>103</v>
      </c>
      <c r="C3509" s="80" t="s">
        <v>97</v>
      </c>
      <c r="D3509" s="73" t="s">
        <v>729</v>
      </c>
      <c r="E3509" s="74">
        <v>1.5</v>
      </c>
      <c r="F3509" s="78" t="s">
        <v>259</v>
      </c>
      <c r="G3509" s="77" t="s">
        <v>728</v>
      </c>
      <c r="H3509" t="str">
        <f>VLOOKUP(D3509,'DETALLE PRECIO INGREDIENTES'!B:B,1,0)</f>
        <v>HUEVO EXTRA BLANCO</v>
      </c>
    </row>
    <row r="3510" spans="2:8" hidden="1" x14ac:dyDescent="0.35">
      <c r="B3510" s="80" t="s">
        <v>103</v>
      </c>
      <c r="C3510" s="80" t="s">
        <v>97</v>
      </c>
      <c r="D3510" s="73" t="s">
        <v>307</v>
      </c>
      <c r="E3510" s="74">
        <v>3</v>
      </c>
      <c r="F3510" s="78" t="s">
        <v>259</v>
      </c>
      <c r="G3510" s="77" t="s">
        <v>220</v>
      </c>
      <c r="H3510" t="str">
        <f>VLOOKUP(D3510,'DETALLE PRECIO INGREDIENTES'!B:B,1,0)</f>
        <v>COLAPEZ POR HOJA</v>
      </c>
    </row>
    <row r="3511" spans="2:8" hidden="1" x14ac:dyDescent="0.35">
      <c r="B3511" s="80" t="s">
        <v>103</v>
      </c>
      <c r="C3511" s="80" t="s">
        <v>97</v>
      </c>
      <c r="D3511" s="73" t="s">
        <v>577</v>
      </c>
      <c r="E3511" s="74">
        <v>5.0000000000000001E-3</v>
      </c>
      <c r="F3511" s="78" t="s">
        <v>259</v>
      </c>
      <c r="G3511" s="77" t="s">
        <v>573</v>
      </c>
      <c r="H3511" t="str">
        <f>VLOOKUP(D3511,'DETALLE PRECIO INGREDIENTES'!B:B,1,0)</f>
        <v>COLORANTE HIDROSOLUBLE POLVO ROJO</v>
      </c>
    </row>
    <row r="3512" spans="2:8" hidden="1" x14ac:dyDescent="0.35">
      <c r="B3512" s="80" t="s">
        <v>103</v>
      </c>
      <c r="C3512" s="80" t="s">
        <v>97</v>
      </c>
      <c r="D3512" s="73" t="s">
        <v>576</v>
      </c>
      <c r="E3512" s="74">
        <v>5.0000000000000001E-3</v>
      </c>
      <c r="F3512" s="78" t="s">
        <v>259</v>
      </c>
      <c r="G3512" s="77" t="s">
        <v>573</v>
      </c>
      <c r="H3512" t="str">
        <f>VLOOKUP(D3512,'DETALLE PRECIO INGREDIENTES'!B:B,1,0)</f>
        <v>COLORANTE HIDROSOLUBLE POLVO AMARILLO</v>
      </c>
    </row>
    <row r="3513" spans="2:8" hidden="1" x14ac:dyDescent="0.35">
      <c r="B3513" s="80" t="s">
        <v>103</v>
      </c>
      <c r="C3513" s="80" t="s">
        <v>97</v>
      </c>
      <c r="D3513" s="73" t="s">
        <v>578</v>
      </c>
      <c r="E3513" s="74">
        <v>5.0000000000000001E-3</v>
      </c>
      <c r="F3513" s="78" t="s">
        <v>259</v>
      </c>
      <c r="G3513" s="77" t="s">
        <v>573</v>
      </c>
      <c r="H3513" t="str">
        <f>VLOOKUP(D3513,'DETALLE PRECIO INGREDIENTES'!B:B,1,0)</f>
        <v>COLORANTE HIDROSOLUBLE POLVO VERDE PISTACHO</v>
      </c>
    </row>
    <row r="3514" spans="2:8" hidden="1" x14ac:dyDescent="0.35">
      <c r="B3514" s="80" t="s">
        <v>103</v>
      </c>
      <c r="C3514" s="80" t="s">
        <v>97</v>
      </c>
      <c r="D3514" s="73" t="s">
        <v>306</v>
      </c>
      <c r="E3514" s="74">
        <v>0.04</v>
      </c>
      <c r="F3514" s="78" t="s">
        <v>237</v>
      </c>
      <c r="G3514" s="77" t="s">
        <v>220</v>
      </c>
      <c r="H3514" t="str">
        <f>VLOOKUP(D3514,'DETALLE PRECIO INGREDIENTES'!B:B,1,0)</f>
        <v>COCO RALLADO</v>
      </c>
    </row>
    <row r="3515" spans="2:8" hidden="1" x14ac:dyDescent="0.35">
      <c r="B3515" s="80" t="s">
        <v>103</v>
      </c>
      <c r="C3515" s="80" t="s">
        <v>97</v>
      </c>
      <c r="D3515" s="73" t="s">
        <v>375</v>
      </c>
      <c r="E3515" s="74">
        <v>0.08</v>
      </c>
      <c r="F3515" s="78" t="s">
        <v>237</v>
      </c>
      <c r="G3515" s="77" t="s">
        <v>220</v>
      </c>
      <c r="H3515" t="str">
        <f>VLOOKUP(D3515,'DETALLE PRECIO INGREDIENTES'!B:B,1,0)</f>
        <v>MAICENA</v>
      </c>
    </row>
    <row r="3516" spans="2:8" hidden="1" x14ac:dyDescent="0.35">
      <c r="B3516" s="80" t="s">
        <v>103</v>
      </c>
      <c r="C3516" s="80" t="s">
        <v>97</v>
      </c>
      <c r="D3516" s="73" t="s">
        <v>421</v>
      </c>
      <c r="E3516" s="74">
        <v>2E-3</v>
      </c>
      <c r="F3516" s="78" t="s">
        <v>237</v>
      </c>
      <c r="G3516" s="77" t="s">
        <v>220</v>
      </c>
      <c r="H3516" t="str">
        <f>VLOOKUP(D3516,'DETALLE PRECIO INGREDIENTES'!B:B,1,0)</f>
        <v>PECTINA AMARILLA MEDIUM RAPIDA</v>
      </c>
    </row>
    <row r="3517" spans="2:8" hidden="1" x14ac:dyDescent="0.35">
      <c r="B3517" s="80" t="s">
        <v>103</v>
      </c>
      <c r="C3517" s="80" t="s">
        <v>97</v>
      </c>
      <c r="D3517" s="73" t="s">
        <v>593</v>
      </c>
      <c r="E3517" s="74">
        <v>0.28000000000000003</v>
      </c>
      <c r="F3517" s="78" t="s">
        <v>237</v>
      </c>
      <c r="G3517" s="77" t="s">
        <v>587</v>
      </c>
      <c r="H3517" t="str">
        <f>VLOOKUP(D3517,'DETALLE PRECIO INGREDIENTES'!B:B,1,0)</f>
        <v>PULPA DE FRAMBUESA S/AZUCAR</v>
      </c>
    </row>
    <row r="3518" spans="2:8" hidden="1" x14ac:dyDescent="0.35">
      <c r="B3518" s="80" t="s">
        <v>103</v>
      </c>
      <c r="C3518" s="80" t="s">
        <v>97</v>
      </c>
      <c r="D3518" s="73" t="s">
        <v>243</v>
      </c>
      <c r="E3518" s="74">
        <v>2E-3</v>
      </c>
      <c r="F3518" s="78" t="s">
        <v>237</v>
      </c>
      <c r="G3518" s="77" t="s">
        <v>220</v>
      </c>
      <c r="H3518" t="str">
        <f>VLOOKUP(D3518,'DETALLE PRECIO INGREDIENTES'!B:B,1,0)</f>
        <v>ACIDO CITRICO</v>
      </c>
    </row>
    <row r="3519" spans="2:8" hidden="1" x14ac:dyDescent="0.35">
      <c r="B3519" s="80" t="s">
        <v>103</v>
      </c>
      <c r="C3519" s="80" t="s">
        <v>97</v>
      </c>
      <c r="D3519" s="73" t="s">
        <v>278</v>
      </c>
      <c r="E3519" s="74">
        <v>0.15</v>
      </c>
      <c r="F3519" s="78" t="s">
        <v>237</v>
      </c>
      <c r="G3519" s="77" t="s">
        <v>220</v>
      </c>
      <c r="H3519" t="str">
        <f>VLOOKUP(D3519,'DETALLE PRECIO INGREDIENTES'!B:B,1,0)</f>
        <v>AZUCAR FLOR</v>
      </c>
    </row>
    <row r="3520" spans="2:8" hidden="1" x14ac:dyDescent="0.35">
      <c r="B3520" s="80" t="s">
        <v>103</v>
      </c>
      <c r="C3520" s="80" t="s">
        <v>97</v>
      </c>
      <c r="D3520" s="73" t="s">
        <v>379</v>
      </c>
      <c r="E3520" s="74">
        <v>7.0000000000000007E-2</v>
      </c>
      <c r="F3520" s="78" t="s">
        <v>237</v>
      </c>
      <c r="G3520" s="77" t="s">
        <v>220</v>
      </c>
      <c r="H3520" t="str">
        <f>VLOOKUP(D3520,'DETALLE PRECIO INGREDIENTES'!B:B,1,0)</f>
        <v>MANI CON PIEL</v>
      </c>
    </row>
    <row r="3521" spans="2:8" hidden="1" x14ac:dyDescent="0.35">
      <c r="B3521" s="80" t="s">
        <v>103</v>
      </c>
      <c r="C3521" s="80" t="s">
        <v>97</v>
      </c>
      <c r="D3521" s="73" t="s">
        <v>345</v>
      </c>
      <c r="E3521" s="74">
        <v>4.4999999999999998E-2</v>
      </c>
      <c r="F3521" s="78" t="s">
        <v>237</v>
      </c>
      <c r="G3521" s="77" t="s">
        <v>220</v>
      </c>
      <c r="H3521" t="str">
        <f>VLOOKUP(D3521,'DETALLE PRECIO INGREDIENTES'!B:B,1,0)</f>
        <v>GELATINA SIN SABOR</v>
      </c>
    </row>
    <row r="3522" spans="2:8" hidden="1" x14ac:dyDescent="0.35">
      <c r="B3522" s="80" t="s">
        <v>103</v>
      </c>
      <c r="C3522" s="80" t="s">
        <v>97</v>
      </c>
      <c r="D3522" s="73" t="s">
        <v>326</v>
      </c>
      <c r="E3522" s="74">
        <v>8.0000000000000002E-3</v>
      </c>
      <c r="F3522" s="78" t="s">
        <v>222</v>
      </c>
      <c r="G3522" s="77" t="s">
        <v>220</v>
      </c>
      <c r="H3522" t="str">
        <f>VLOOKUP(D3522,'DETALLE PRECIO INGREDIENTES'!B:B,1,0)</f>
        <v>ESENCIA DE FRAMBUESA</v>
      </c>
    </row>
    <row r="3523" spans="2:8" hidden="1" x14ac:dyDescent="0.35">
      <c r="B3523" s="80" t="s">
        <v>103</v>
      </c>
      <c r="C3523" s="80" t="s">
        <v>97</v>
      </c>
      <c r="D3523" s="73" t="s">
        <v>328</v>
      </c>
      <c r="E3523" s="74">
        <v>8.0000000000000002E-3</v>
      </c>
      <c r="F3523" s="78" t="s">
        <v>222</v>
      </c>
      <c r="G3523" s="77" t="s">
        <v>220</v>
      </c>
      <c r="H3523" t="str">
        <f>VLOOKUP(D3523,'DETALLE PRECIO INGREDIENTES'!B:B,1,0)</f>
        <v>ESENCIA DE PIÑA</v>
      </c>
    </row>
    <row r="3524" spans="2:8" hidden="1" x14ac:dyDescent="0.35">
      <c r="B3524" s="80" t="s">
        <v>103</v>
      </c>
      <c r="C3524" s="80" t="s">
        <v>97</v>
      </c>
      <c r="D3524" s="73" t="s">
        <v>327</v>
      </c>
      <c r="E3524" s="74">
        <v>8.0000000000000002E-3</v>
      </c>
      <c r="F3524" s="78" t="s">
        <v>222</v>
      </c>
      <c r="G3524" s="77" t="s">
        <v>220</v>
      </c>
      <c r="H3524" t="str">
        <f>VLOOKUP(D3524,'DETALLE PRECIO INGREDIENTES'!B:B,1,0)</f>
        <v>ESENCIA DE NARANJA</v>
      </c>
    </row>
    <row r="3525" spans="2:8" hidden="1" x14ac:dyDescent="0.35">
      <c r="B3525" s="80" t="s">
        <v>103</v>
      </c>
      <c r="C3525" s="80" t="s">
        <v>97</v>
      </c>
      <c r="D3525" s="73" t="s">
        <v>325</v>
      </c>
      <c r="E3525" s="74">
        <v>8.0000000000000002E-3</v>
      </c>
      <c r="F3525" s="78" t="s">
        <v>222</v>
      </c>
      <c r="G3525" s="77" t="s">
        <v>220</v>
      </c>
      <c r="H3525" t="str">
        <f>VLOOKUP(D3525,'DETALLE PRECIO INGREDIENTES'!B:B,1,0)</f>
        <v>ESENCIA DE COCO</v>
      </c>
    </row>
    <row r="3526" spans="2:8" hidden="1" x14ac:dyDescent="0.35">
      <c r="B3526" s="80" t="s">
        <v>103</v>
      </c>
      <c r="C3526" s="80" t="s">
        <v>97</v>
      </c>
      <c r="D3526" s="73" t="s">
        <v>255</v>
      </c>
      <c r="E3526" s="74">
        <v>7.0000000000000001E-3</v>
      </c>
      <c r="F3526" s="78" t="s">
        <v>237</v>
      </c>
      <c r="G3526" s="77" t="s">
        <v>220</v>
      </c>
      <c r="H3526" t="str">
        <f>VLOOKUP(D3526,'DETALLE PRECIO INGREDIENTES'!B:B,1,0)</f>
        <v>ALBUMINA</v>
      </c>
    </row>
    <row r="3527" spans="2:8" hidden="1" x14ac:dyDescent="0.35">
      <c r="B3527" s="80" t="s">
        <v>103</v>
      </c>
      <c r="C3527" s="80" t="s">
        <v>97</v>
      </c>
      <c r="D3527" s="73" t="s">
        <v>685</v>
      </c>
      <c r="E3527" s="74">
        <v>5.0000000000000001E-3</v>
      </c>
      <c r="F3527" s="78" t="s">
        <v>237</v>
      </c>
      <c r="G3527" s="77" t="s">
        <v>621</v>
      </c>
      <c r="H3527" t="str">
        <f>VLOOKUP(D3527,'DETALLE PRECIO INGREDIENTES'!B:B,1,0)</f>
        <v>MENTA</v>
      </c>
    </row>
    <row r="3528" spans="2:8" hidden="1" x14ac:dyDescent="0.35">
      <c r="B3528" s="80" t="s">
        <v>103</v>
      </c>
      <c r="C3528" s="80" t="s">
        <v>97</v>
      </c>
      <c r="D3528" s="73" t="s">
        <v>511</v>
      </c>
      <c r="E3528" s="74">
        <v>1.5</v>
      </c>
      <c r="F3528" s="78" t="s">
        <v>259</v>
      </c>
      <c r="G3528" s="77" t="s">
        <v>485</v>
      </c>
      <c r="H3528" t="str">
        <f>VLOOKUP(D3528,'DETALLE PRECIO INGREDIENTES'!B:B,1,0)</f>
        <v>PAPEL CERESINADO PLIEGO</v>
      </c>
    </row>
    <row r="3529" spans="2:8" hidden="1" x14ac:dyDescent="0.35">
      <c r="B3529" s="80" t="s">
        <v>103</v>
      </c>
      <c r="C3529" s="80" t="s">
        <v>97</v>
      </c>
      <c r="D3529" s="73" t="s">
        <v>512</v>
      </c>
      <c r="E3529" s="74">
        <v>0.5</v>
      </c>
      <c r="F3529" s="78" t="s">
        <v>259</v>
      </c>
      <c r="G3529" s="77" t="s">
        <v>485</v>
      </c>
      <c r="H3529" t="str">
        <f>VLOOKUP(D3529,'DETALLE PRECIO INGREDIENTES'!B:B,1,0)</f>
        <v>PAPEL GUITARRA</v>
      </c>
    </row>
    <row r="3530" spans="2:8" hidden="1" x14ac:dyDescent="0.35">
      <c r="B3530" s="80" t="s">
        <v>103</v>
      </c>
      <c r="C3530" s="80" t="s">
        <v>97</v>
      </c>
      <c r="D3530" s="73" t="s">
        <v>502</v>
      </c>
      <c r="E3530" s="74">
        <v>2</v>
      </c>
      <c r="F3530" s="78" t="s">
        <v>259</v>
      </c>
      <c r="G3530" s="77" t="s">
        <v>485</v>
      </c>
      <c r="H3530" t="str">
        <f>VLOOKUP(D3530,'DETALLE PRECIO INGREDIENTES'!B:B,1,0)</f>
        <v>MANGAS DESECHABLES MEDIANAS</v>
      </c>
    </row>
    <row r="3531" spans="2:8" hidden="1" x14ac:dyDescent="0.35">
      <c r="B3531" s="80" t="s">
        <v>103</v>
      </c>
      <c r="C3531" s="80" t="s">
        <v>96</v>
      </c>
      <c r="D3531" s="73" t="s">
        <v>277</v>
      </c>
      <c r="E3531" s="74">
        <v>0.32</v>
      </c>
      <c r="F3531" s="78" t="s">
        <v>237</v>
      </c>
      <c r="G3531" s="77" t="s">
        <v>220</v>
      </c>
      <c r="H3531" t="str">
        <f>VLOOKUP(D3531,'DETALLE PRECIO INGREDIENTES'!B:B,1,0)</f>
        <v>AZUCAR BLANCA GRANULADA</v>
      </c>
    </row>
    <row r="3532" spans="2:8" hidden="1" x14ac:dyDescent="0.35">
      <c r="B3532" s="80" t="s">
        <v>103</v>
      </c>
      <c r="C3532" s="80" t="s">
        <v>96</v>
      </c>
      <c r="D3532" s="73" t="s">
        <v>348</v>
      </c>
      <c r="E3532" s="74">
        <v>0.2</v>
      </c>
      <c r="F3532" s="78" t="s">
        <v>237</v>
      </c>
      <c r="G3532" s="77" t="s">
        <v>220</v>
      </c>
      <c r="H3532" t="str">
        <f>VLOOKUP(D3532,'DETALLE PRECIO INGREDIENTES'!B:B,1,0)</f>
        <v>GLUCOSA</v>
      </c>
    </row>
    <row r="3533" spans="2:8" hidden="1" x14ac:dyDescent="0.35">
      <c r="B3533" s="80" t="s">
        <v>103</v>
      </c>
      <c r="C3533" s="80" t="s">
        <v>96</v>
      </c>
      <c r="D3533" s="73" t="s">
        <v>751</v>
      </c>
      <c r="E3533" s="74">
        <v>0.03</v>
      </c>
      <c r="F3533" s="78" t="s">
        <v>237</v>
      </c>
      <c r="G3533" s="77" t="s">
        <v>736</v>
      </c>
      <c r="H3533" t="str">
        <f>VLOOKUP(D3533,'DETALLE PRECIO INGREDIENTES'!B:B,1,0)</f>
        <v>MANTEQUILLA SIN SAL</v>
      </c>
    </row>
    <row r="3534" spans="2:8" hidden="1" x14ac:dyDescent="0.35">
      <c r="B3534" s="80" t="s">
        <v>103</v>
      </c>
      <c r="C3534" s="80" t="s">
        <v>96</v>
      </c>
      <c r="D3534" s="73" t="s">
        <v>729</v>
      </c>
      <c r="E3534" s="74">
        <v>1</v>
      </c>
      <c r="F3534" s="78" t="s">
        <v>259</v>
      </c>
      <c r="G3534" s="77" t="s">
        <v>728</v>
      </c>
      <c r="H3534" t="str">
        <f>VLOOKUP(D3534,'DETALLE PRECIO INGREDIENTES'!B:B,1,0)</f>
        <v>HUEVO EXTRA BLANCO</v>
      </c>
    </row>
    <row r="3535" spans="2:8" hidden="1" x14ac:dyDescent="0.35">
      <c r="B3535" s="80" t="s">
        <v>103</v>
      </c>
      <c r="C3535" s="80" t="s">
        <v>96</v>
      </c>
      <c r="D3535" s="73" t="s">
        <v>748</v>
      </c>
      <c r="E3535" s="74">
        <v>0.05</v>
      </c>
      <c r="F3535" s="78" t="s">
        <v>222</v>
      </c>
      <c r="G3535" s="77" t="s">
        <v>736</v>
      </c>
      <c r="H3535" t="str">
        <f>VLOOKUP(D3535,'DETALLE PRECIO INGREDIENTES'!B:B,1,0)</f>
        <v>LECHE ENTERA</v>
      </c>
    </row>
    <row r="3536" spans="2:8" hidden="1" x14ac:dyDescent="0.35">
      <c r="B3536" s="80" t="s">
        <v>103</v>
      </c>
      <c r="C3536" s="80" t="s">
        <v>96</v>
      </c>
      <c r="D3536" s="73" t="s">
        <v>739</v>
      </c>
      <c r="E3536" s="74">
        <v>0.18</v>
      </c>
      <c r="F3536" s="78" t="s">
        <v>222</v>
      </c>
      <c r="G3536" s="77" t="s">
        <v>736</v>
      </c>
      <c r="H3536" t="str">
        <f>VLOOKUP(D3536,'DETALLE PRECIO INGREDIENTES'!B:B,1,0)</f>
        <v>CREMA DE LECHE</v>
      </c>
    </row>
    <row r="3537" spans="2:8" hidden="1" x14ac:dyDescent="0.35">
      <c r="B3537" s="80" t="s">
        <v>103</v>
      </c>
      <c r="C3537" s="80" t="s">
        <v>96</v>
      </c>
      <c r="D3537" s="73" t="s">
        <v>273</v>
      </c>
      <c r="E3537" s="74">
        <v>0.03</v>
      </c>
      <c r="F3537" s="78" t="s">
        <v>237</v>
      </c>
      <c r="G3537" s="77" t="s">
        <v>220</v>
      </c>
      <c r="H3537" t="str">
        <f>VLOOKUP(D3537,'DETALLE PRECIO INGREDIENTES'!B:B,1,0)</f>
        <v>AVELLANAS EUROPEAS</v>
      </c>
    </row>
    <row r="3538" spans="2:8" hidden="1" x14ac:dyDescent="0.35">
      <c r="B3538" s="80" t="s">
        <v>103</v>
      </c>
      <c r="C3538" s="80" t="s">
        <v>96</v>
      </c>
      <c r="D3538" s="73" t="s">
        <v>557</v>
      </c>
      <c r="E3538" s="74">
        <v>0.04</v>
      </c>
      <c r="F3538" s="78" t="s">
        <v>237</v>
      </c>
      <c r="G3538" s="77" t="s">
        <v>551</v>
      </c>
      <c r="H3538" t="str">
        <f>VLOOKUP(D3538,'DETALLE PRECIO INGREDIENTES'!B:B,1,0)</f>
        <v>CHOCOLATE AMARGO 56% FLUIDO</v>
      </c>
    </row>
    <row r="3539" spans="2:8" hidden="1" x14ac:dyDescent="0.35">
      <c r="B3539" s="80" t="s">
        <v>103</v>
      </c>
      <c r="C3539" s="80" t="s">
        <v>96</v>
      </c>
      <c r="D3539" s="73" t="s">
        <v>329</v>
      </c>
      <c r="E3539" s="74">
        <v>0.01</v>
      </c>
      <c r="F3539" s="78" t="s">
        <v>222</v>
      </c>
      <c r="G3539" s="77" t="s">
        <v>220</v>
      </c>
      <c r="H3539" t="str">
        <f>VLOOKUP(D3539,'DETALLE PRECIO INGREDIENTES'!B:B,1,0)</f>
        <v>ESENCIA DE VAINILLA</v>
      </c>
    </row>
    <row r="3540" spans="2:8" hidden="1" x14ac:dyDescent="0.35">
      <c r="B3540" s="80" t="s">
        <v>103</v>
      </c>
      <c r="C3540" s="80" t="s">
        <v>96</v>
      </c>
      <c r="D3540" s="73" t="s">
        <v>445</v>
      </c>
      <c r="E3540" s="74">
        <v>2E-3</v>
      </c>
      <c r="F3540" s="78" t="s">
        <v>237</v>
      </c>
      <c r="G3540" s="77" t="s">
        <v>220</v>
      </c>
      <c r="H3540" t="str">
        <f>VLOOKUP(D3540,'DETALLE PRECIO INGREDIENTES'!B:B,1,0)</f>
        <v>SAL DE MESA LOBOS</v>
      </c>
    </row>
    <row r="3541" spans="2:8" hidden="1" x14ac:dyDescent="0.35">
      <c r="B3541" s="80" t="s">
        <v>103</v>
      </c>
      <c r="C3541" s="80" t="s">
        <v>96</v>
      </c>
      <c r="D3541" s="73" t="s">
        <v>355</v>
      </c>
      <c r="E3541" s="74">
        <v>0.06</v>
      </c>
      <c r="F3541" s="78" t="s">
        <v>237</v>
      </c>
      <c r="G3541" s="77" t="s">
        <v>220</v>
      </c>
      <c r="H3541" t="str">
        <f>VLOOKUP(D3541,'DETALLE PRECIO INGREDIENTES'!B:B,1,0)</f>
        <v>HARINA DE ALMENDRA</v>
      </c>
    </row>
    <row r="3542" spans="2:8" hidden="1" x14ac:dyDescent="0.35">
      <c r="B3542" s="80" t="s">
        <v>103</v>
      </c>
      <c r="C3542" s="80" t="s">
        <v>96</v>
      </c>
      <c r="D3542" s="73" t="s">
        <v>711</v>
      </c>
      <c r="E3542" s="74">
        <v>0.01</v>
      </c>
      <c r="F3542" s="78" t="s">
        <v>237</v>
      </c>
      <c r="G3542" s="77" t="s">
        <v>621</v>
      </c>
      <c r="H3542" t="str">
        <f>VLOOKUP(D3542,'DETALLE PRECIO INGREDIENTES'!B:B,1,0)</f>
        <v>ROMERO FRESCO EN RAMA</v>
      </c>
    </row>
    <row r="3543" spans="2:8" hidden="1" x14ac:dyDescent="0.35">
      <c r="B3543" s="80" t="s">
        <v>103</v>
      </c>
      <c r="C3543" s="80" t="s">
        <v>96</v>
      </c>
      <c r="D3543" s="73" t="s">
        <v>961</v>
      </c>
      <c r="E3543" s="74">
        <v>0.08</v>
      </c>
      <c r="F3543" s="78" t="s">
        <v>237</v>
      </c>
      <c r="G3543" s="77" t="s">
        <v>220</v>
      </c>
      <c r="H3543" t="str">
        <f>VLOOKUP(D3543,'DETALLE PRECIO INGREDIENTES'!B:B,1,0)</f>
        <v>miel</v>
      </c>
    </row>
    <row r="3544" spans="2:8" hidden="1" x14ac:dyDescent="0.35">
      <c r="B3544" s="80" t="s">
        <v>103</v>
      </c>
      <c r="C3544" s="80" t="s">
        <v>96</v>
      </c>
      <c r="D3544" s="73" t="s">
        <v>570</v>
      </c>
      <c r="E3544" s="74">
        <v>1.2E-2</v>
      </c>
      <c r="F3544" s="78" t="s">
        <v>237</v>
      </c>
      <c r="G3544" s="77" t="s">
        <v>551</v>
      </c>
      <c r="H3544" t="str">
        <f>VLOOKUP(D3544,'DETALLE PRECIO INGREDIENTES'!B:B,1,0)</f>
        <v>MANTECA DE CACAO</v>
      </c>
    </row>
    <row r="3545" spans="2:8" hidden="1" x14ac:dyDescent="0.35">
      <c r="B3545" s="80" t="s">
        <v>103</v>
      </c>
      <c r="C3545" s="80" t="s">
        <v>96</v>
      </c>
      <c r="D3545" s="73" t="s">
        <v>727</v>
      </c>
      <c r="E3545" s="74">
        <v>0.02</v>
      </c>
      <c r="F3545" s="78" t="s">
        <v>237</v>
      </c>
      <c r="G3545" s="77" t="s">
        <v>724</v>
      </c>
      <c r="H3545" t="str">
        <f>VLOOKUP(D3545,'DETALLE PRECIO INGREDIENTES'!B:B,1,0)</f>
        <v>PISTACHOS S/CASCARA SIN SAL</v>
      </c>
    </row>
    <row r="3546" spans="2:8" hidden="1" x14ac:dyDescent="0.35">
      <c r="B3546" s="80" t="s">
        <v>103</v>
      </c>
      <c r="C3546" s="80" t="s">
        <v>96</v>
      </c>
      <c r="D3546" s="73" t="s">
        <v>261</v>
      </c>
      <c r="E3546" s="74">
        <v>5.5E-2</v>
      </c>
      <c r="F3546" s="78" t="s">
        <v>237</v>
      </c>
      <c r="G3546" s="77" t="s">
        <v>220</v>
      </c>
      <c r="H3546" t="str">
        <f>VLOOKUP(D3546,'DETALLE PRECIO INGREDIENTES'!B:B,1,0)</f>
        <v>ALMENDRAS ENTERAS</v>
      </c>
    </row>
    <row r="3547" spans="2:8" hidden="1" x14ac:dyDescent="0.35">
      <c r="B3547" s="80" t="s">
        <v>103</v>
      </c>
      <c r="C3547" s="80" t="s">
        <v>96</v>
      </c>
      <c r="D3547" s="73" t="s">
        <v>401</v>
      </c>
      <c r="E3547" s="74">
        <v>0.03</v>
      </c>
      <c r="F3547" s="78" t="s">
        <v>237</v>
      </c>
      <c r="G3547" s="77" t="s">
        <v>220</v>
      </c>
      <c r="H3547" t="str">
        <f>VLOOKUP(D3547,'DETALLE PRECIO INGREDIENTES'!B:B,1,0)</f>
        <v>NARANJA CONFITADA</v>
      </c>
    </row>
    <row r="3548" spans="2:8" hidden="1" x14ac:dyDescent="0.35">
      <c r="B3548" s="80" t="s">
        <v>103</v>
      </c>
      <c r="C3548" s="80" t="s">
        <v>96</v>
      </c>
      <c r="D3548" s="73" t="s">
        <v>705</v>
      </c>
      <c r="E3548" s="74">
        <v>0.08</v>
      </c>
      <c r="F3548" s="78" t="s">
        <v>237</v>
      </c>
      <c r="G3548" s="77" t="s">
        <v>621</v>
      </c>
      <c r="H3548" t="str">
        <f>VLOOKUP(D3548,'DETALLE PRECIO INGREDIENTES'!B:B,1,0)</f>
        <v>PLATANOS</v>
      </c>
    </row>
    <row r="3549" spans="2:8" hidden="1" x14ac:dyDescent="0.35">
      <c r="B3549" s="80" t="s">
        <v>103</v>
      </c>
      <c r="C3549" s="80" t="s">
        <v>96</v>
      </c>
      <c r="D3549" s="73" t="s">
        <v>562</v>
      </c>
      <c r="E3549" s="74">
        <v>0.1</v>
      </c>
      <c r="F3549" s="78" t="s">
        <v>237</v>
      </c>
      <c r="G3549" s="77" t="s">
        <v>551</v>
      </c>
      <c r="H3549" t="str">
        <f>VLOOKUP(D3549,'DETALLE PRECIO INGREDIENTES'!B:B,1,0)</f>
        <v>CHOCOLATE ECUADOR BLANCO 31%</v>
      </c>
    </row>
    <row r="3550" spans="2:8" hidden="1" x14ac:dyDescent="0.35">
      <c r="B3550" s="80" t="s">
        <v>103</v>
      </c>
      <c r="C3550" s="80" t="s">
        <v>96</v>
      </c>
      <c r="D3550" s="73" t="s">
        <v>278</v>
      </c>
      <c r="E3550" s="74">
        <v>0.06</v>
      </c>
      <c r="F3550" s="78" t="s">
        <v>237</v>
      </c>
      <c r="G3550" s="77" t="s">
        <v>220</v>
      </c>
      <c r="H3550" t="str">
        <f>VLOOKUP(D3550,'DETALLE PRECIO INGREDIENTES'!B:B,1,0)</f>
        <v>AZUCAR FLOR</v>
      </c>
    </row>
    <row r="3551" spans="2:8" hidden="1" x14ac:dyDescent="0.35">
      <c r="B3551" s="80" t="s">
        <v>103</v>
      </c>
      <c r="C3551" s="80" t="s">
        <v>96</v>
      </c>
      <c r="D3551" s="73" t="s">
        <v>375</v>
      </c>
      <c r="E3551" s="74">
        <v>0.04</v>
      </c>
      <c r="F3551" s="78" t="s">
        <v>237</v>
      </c>
      <c r="G3551" s="77" t="s">
        <v>220</v>
      </c>
      <c r="H3551" t="str">
        <f>VLOOKUP(D3551,'DETALLE PRECIO INGREDIENTES'!B:B,1,0)</f>
        <v>MAICENA</v>
      </c>
    </row>
    <row r="3552" spans="2:8" hidden="1" x14ac:dyDescent="0.35">
      <c r="B3552" s="80" t="s">
        <v>103</v>
      </c>
      <c r="C3552" s="80" t="s">
        <v>96</v>
      </c>
      <c r="D3552" s="73" t="s">
        <v>420</v>
      </c>
      <c r="E3552" s="74">
        <v>5.0000000000000001E-3</v>
      </c>
      <c r="F3552" s="78" t="s">
        <v>237</v>
      </c>
      <c r="G3552" s="77" t="s">
        <v>220</v>
      </c>
      <c r="H3552" t="str">
        <f>VLOOKUP(D3552,'DETALLE PRECIO INGREDIENTES'!B:B,1,0)</f>
        <v>PASTA DE VAINILLA</v>
      </c>
    </row>
    <row r="3553" spans="2:8" hidden="1" x14ac:dyDescent="0.35">
      <c r="B3553" s="80" t="s">
        <v>103</v>
      </c>
      <c r="C3553" s="80" t="s">
        <v>96</v>
      </c>
      <c r="D3553" s="73" t="s">
        <v>511</v>
      </c>
      <c r="E3553" s="74">
        <v>1</v>
      </c>
      <c r="F3553" s="78" t="s">
        <v>259</v>
      </c>
      <c r="G3553" s="77" t="s">
        <v>485</v>
      </c>
      <c r="H3553" t="str">
        <f>VLOOKUP(D3553,'DETALLE PRECIO INGREDIENTES'!B:B,1,0)</f>
        <v>PAPEL CERESINADO PLIEGO</v>
      </c>
    </row>
    <row r="3554" spans="2:8" hidden="1" x14ac:dyDescent="0.35">
      <c r="B3554" s="80" t="s">
        <v>103</v>
      </c>
      <c r="C3554" s="80" t="s">
        <v>96</v>
      </c>
      <c r="D3554" s="73" t="s">
        <v>512</v>
      </c>
      <c r="E3554" s="74">
        <v>0.5</v>
      </c>
      <c r="F3554" s="78" t="s">
        <v>259</v>
      </c>
      <c r="G3554" s="77" t="s">
        <v>485</v>
      </c>
      <c r="H3554" t="str">
        <f>VLOOKUP(D3554,'DETALLE PRECIO INGREDIENTES'!B:B,1,0)</f>
        <v>PAPEL GUITARRA</v>
      </c>
    </row>
    <row r="3555" spans="2:8" hidden="1" x14ac:dyDescent="0.35">
      <c r="B3555" s="80" t="s">
        <v>103</v>
      </c>
      <c r="C3555" s="80" t="s">
        <v>96</v>
      </c>
      <c r="D3555" s="73" t="s">
        <v>336</v>
      </c>
      <c r="E3555" s="74">
        <v>8.0000000000000002E-3</v>
      </c>
      <c r="F3555" s="78" t="s">
        <v>237</v>
      </c>
      <c r="G3555" s="77" t="s">
        <v>220</v>
      </c>
      <c r="H3555" t="str">
        <f>VLOOKUP(D3555,'DETALLE PRECIO INGREDIENTES'!B:B,1,0)</f>
        <v>FRAMBUESA LIOFILIZADA</v>
      </c>
    </row>
    <row r="3556" spans="2:8" hidden="1" x14ac:dyDescent="0.35">
      <c r="B3556" s="80" t="s">
        <v>103</v>
      </c>
      <c r="C3556" s="80" t="s">
        <v>96</v>
      </c>
      <c r="D3556" s="73" t="s">
        <v>384</v>
      </c>
      <c r="E3556" s="74">
        <v>8.0000000000000002E-3</v>
      </c>
      <c r="F3556" s="78" t="s">
        <v>237</v>
      </c>
      <c r="G3556" s="77" t="s">
        <v>220</v>
      </c>
      <c r="H3556" t="str">
        <f>VLOOKUP(D3556,'DETALLE PRECIO INGREDIENTES'!B:B,1,0)</f>
        <v>MARACUYA CRISPY</v>
      </c>
    </row>
    <row r="3557" spans="2:8" hidden="1" x14ac:dyDescent="0.35">
      <c r="B3557" s="80" t="s">
        <v>103</v>
      </c>
      <c r="C3557" s="80" t="s">
        <v>96</v>
      </c>
      <c r="D3557" s="73" t="s">
        <v>565</v>
      </c>
      <c r="E3557" s="74">
        <v>0.05</v>
      </c>
      <c r="F3557" s="78" t="s">
        <v>237</v>
      </c>
      <c r="G3557" s="77" t="s">
        <v>551</v>
      </c>
      <c r="H3557" t="str">
        <f>VLOOKUP(D3557,'DETALLE PRECIO INGREDIENTES'!B:B,1,0)</f>
        <v>COBERTURA AMARGA</v>
      </c>
    </row>
    <row r="3558" spans="2:8" hidden="1" x14ac:dyDescent="0.35">
      <c r="B3558" s="80" t="s">
        <v>103</v>
      </c>
      <c r="C3558" s="80" t="s">
        <v>95</v>
      </c>
      <c r="D3558" s="73" t="s">
        <v>277</v>
      </c>
      <c r="E3558" s="74">
        <v>0.32</v>
      </c>
      <c r="F3558" s="78" t="s">
        <v>237</v>
      </c>
      <c r="G3558" s="77" t="s">
        <v>220</v>
      </c>
      <c r="H3558" t="str">
        <f>VLOOKUP(D3558,'DETALLE PRECIO INGREDIENTES'!B:B,1,0)</f>
        <v>AZUCAR BLANCA GRANULADA</v>
      </c>
    </row>
    <row r="3559" spans="2:8" hidden="1" x14ac:dyDescent="0.35">
      <c r="B3559" s="80" t="s">
        <v>103</v>
      </c>
      <c r="C3559" s="80" t="s">
        <v>95</v>
      </c>
      <c r="D3559" s="73" t="s">
        <v>348</v>
      </c>
      <c r="E3559" s="74">
        <v>0.2</v>
      </c>
      <c r="F3559" s="78" t="s">
        <v>237</v>
      </c>
      <c r="G3559" s="77" t="s">
        <v>220</v>
      </c>
      <c r="H3559" t="str">
        <f>VLOOKUP(D3559,'DETALLE PRECIO INGREDIENTES'!B:B,1,0)</f>
        <v>GLUCOSA</v>
      </c>
    </row>
    <row r="3560" spans="2:8" hidden="1" x14ac:dyDescent="0.35">
      <c r="B3560" s="80" t="s">
        <v>103</v>
      </c>
      <c r="C3560" s="80" t="s">
        <v>95</v>
      </c>
      <c r="D3560" s="73" t="s">
        <v>751</v>
      </c>
      <c r="E3560" s="74">
        <v>0.03</v>
      </c>
      <c r="F3560" s="78" t="s">
        <v>237</v>
      </c>
      <c r="G3560" s="77" t="s">
        <v>736</v>
      </c>
      <c r="H3560" t="str">
        <f>VLOOKUP(D3560,'DETALLE PRECIO INGREDIENTES'!B:B,1,0)</f>
        <v>MANTEQUILLA SIN SAL</v>
      </c>
    </row>
    <row r="3561" spans="2:8" hidden="1" x14ac:dyDescent="0.35">
      <c r="B3561" s="80" t="s">
        <v>103</v>
      </c>
      <c r="C3561" s="80" t="s">
        <v>95</v>
      </c>
      <c r="D3561" s="73" t="s">
        <v>729</v>
      </c>
      <c r="E3561" s="74">
        <v>1</v>
      </c>
      <c r="F3561" s="78" t="s">
        <v>259</v>
      </c>
      <c r="G3561" s="77" t="s">
        <v>728</v>
      </c>
      <c r="H3561" t="str">
        <f>VLOOKUP(D3561,'DETALLE PRECIO INGREDIENTES'!B:B,1,0)</f>
        <v>HUEVO EXTRA BLANCO</v>
      </c>
    </row>
    <row r="3562" spans="2:8" hidden="1" x14ac:dyDescent="0.35">
      <c r="B3562" s="80" t="s">
        <v>103</v>
      </c>
      <c r="C3562" s="80" t="s">
        <v>95</v>
      </c>
      <c r="D3562" s="73" t="s">
        <v>748</v>
      </c>
      <c r="E3562" s="74">
        <v>0.05</v>
      </c>
      <c r="F3562" s="78" t="s">
        <v>222</v>
      </c>
      <c r="G3562" s="77" t="s">
        <v>736</v>
      </c>
      <c r="H3562" t="str">
        <f>VLOOKUP(D3562,'DETALLE PRECIO INGREDIENTES'!B:B,1,0)</f>
        <v>LECHE ENTERA</v>
      </c>
    </row>
    <row r="3563" spans="2:8" hidden="1" x14ac:dyDescent="0.35">
      <c r="B3563" s="80" t="s">
        <v>103</v>
      </c>
      <c r="C3563" s="80" t="s">
        <v>95</v>
      </c>
      <c r="D3563" s="73" t="s">
        <v>739</v>
      </c>
      <c r="E3563" s="74">
        <v>0.18</v>
      </c>
      <c r="F3563" s="78" t="s">
        <v>222</v>
      </c>
      <c r="G3563" s="77" t="s">
        <v>736</v>
      </c>
      <c r="H3563" t="str">
        <f>VLOOKUP(D3563,'DETALLE PRECIO INGREDIENTES'!B:B,1,0)</f>
        <v>CREMA DE LECHE</v>
      </c>
    </row>
    <row r="3564" spans="2:8" hidden="1" x14ac:dyDescent="0.35">
      <c r="B3564" s="80" t="s">
        <v>103</v>
      </c>
      <c r="C3564" s="80" t="s">
        <v>95</v>
      </c>
      <c r="D3564" s="73" t="s">
        <v>273</v>
      </c>
      <c r="E3564" s="74">
        <v>0.03</v>
      </c>
      <c r="F3564" s="78" t="s">
        <v>237</v>
      </c>
      <c r="G3564" s="77" t="s">
        <v>220</v>
      </c>
      <c r="H3564" t="str">
        <f>VLOOKUP(D3564,'DETALLE PRECIO INGREDIENTES'!B:B,1,0)</f>
        <v>AVELLANAS EUROPEAS</v>
      </c>
    </row>
    <row r="3565" spans="2:8" hidden="1" x14ac:dyDescent="0.35">
      <c r="B3565" s="80" t="s">
        <v>103</v>
      </c>
      <c r="C3565" s="80" t="s">
        <v>95</v>
      </c>
      <c r="D3565" s="73" t="s">
        <v>557</v>
      </c>
      <c r="E3565" s="74">
        <v>0.04</v>
      </c>
      <c r="F3565" s="78" t="s">
        <v>237</v>
      </c>
      <c r="G3565" s="77" t="s">
        <v>551</v>
      </c>
      <c r="H3565" t="str">
        <f>VLOOKUP(D3565,'DETALLE PRECIO INGREDIENTES'!B:B,1,0)</f>
        <v>CHOCOLATE AMARGO 56% FLUIDO</v>
      </c>
    </row>
    <row r="3566" spans="2:8" hidden="1" x14ac:dyDescent="0.35">
      <c r="B3566" s="80" t="s">
        <v>103</v>
      </c>
      <c r="C3566" s="80" t="s">
        <v>95</v>
      </c>
      <c r="D3566" s="73" t="s">
        <v>329</v>
      </c>
      <c r="E3566" s="74">
        <v>0.01</v>
      </c>
      <c r="F3566" s="78" t="s">
        <v>222</v>
      </c>
      <c r="G3566" s="77" t="s">
        <v>220</v>
      </c>
      <c r="H3566" t="str">
        <f>VLOOKUP(D3566,'DETALLE PRECIO INGREDIENTES'!B:B,1,0)</f>
        <v>ESENCIA DE VAINILLA</v>
      </c>
    </row>
    <row r="3567" spans="2:8" hidden="1" x14ac:dyDescent="0.35">
      <c r="B3567" s="80" t="s">
        <v>103</v>
      </c>
      <c r="C3567" s="80" t="s">
        <v>95</v>
      </c>
      <c r="D3567" s="73" t="s">
        <v>445</v>
      </c>
      <c r="E3567" s="74">
        <v>2E-3</v>
      </c>
      <c r="F3567" s="78" t="s">
        <v>237</v>
      </c>
      <c r="G3567" s="77" t="s">
        <v>220</v>
      </c>
      <c r="H3567" t="str">
        <f>VLOOKUP(D3567,'DETALLE PRECIO INGREDIENTES'!B:B,1,0)</f>
        <v>SAL DE MESA LOBOS</v>
      </c>
    </row>
    <row r="3568" spans="2:8" hidden="1" x14ac:dyDescent="0.35">
      <c r="B3568" s="80" t="s">
        <v>103</v>
      </c>
      <c r="C3568" s="80" t="s">
        <v>95</v>
      </c>
      <c r="D3568" s="73" t="s">
        <v>355</v>
      </c>
      <c r="E3568" s="74">
        <v>0.06</v>
      </c>
      <c r="F3568" s="78" t="s">
        <v>237</v>
      </c>
      <c r="G3568" s="77" t="s">
        <v>220</v>
      </c>
      <c r="H3568" t="str">
        <f>VLOOKUP(D3568,'DETALLE PRECIO INGREDIENTES'!B:B,1,0)</f>
        <v>HARINA DE ALMENDRA</v>
      </c>
    </row>
    <row r="3569" spans="2:8" hidden="1" x14ac:dyDescent="0.35">
      <c r="B3569" s="80" t="s">
        <v>103</v>
      </c>
      <c r="C3569" s="80" t="s">
        <v>95</v>
      </c>
      <c r="D3569" s="73" t="s">
        <v>711</v>
      </c>
      <c r="E3569" s="74">
        <v>0.01</v>
      </c>
      <c r="F3569" s="78" t="s">
        <v>237</v>
      </c>
      <c r="G3569" s="77" t="s">
        <v>621</v>
      </c>
      <c r="H3569" t="str">
        <f>VLOOKUP(D3569,'DETALLE PRECIO INGREDIENTES'!B:B,1,0)</f>
        <v>ROMERO FRESCO EN RAMA</v>
      </c>
    </row>
    <row r="3570" spans="2:8" hidden="1" x14ac:dyDescent="0.35">
      <c r="B3570" s="80" t="s">
        <v>103</v>
      </c>
      <c r="C3570" s="80" t="s">
        <v>95</v>
      </c>
      <c r="D3570" s="73" t="s">
        <v>961</v>
      </c>
      <c r="E3570" s="74">
        <v>0.08</v>
      </c>
      <c r="F3570" s="78" t="s">
        <v>237</v>
      </c>
      <c r="G3570" s="77" t="s">
        <v>220</v>
      </c>
      <c r="H3570" t="str">
        <f>VLOOKUP(D3570,'DETALLE PRECIO INGREDIENTES'!B:B,1,0)</f>
        <v>miel</v>
      </c>
    </row>
    <row r="3571" spans="2:8" hidden="1" x14ac:dyDescent="0.35">
      <c r="B3571" s="80" t="s">
        <v>103</v>
      </c>
      <c r="C3571" s="80" t="s">
        <v>95</v>
      </c>
      <c r="D3571" s="73" t="s">
        <v>570</v>
      </c>
      <c r="E3571" s="74">
        <v>1.2E-2</v>
      </c>
      <c r="F3571" s="78" t="s">
        <v>237</v>
      </c>
      <c r="G3571" s="77" t="s">
        <v>551</v>
      </c>
      <c r="H3571" t="str">
        <f>VLOOKUP(D3571,'DETALLE PRECIO INGREDIENTES'!B:B,1,0)</f>
        <v>MANTECA DE CACAO</v>
      </c>
    </row>
    <row r="3572" spans="2:8" hidden="1" x14ac:dyDescent="0.35">
      <c r="B3572" s="80" t="s">
        <v>103</v>
      </c>
      <c r="C3572" s="80" t="s">
        <v>95</v>
      </c>
      <c r="D3572" s="73" t="s">
        <v>727</v>
      </c>
      <c r="E3572" s="74">
        <v>0.02</v>
      </c>
      <c r="F3572" s="78" t="s">
        <v>237</v>
      </c>
      <c r="G3572" s="77" t="s">
        <v>724</v>
      </c>
      <c r="H3572" t="str">
        <f>VLOOKUP(D3572,'DETALLE PRECIO INGREDIENTES'!B:B,1,0)</f>
        <v>PISTACHOS S/CASCARA SIN SAL</v>
      </c>
    </row>
    <row r="3573" spans="2:8" hidden="1" x14ac:dyDescent="0.35">
      <c r="B3573" s="80" t="s">
        <v>103</v>
      </c>
      <c r="C3573" s="80" t="s">
        <v>95</v>
      </c>
      <c r="D3573" s="73" t="s">
        <v>261</v>
      </c>
      <c r="E3573" s="74">
        <v>5.5E-2</v>
      </c>
      <c r="F3573" s="78" t="s">
        <v>237</v>
      </c>
      <c r="G3573" s="77" t="s">
        <v>220</v>
      </c>
      <c r="H3573" t="str">
        <f>VLOOKUP(D3573,'DETALLE PRECIO INGREDIENTES'!B:B,1,0)</f>
        <v>ALMENDRAS ENTERAS</v>
      </c>
    </row>
    <row r="3574" spans="2:8" hidden="1" x14ac:dyDescent="0.35">
      <c r="B3574" s="80" t="s">
        <v>103</v>
      </c>
      <c r="C3574" s="80" t="s">
        <v>95</v>
      </c>
      <c r="D3574" s="73" t="s">
        <v>401</v>
      </c>
      <c r="E3574" s="74">
        <v>0.03</v>
      </c>
      <c r="F3574" s="78" t="s">
        <v>237</v>
      </c>
      <c r="G3574" s="77" t="s">
        <v>220</v>
      </c>
      <c r="H3574" t="str">
        <f>VLOOKUP(D3574,'DETALLE PRECIO INGREDIENTES'!B:B,1,0)</f>
        <v>NARANJA CONFITADA</v>
      </c>
    </row>
    <row r="3575" spans="2:8" hidden="1" x14ac:dyDescent="0.35">
      <c r="B3575" s="80" t="s">
        <v>103</v>
      </c>
      <c r="C3575" s="80" t="s">
        <v>95</v>
      </c>
      <c r="D3575" s="73" t="s">
        <v>705</v>
      </c>
      <c r="E3575" s="74">
        <v>0.08</v>
      </c>
      <c r="F3575" s="78" t="s">
        <v>237</v>
      </c>
      <c r="G3575" s="77" t="s">
        <v>621</v>
      </c>
      <c r="H3575" t="str">
        <f>VLOOKUP(D3575,'DETALLE PRECIO INGREDIENTES'!B:B,1,0)</f>
        <v>PLATANOS</v>
      </c>
    </row>
    <row r="3576" spans="2:8" hidden="1" x14ac:dyDescent="0.35">
      <c r="B3576" s="80" t="s">
        <v>103</v>
      </c>
      <c r="C3576" s="80" t="s">
        <v>95</v>
      </c>
      <c r="D3576" s="73" t="s">
        <v>562</v>
      </c>
      <c r="E3576" s="74">
        <v>0.1</v>
      </c>
      <c r="F3576" s="78" t="s">
        <v>237</v>
      </c>
      <c r="G3576" s="77" t="s">
        <v>551</v>
      </c>
      <c r="H3576" t="str">
        <f>VLOOKUP(D3576,'DETALLE PRECIO INGREDIENTES'!B:B,1,0)</f>
        <v>CHOCOLATE ECUADOR BLANCO 31%</v>
      </c>
    </row>
    <row r="3577" spans="2:8" hidden="1" x14ac:dyDescent="0.35">
      <c r="B3577" s="80" t="s">
        <v>103</v>
      </c>
      <c r="C3577" s="80" t="s">
        <v>95</v>
      </c>
      <c r="D3577" s="73" t="s">
        <v>278</v>
      </c>
      <c r="E3577" s="74">
        <v>0.06</v>
      </c>
      <c r="F3577" s="78" t="s">
        <v>237</v>
      </c>
      <c r="G3577" s="77" t="s">
        <v>220</v>
      </c>
      <c r="H3577" t="str">
        <f>VLOOKUP(D3577,'DETALLE PRECIO INGREDIENTES'!B:B,1,0)</f>
        <v>AZUCAR FLOR</v>
      </c>
    </row>
    <row r="3578" spans="2:8" hidden="1" x14ac:dyDescent="0.35">
      <c r="B3578" s="80" t="s">
        <v>103</v>
      </c>
      <c r="C3578" s="80" t="s">
        <v>95</v>
      </c>
      <c r="D3578" s="73" t="s">
        <v>375</v>
      </c>
      <c r="E3578" s="74">
        <v>0.04</v>
      </c>
      <c r="F3578" s="78" t="s">
        <v>237</v>
      </c>
      <c r="G3578" s="77" t="s">
        <v>220</v>
      </c>
      <c r="H3578" t="str">
        <f>VLOOKUP(D3578,'DETALLE PRECIO INGREDIENTES'!B:B,1,0)</f>
        <v>MAICENA</v>
      </c>
    </row>
    <row r="3579" spans="2:8" hidden="1" x14ac:dyDescent="0.35">
      <c r="B3579" s="80" t="s">
        <v>103</v>
      </c>
      <c r="C3579" s="80" t="s">
        <v>95</v>
      </c>
      <c r="D3579" s="73" t="s">
        <v>420</v>
      </c>
      <c r="E3579" s="74">
        <v>5.0000000000000001E-3</v>
      </c>
      <c r="F3579" s="78" t="s">
        <v>237</v>
      </c>
      <c r="G3579" s="77" t="s">
        <v>220</v>
      </c>
      <c r="H3579" t="str">
        <f>VLOOKUP(D3579,'DETALLE PRECIO INGREDIENTES'!B:B,1,0)</f>
        <v>PASTA DE VAINILLA</v>
      </c>
    </row>
    <row r="3580" spans="2:8" hidden="1" x14ac:dyDescent="0.35">
      <c r="B3580" s="80" t="s">
        <v>103</v>
      </c>
      <c r="C3580" s="80" t="s">
        <v>95</v>
      </c>
      <c r="D3580" s="73" t="s">
        <v>511</v>
      </c>
      <c r="E3580" s="74">
        <v>1</v>
      </c>
      <c r="F3580" s="78" t="s">
        <v>259</v>
      </c>
      <c r="G3580" s="77" t="s">
        <v>485</v>
      </c>
      <c r="H3580" t="str">
        <f>VLOOKUP(D3580,'DETALLE PRECIO INGREDIENTES'!B:B,1,0)</f>
        <v>PAPEL CERESINADO PLIEGO</v>
      </c>
    </row>
    <row r="3581" spans="2:8" hidden="1" x14ac:dyDescent="0.35">
      <c r="B3581" s="80" t="s">
        <v>103</v>
      </c>
      <c r="C3581" s="80" t="s">
        <v>95</v>
      </c>
      <c r="D3581" s="73" t="s">
        <v>512</v>
      </c>
      <c r="E3581" s="74">
        <v>0.5</v>
      </c>
      <c r="F3581" s="78" t="s">
        <v>259</v>
      </c>
      <c r="G3581" s="77" t="s">
        <v>485</v>
      </c>
      <c r="H3581" t="str">
        <f>VLOOKUP(D3581,'DETALLE PRECIO INGREDIENTES'!B:B,1,0)</f>
        <v>PAPEL GUITARRA</v>
      </c>
    </row>
    <row r="3582" spans="2:8" hidden="1" x14ac:dyDescent="0.35">
      <c r="B3582" s="80" t="s">
        <v>103</v>
      </c>
      <c r="C3582" s="80" t="s">
        <v>95</v>
      </c>
      <c r="D3582" s="73" t="s">
        <v>336</v>
      </c>
      <c r="E3582" s="74">
        <v>8.0000000000000002E-3</v>
      </c>
      <c r="F3582" s="78" t="s">
        <v>237</v>
      </c>
      <c r="G3582" s="77" t="s">
        <v>220</v>
      </c>
      <c r="H3582" t="str">
        <f>VLOOKUP(D3582,'DETALLE PRECIO INGREDIENTES'!B:B,1,0)</f>
        <v>FRAMBUESA LIOFILIZADA</v>
      </c>
    </row>
    <row r="3583" spans="2:8" hidden="1" x14ac:dyDescent="0.35">
      <c r="B3583" s="80" t="s">
        <v>103</v>
      </c>
      <c r="C3583" s="80" t="s">
        <v>95</v>
      </c>
      <c r="D3583" s="73" t="s">
        <v>384</v>
      </c>
      <c r="E3583" s="74">
        <v>8.0000000000000002E-3</v>
      </c>
      <c r="F3583" s="78" t="s">
        <v>237</v>
      </c>
      <c r="G3583" s="77" t="s">
        <v>220</v>
      </c>
      <c r="H3583" t="str">
        <f>VLOOKUP(D3583,'DETALLE PRECIO INGREDIENTES'!B:B,1,0)</f>
        <v>MARACUYA CRISPY</v>
      </c>
    </row>
    <row r="3584" spans="2:8" hidden="1" x14ac:dyDescent="0.35">
      <c r="B3584" s="80" t="s">
        <v>103</v>
      </c>
      <c r="C3584" s="80" t="s">
        <v>95</v>
      </c>
      <c r="D3584" s="73" t="s">
        <v>565</v>
      </c>
      <c r="E3584" s="74">
        <v>0.05</v>
      </c>
      <c r="F3584" s="78" t="s">
        <v>237</v>
      </c>
      <c r="G3584" s="77" t="s">
        <v>551</v>
      </c>
      <c r="H3584" t="str">
        <f>VLOOKUP(D3584,'DETALLE PRECIO INGREDIENTES'!B:B,1,0)</f>
        <v>COBERTURA AMARGA</v>
      </c>
    </row>
    <row r="3585" spans="2:8" hidden="1" x14ac:dyDescent="0.35">
      <c r="B3585" s="80" t="s">
        <v>103</v>
      </c>
      <c r="C3585" s="80" t="s">
        <v>94</v>
      </c>
      <c r="D3585" s="73" t="s">
        <v>562</v>
      </c>
      <c r="E3585" s="74">
        <v>0.23</v>
      </c>
      <c r="F3585" s="78" t="s">
        <v>237</v>
      </c>
      <c r="G3585" s="77" t="s">
        <v>551</v>
      </c>
      <c r="H3585" t="str">
        <f>VLOOKUP(D3585,'DETALLE PRECIO INGREDIENTES'!B:B,1,0)</f>
        <v>CHOCOLATE ECUADOR BLANCO 31%</v>
      </c>
    </row>
    <row r="3586" spans="2:8" hidden="1" x14ac:dyDescent="0.35">
      <c r="B3586" s="80" t="s">
        <v>103</v>
      </c>
      <c r="C3586" s="80" t="s">
        <v>94</v>
      </c>
      <c r="D3586" s="73" t="s">
        <v>739</v>
      </c>
      <c r="E3586" s="74">
        <v>0.2</v>
      </c>
      <c r="F3586" s="78" t="s">
        <v>222</v>
      </c>
      <c r="G3586" s="77" t="s">
        <v>736</v>
      </c>
      <c r="H3586" t="str">
        <f>VLOOKUP(D3586,'DETALLE PRECIO INGREDIENTES'!B:B,1,0)</f>
        <v>CREMA DE LECHE</v>
      </c>
    </row>
    <row r="3587" spans="2:8" hidden="1" x14ac:dyDescent="0.35">
      <c r="B3587" s="80" t="s">
        <v>103</v>
      </c>
      <c r="C3587" s="80" t="s">
        <v>94</v>
      </c>
      <c r="D3587" s="73" t="s">
        <v>281</v>
      </c>
      <c r="E3587" s="74">
        <v>0.02</v>
      </c>
      <c r="F3587" s="78" t="s">
        <v>237</v>
      </c>
      <c r="G3587" s="77" t="s">
        <v>220</v>
      </c>
      <c r="H3587" t="str">
        <f>VLOOKUP(D3587,'DETALLE PRECIO INGREDIENTES'!B:B,1,0)</f>
        <v>AZUCAR INVERTIDA</v>
      </c>
    </row>
    <row r="3588" spans="2:8" hidden="1" x14ac:dyDescent="0.35">
      <c r="B3588" s="80" t="s">
        <v>103</v>
      </c>
      <c r="C3588" s="80" t="s">
        <v>94</v>
      </c>
      <c r="D3588" s="73" t="s">
        <v>751</v>
      </c>
      <c r="E3588" s="74">
        <v>0.05</v>
      </c>
      <c r="F3588" s="78" t="s">
        <v>237</v>
      </c>
      <c r="G3588" s="77" t="s">
        <v>736</v>
      </c>
      <c r="H3588" t="str">
        <f>VLOOKUP(D3588,'DETALLE PRECIO INGREDIENTES'!B:B,1,0)</f>
        <v>MANTEQUILLA SIN SAL</v>
      </c>
    </row>
    <row r="3589" spans="2:8" hidden="1" x14ac:dyDescent="0.35">
      <c r="B3589" s="80" t="s">
        <v>103</v>
      </c>
      <c r="C3589" s="80" t="s">
        <v>94</v>
      </c>
      <c r="D3589" s="73" t="s">
        <v>471</v>
      </c>
      <c r="E3589" s="74">
        <v>0.25</v>
      </c>
      <c r="F3589" s="78" t="s">
        <v>259</v>
      </c>
      <c r="G3589" s="77" t="s">
        <v>220</v>
      </c>
      <c r="H3589" t="str">
        <f>VLOOKUP(D3589,'DETALLE PRECIO INGREDIENTES'!B:B,1,0)</f>
        <v>VAINA VAINILLA</v>
      </c>
    </row>
    <row r="3590" spans="2:8" hidden="1" x14ac:dyDescent="0.35">
      <c r="B3590" s="80" t="s">
        <v>103</v>
      </c>
      <c r="C3590" s="80" t="s">
        <v>94</v>
      </c>
      <c r="D3590" s="73" t="s">
        <v>461</v>
      </c>
      <c r="E3590" s="74">
        <v>3.0000000000000001E-3</v>
      </c>
      <c r="F3590" s="78" t="s">
        <v>237</v>
      </c>
      <c r="G3590" s="77" t="s">
        <v>220</v>
      </c>
      <c r="H3590" t="str">
        <f>VLOOKUP(D3590,'DETALLE PRECIO INGREDIENTES'!B:B,1,0)</f>
        <v>SORBITOL</v>
      </c>
    </row>
    <row r="3591" spans="2:8" hidden="1" x14ac:dyDescent="0.35">
      <c r="B3591" s="80" t="s">
        <v>103</v>
      </c>
      <c r="C3591" s="80" t="s">
        <v>94</v>
      </c>
      <c r="D3591" s="73" t="s">
        <v>557</v>
      </c>
      <c r="E3591" s="74">
        <v>0.05</v>
      </c>
      <c r="F3591" s="78" t="s">
        <v>237</v>
      </c>
      <c r="G3591" s="77" t="s">
        <v>551</v>
      </c>
      <c r="H3591" t="str">
        <f>VLOOKUP(D3591,'DETALLE PRECIO INGREDIENTES'!B:B,1,0)</f>
        <v>CHOCOLATE AMARGO 56% FLUIDO</v>
      </c>
    </row>
    <row r="3592" spans="2:8" hidden="1" x14ac:dyDescent="0.35">
      <c r="B3592" s="80" t="s">
        <v>103</v>
      </c>
      <c r="C3592" s="80" t="s">
        <v>94</v>
      </c>
      <c r="D3592" s="73" t="s">
        <v>690</v>
      </c>
      <c r="E3592" s="74">
        <v>0.1</v>
      </c>
      <c r="F3592" s="78" t="s">
        <v>237</v>
      </c>
      <c r="G3592" s="77" t="s">
        <v>621</v>
      </c>
      <c r="H3592" t="str">
        <f>VLOOKUP(D3592,'DETALLE PRECIO INGREDIENTES'!B:B,1,0)</f>
        <v>NARANJA DE JUGO</v>
      </c>
    </row>
    <row r="3593" spans="2:8" hidden="1" x14ac:dyDescent="0.35">
      <c r="B3593" s="80" t="s">
        <v>103</v>
      </c>
      <c r="C3593" s="80" t="s">
        <v>94</v>
      </c>
      <c r="D3593" s="73" t="s">
        <v>561</v>
      </c>
      <c r="E3593" s="74">
        <v>0.08</v>
      </c>
      <c r="F3593" s="78" t="s">
        <v>237</v>
      </c>
      <c r="G3593" s="77" t="s">
        <v>551</v>
      </c>
      <c r="H3593" t="str">
        <f>VLOOKUP(D3593,'DETALLE PRECIO INGREDIENTES'!B:B,1,0)</f>
        <v>CHOCOLATE DE LECHE 33%</v>
      </c>
    </row>
    <row r="3594" spans="2:8" hidden="1" x14ac:dyDescent="0.35">
      <c r="B3594" s="80" t="s">
        <v>103</v>
      </c>
      <c r="C3594" s="80" t="s">
        <v>94</v>
      </c>
      <c r="D3594" s="73" t="s">
        <v>553</v>
      </c>
      <c r="E3594" s="74">
        <v>0.01</v>
      </c>
      <c r="F3594" s="78" t="s">
        <v>237</v>
      </c>
      <c r="G3594" s="77" t="s">
        <v>551</v>
      </c>
      <c r="H3594" t="str">
        <f>VLOOKUP(D3594,'DETALLE PRECIO INGREDIENTES'!B:B,1,0)</f>
        <v>CACAO EN POLVO ALCALINO</v>
      </c>
    </row>
    <row r="3595" spans="2:8" hidden="1" x14ac:dyDescent="0.35">
      <c r="B3595" s="80" t="s">
        <v>103</v>
      </c>
      <c r="C3595" s="80" t="s">
        <v>94</v>
      </c>
      <c r="D3595" s="73" t="s">
        <v>277</v>
      </c>
      <c r="E3595" s="74">
        <v>0.51</v>
      </c>
      <c r="F3595" s="78" t="s">
        <v>237</v>
      </c>
      <c r="G3595" s="77" t="s">
        <v>220</v>
      </c>
      <c r="H3595" t="str">
        <f>VLOOKUP(D3595,'DETALLE PRECIO INGREDIENTES'!B:B,1,0)</f>
        <v>AZUCAR BLANCA GRANULADA</v>
      </c>
    </row>
    <row r="3596" spans="2:8" hidden="1" x14ac:dyDescent="0.35">
      <c r="B3596" s="80" t="s">
        <v>103</v>
      </c>
      <c r="C3596" s="80" t="s">
        <v>94</v>
      </c>
      <c r="D3596" s="73" t="s">
        <v>348</v>
      </c>
      <c r="E3596" s="74">
        <v>0.23</v>
      </c>
      <c r="F3596" s="78" t="s">
        <v>237</v>
      </c>
      <c r="G3596" s="77" t="s">
        <v>220</v>
      </c>
      <c r="H3596" t="str">
        <f>VLOOKUP(D3596,'DETALLE PRECIO INGREDIENTES'!B:B,1,0)</f>
        <v>GLUCOSA</v>
      </c>
    </row>
    <row r="3597" spans="2:8" hidden="1" x14ac:dyDescent="0.35">
      <c r="B3597" s="80" t="s">
        <v>103</v>
      </c>
      <c r="C3597" s="80" t="s">
        <v>94</v>
      </c>
      <c r="D3597" s="73" t="s">
        <v>445</v>
      </c>
      <c r="E3597" s="74">
        <v>2E-3</v>
      </c>
      <c r="F3597" s="78" t="s">
        <v>237</v>
      </c>
      <c r="G3597" s="77" t="s">
        <v>220</v>
      </c>
      <c r="H3597" t="str">
        <f>VLOOKUP(D3597,'DETALLE PRECIO INGREDIENTES'!B:B,1,0)</f>
        <v>SAL DE MESA LOBOS</v>
      </c>
    </row>
    <row r="3598" spans="2:8" hidden="1" x14ac:dyDescent="0.35">
      <c r="B3598" s="80" t="s">
        <v>103</v>
      </c>
      <c r="C3598" s="80" t="s">
        <v>94</v>
      </c>
      <c r="D3598" s="73" t="s">
        <v>284</v>
      </c>
      <c r="E3598" s="74">
        <v>2E-3</v>
      </c>
      <c r="F3598" s="78" t="s">
        <v>237</v>
      </c>
      <c r="G3598" s="77" t="s">
        <v>220</v>
      </c>
      <c r="H3598" t="str">
        <f>VLOOKUP(D3598,'DETALLE PRECIO INGREDIENTES'!B:B,1,0)</f>
        <v>BICARBONATO DE SODIO</v>
      </c>
    </row>
    <row r="3599" spans="2:8" hidden="1" x14ac:dyDescent="0.35">
      <c r="B3599" s="80" t="s">
        <v>103</v>
      </c>
      <c r="C3599" s="80" t="s">
        <v>94</v>
      </c>
      <c r="D3599" s="73" t="s">
        <v>255</v>
      </c>
      <c r="E3599" s="74">
        <v>5.0000000000000001E-3</v>
      </c>
      <c r="F3599" s="78" t="s">
        <v>237</v>
      </c>
      <c r="G3599" s="77" t="s">
        <v>220</v>
      </c>
      <c r="H3599" t="str">
        <f>VLOOKUP(D3599,'DETALLE PRECIO INGREDIENTES'!B:B,1,0)</f>
        <v>ALBUMINA</v>
      </c>
    </row>
    <row r="3600" spans="2:8" hidden="1" x14ac:dyDescent="0.35">
      <c r="B3600" s="80" t="s">
        <v>103</v>
      </c>
      <c r="C3600" s="80" t="s">
        <v>94</v>
      </c>
      <c r="D3600" s="73" t="s">
        <v>685</v>
      </c>
      <c r="E3600" s="74">
        <v>5.0000000000000001E-3</v>
      </c>
      <c r="F3600" s="78" t="s">
        <v>237</v>
      </c>
      <c r="G3600" s="77" t="s">
        <v>621</v>
      </c>
      <c r="H3600" t="str">
        <f>VLOOKUP(D3600,'DETALLE PRECIO INGREDIENTES'!B:B,1,0)</f>
        <v>MENTA</v>
      </c>
    </row>
    <row r="3601" spans="2:8" hidden="1" x14ac:dyDescent="0.35">
      <c r="B3601" s="80" t="s">
        <v>103</v>
      </c>
      <c r="C3601" s="80" t="s">
        <v>94</v>
      </c>
      <c r="D3601" s="73" t="s">
        <v>593</v>
      </c>
      <c r="E3601" s="74">
        <v>0.15</v>
      </c>
      <c r="F3601" s="78" t="s">
        <v>237</v>
      </c>
      <c r="G3601" s="77" t="s">
        <v>587</v>
      </c>
      <c r="H3601" t="str">
        <f>VLOOKUP(D3601,'DETALLE PRECIO INGREDIENTES'!B:B,1,0)</f>
        <v>PULPA DE FRAMBUESA S/AZUCAR</v>
      </c>
    </row>
    <row r="3602" spans="2:8" hidden="1" x14ac:dyDescent="0.35">
      <c r="B3602" s="80" t="s">
        <v>103</v>
      </c>
      <c r="C3602" s="80" t="s">
        <v>94</v>
      </c>
      <c r="D3602" s="73" t="s">
        <v>345</v>
      </c>
      <c r="E3602" s="74">
        <v>3.5000000000000003E-2</v>
      </c>
      <c r="F3602" s="78" t="s">
        <v>237</v>
      </c>
      <c r="G3602" s="77" t="s">
        <v>220</v>
      </c>
      <c r="H3602" t="str">
        <f>VLOOKUP(D3602,'DETALLE PRECIO INGREDIENTES'!B:B,1,0)</f>
        <v>GELATINA SIN SABOR</v>
      </c>
    </row>
    <row r="3603" spans="2:8" hidden="1" x14ac:dyDescent="0.35">
      <c r="B3603" s="80" t="s">
        <v>103</v>
      </c>
      <c r="C3603" s="80" t="s">
        <v>94</v>
      </c>
      <c r="D3603" s="73" t="s">
        <v>278</v>
      </c>
      <c r="E3603" s="74">
        <v>0.15</v>
      </c>
      <c r="F3603" s="78" t="s">
        <v>237</v>
      </c>
      <c r="G3603" s="77" t="s">
        <v>220</v>
      </c>
      <c r="H3603" t="str">
        <f>VLOOKUP(D3603,'DETALLE PRECIO INGREDIENTES'!B:B,1,0)</f>
        <v>AZUCAR FLOR</v>
      </c>
    </row>
    <row r="3604" spans="2:8" hidden="1" x14ac:dyDescent="0.35">
      <c r="B3604" s="80" t="s">
        <v>103</v>
      </c>
      <c r="C3604" s="80" t="s">
        <v>94</v>
      </c>
      <c r="D3604" s="73" t="s">
        <v>375</v>
      </c>
      <c r="E3604" s="74">
        <v>0.08</v>
      </c>
      <c r="F3604" s="78" t="s">
        <v>237</v>
      </c>
      <c r="G3604" s="77" t="s">
        <v>220</v>
      </c>
      <c r="H3604" t="str">
        <f>VLOOKUP(D3604,'DETALLE PRECIO INGREDIENTES'!B:B,1,0)</f>
        <v>MAICENA</v>
      </c>
    </row>
    <row r="3605" spans="2:8" hidden="1" x14ac:dyDescent="0.35">
      <c r="B3605" s="80" t="s">
        <v>103</v>
      </c>
      <c r="C3605" s="80" t="s">
        <v>94</v>
      </c>
      <c r="D3605" s="73" t="s">
        <v>748</v>
      </c>
      <c r="E3605" s="74">
        <v>0.05</v>
      </c>
      <c r="F3605" s="78" t="s">
        <v>222</v>
      </c>
      <c r="G3605" s="77" t="s">
        <v>736</v>
      </c>
      <c r="H3605" t="str">
        <f>VLOOKUP(D3605,'DETALLE PRECIO INGREDIENTES'!B:B,1,0)</f>
        <v>LECHE ENTERA</v>
      </c>
    </row>
    <row r="3606" spans="2:8" hidden="1" x14ac:dyDescent="0.35">
      <c r="B3606" s="80" t="s">
        <v>103</v>
      </c>
      <c r="C3606" s="80" t="s">
        <v>94</v>
      </c>
      <c r="D3606" s="73" t="s">
        <v>273</v>
      </c>
      <c r="E3606" s="74">
        <v>2.5000000000000001E-2</v>
      </c>
      <c r="F3606" s="78" t="s">
        <v>237</v>
      </c>
      <c r="G3606" s="77" t="s">
        <v>220</v>
      </c>
      <c r="H3606" t="str">
        <f>VLOOKUP(D3606,'DETALLE PRECIO INGREDIENTES'!B:B,1,0)</f>
        <v>AVELLANAS EUROPEAS</v>
      </c>
    </row>
    <row r="3607" spans="2:8" hidden="1" x14ac:dyDescent="0.35">
      <c r="B3607" s="80" t="s">
        <v>103</v>
      </c>
      <c r="C3607" s="80" t="s">
        <v>94</v>
      </c>
      <c r="D3607" s="73" t="s">
        <v>329</v>
      </c>
      <c r="E3607" s="74">
        <v>5.0000000000000001E-3</v>
      </c>
      <c r="F3607" s="78" t="s">
        <v>222</v>
      </c>
      <c r="G3607" s="77" t="s">
        <v>220</v>
      </c>
      <c r="H3607" t="str">
        <f>VLOOKUP(D3607,'DETALLE PRECIO INGREDIENTES'!B:B,1,0)</f>
        <v>ESENCIA DE VAINILLA</v>
      </c>
    </row>
    <row r="3608" spans="2:8" hidden="1" x14ac:dyDescent="0.35">
      <c r="B3608" s="80" t="s">
        <v>103</v>
      </c>
      <c r="C3608" s="80" t="s">
        <v>94</v>
      </c>
      <c r="D3608" s="73" t="s">
        <v>711</v>
      </c>
      <c r="E3608" s="74">
        <v>0.01</v>
      </c>
      <c r="F3608" s="78" t="s">
        <v>237</v>
      </c>
      <c r="G3608" s="77" t="s">
        <v>621</v>
      </c>
      <c r="H3608" t="str">
        <f>VLOOKUP(D3608,'DETALLE PRECIO INGREDIENTES'!B:B,1,0)</f>
        <v>ROMERO FRESCO EN RAMA</v>
      </c>
    </row>
    <row r="3609" spans="2:8" hidden="1" x14ac:dyDescent="0.35">
      <c r="B3609" s="80" t="s">
        <v>103</v>
      </c>
      <c r="C3609" s="80" t="s">
        <v>94</v>
      </c>
      <c r="D3609" s="73" t="s">
        <v>961</v>
      </c>
      <c r="E3609" s="74">
        <v>0.08</v>
      </c>
      <c r="F3609" s="78" t="s">
        <v>237</v>
      </c>
      <c r="G3609" s="77" t="s">
        <v>220</v>
      </c>
      <c r="H3609" t="str">
        <f>VLOOKUP(D3609,'DETALLE PRECIO INGREDIENTES'!B:B,1,0)</f>
        <v>miel</v>
      </c>
    </row>
    <row r="3610" spans="2:8" hidden="1" x14ac:dyDescent="0.35">
      <c r="B3610" s="80" t="s">
        <v>103</v>
      </c>
      <c r="C3610" s="80" t="s">
        <v>94</v>
      </c>
      <c r="D3610" s="73" t="s">
        <v>729</v>
      </c>
      <c r="E3610" s="74">
        <v>1</v>
      </c>
      <c r="F3610" s="78" t="s">
        <v>259</v>
      </c>
      <c r="G3610" s="77" t="s">
        <v>728</v>
      </c>
      <c r="H3610" t="str">
        <f>VLOOKUP(D3610,'DETALLE PRECIO INGREDIENTES'!B:B,1,0)</f>
        <v>HUEVO EXTRA BLANCO</v>
      </c>
    </row>
    <row r="3611" spans="2:8" hidden="1" x14ac:dyDescent="0.35">
      <c r="B3611" s="80" t="s">
        <v>103</v>
      </c>
      <c r="C3611" s="80" t="s">
        <v>94</v>
      </c>
      <c r="D3611" s="73" t="s">
        <v>570</v>
      </c>
      <c r="E3611" s="74">
        <v>1.7999999999999999E-2</v>
      </c>
      <c r="F3611" s="78" t="s">
        <v>237</v>
      </c>
      <c r="G3611" s="77" t="s">
        <v>551</v>
      </c>
      <c r="H3611" t="str">
        <f>VLOOKUP(D3611,'DETALLE PRECIO INGREDIENTES'!B:B,1,0)</f>
        <v>MANTECA DE CACAO</v>
      </c>
    </row>
    <row r="3612" spans="2:8" hidden="1" x14ac:dyDescent="0.35">
      <c r="B3612" s="80" t="s">
        <v>103</v>
      </c>
      <c r="C3612" s="80" t="s">
        <v>94</v>
      </c>
      <c r="D3612" s="73" t="s">
        <v>261</v>
      </c>
      <c r="E3612" s="74">
        <v>0.05</v>
      </c>
      <c r="F3612" s="78" t="s">
        <v>237</v>
      </c>
      <c r="G3612" s="77" t="s">
        <v>220</v>
      </c>
      <c r="H3612" t="str">
        <f>VLOOKUP(D3612,'DETALLE PRECIO INGREDIENTES'!B:B,1,0)</f>
        <v>ALMENDRAS ENTERAS</v>
      </c>
    </row>
    <row r="3613" spans="2:8" hidden="1" x14ac:dyDescent="0.35">
      <c r="B3613" s="80" t="s">
        <v>103</v>
      </c>
      <c r="C3613" s="80" t="s">
        <v>94</v>
      </c>
      <c r="D3613" s="73" t="s">
        <v>727</v>
      </c>
      <c r="E3613" s="74">
        <v>0.02</v>
      </c>
      <c r="F3613" s="78" t="s">
        <v>237</v>
      </c>
      <c r="G3613" s="77" t="s">
        <v>724</v>
      </c>
      <c r="H3613" t="str">
        <f>VLOOKUP(D3613,'DETALLE PRECIO INGREDIENTES'!B:B,1,0)</f>
        <v>PISTACHOS S/CASCARA SIN SAL</v>
      </c>
    </row>
    <row r="3614" spans="2:8" hidden="1" x14ac:dyDescent="0.35">
      <c r="B3614" s="80" t="s">
        <v>103</v>
      </c>
      <c r="C3614" s="80" t="s">
        <v>94</v>
      </c>
      <c r="D3614" s="73" t="s">
        <v>401</v>
      </c>
      <c r="E3614" s="74">
        <v>0.03</v>
      </c>
      <c r="F3614" s="78" t="s">
        <v>237</v>
      </c>
      <c r="G3614" s="77" t="s">
        <v>220</v>
      </c>
      <c r="H3614" t="str">
        <f>VLOOKUP(D3614,'DETALLE PRECIO INGREDIENTES'!B:B,1,0)</f>
        <v>NARANJA CONFITADA</v>
      </c>
    </row>
    <row r="3615" spans="2:8" hidden="1" x14ac:dyDescent="0.35">
      <c r="B3615" s="80" t="s">
        <v>103</v>
      </c>
      <c r="C3615" s="80" t="s">
        <v>94</v>
      </c>
      <c r="D3615" s="73" t="s">
        <v>420</v>
      </c>
      <c r="E3615" s="74">
        <v>8.0000000000000002E-3</v>
      </c>
      <c r="F3615" s="78" t="s">
        <v>237</v>
      </c>
      <c r="G3615" s="77" t="s">
        <v>220</v>
      </c>
      <c r="H3615" t="str">
        <f>VLOOKUP(D3615,'DETALLE PRECIO INGREDIENTES'!B:B,1,0)</f>
        <v>PASTA DE VAINILLA</v>
      </c>
    </row>
    <row r="3616" spans="2:8" hidden="1" x14ac:dyDescent="0.35">
      <c r="B3616" s="80" t="s">
        <v>103</v>
      </c>
      <c r="C3616" s="80" t="s">
        <v>94</v>
      </c>
      <c r="D3616" s="73" t="s">
        <v>705</v>
      </c>
      <c r="E3616" s="74">
        <v>0.08</v>
      </c>
      <c r="F3616" s="78" t="s">
        <v>237</v>
      </c>
      <c r="G3616" s="77" t="s">
        <v>621</v>
      </c>
      <c r="H3616" t="str">
        <f>VLOOKUP(D3616,'DETALLE PRECIO INGREDIENTES'!B:B,1,0)</f>
        <v>PLATANOS</v>
      </c>
    </row>
    <row r="3617" spans="2:8" hidden="1" x14ac:dyDescent="0.35">
      <c r="B3617" s="80" t="s">
        <v>103</v>
      </c>
      <c r="C3617" s="80" t="s">
        <v>94</v>
      </c>
      <c r="D3617" s="73" t="s">
        <v>511</v>
      </c>
      <c r="E3617" s="74">
        <v>1.5</v>
      </c>
      <c r="F3617" s="78" t="s">
        <v>259</v>
      </c>
      <c r="G3617" s="77" t="s">
        <v>485</v>
      </c>
      <c r="H3617" t="str">
        <f>VLOOKUP(D3617,'DETALLE PRECIO INGREDIENTES'!B:B,1,0)</f>
        <v>PAPEL CERESINADO PLIEGO</v>
      </c>
    </row>
    <row r="3618" spans="2:8" hidden="1" x14ac:dyDescent="0.35">
      <c r="B3618" s="80" t="s">
        <v>103</v>
      </c>
      <c r="C3618" s="80" t="s">
        <v>94</v>
      </c>
      <c r="D3618" s="73" t="s">
        <v>512</v>
      </c>
      <c r="E3618" s="74">
        <v>1</v>
      </c>
      <c r="F3618" s="78" t="s">
        <v>259</v>
      </c>
      <c r="G3618" s="77" t="s">
        <v>485</v>
      </c>
      <c r="H3618" t="str">
        <f>VLOOKUP(D3618,'DETALLE PRECIO INGREDIENTES'!B:B,1,0)</f>
        <v>PAPEL GUITARRA</v>
      </c>
    </row>
    <row r="3619" spans="2:8" hidden="1" x14ac:dyDescent="0.35">
      <c r="B3619" s="80" t="s">
        <v>103</v>
      </c>
      <c r="C3619" s="80" t="s">
        <v>94</v>
      </c>
      <c r="D3619" s="73" t="s">
        <v>502</v>
      </c>
      <c r="E3619" s="74">
        <v>2</v>
      </c>
      <c r="F3619" s="78" t="s">
        <v>259</v>
      </c>
      <c r="G3619" s="77" t="s">
        <v>485</v>
      </c>
      <c r="H3619" t="str">
        <f>VLOOKUP(D3619,'DETALLE PRECIO INGREDIENTES'!B:B,1,0)</f>
        <v>MANGAS DESECHABLES MEDIANAS</v>
      </c>
    </row>
    <row r="3620" spans="2:8" hidden="1" x14ac:dyDescent="0.35">
      <c r="B3620" s="80" t="s">
        <v>103</v>
      </c>
      <c r="C3620" s="80" t="s">
        <v>94</v>
      </c>
      <c r="D3620" s="73" t="s">
        <v>243</v>
      </c>
      <c r="E3620" s="74">
        <v>2E-3</v>
      </c>
      <c r="F3620" s="78" t="s">
        <v>237</v>
      </c>
      <c r="G3620" s="77" t="s">
        <v>220</v>
      </c>
      <c r="H3620" t="str">
        <f>VLOOKUP(D3620,'DETALLE PRECIO INGREDIENTES'!B:B,1,0)</f>
        <v>ACIDO CITRICO</v>
      </c>
    </row>
    <row r="3621" spans="2:8" hidden="1" x14ac:dyDescent="0.35">
      <c r="B3621" s="80" t="s">
        <v>103</v>
      </c>
      <c r="C3621" s="80" t="s">
        <v>94</v>
      </c>
      <c r="D3621" s="73" t="s">
        <v>328</v>
      </c>
      <c r="E3621" s="74">
        <v>3.0000000000000001E-3</v>
      </c>
      <c r="F3621" s="78" t="s">
        <v>222</v>
      </c>
      <c r="G3621" s="77" t="s">
        <v>220</v>
      </c>
      <c r="H3621" t="str">
        <f>VLOOKUP(D3621,'DETALLE PRECIO INGREDIENTES'!B:B,1,0)</f>
        <v>ESENCIA DE PIÑA</v>
      </c>
    </row>
    <row r="3622" spans="2:8" hidden="1" x14ac:dyDescent="0.35">
      <c r="B3622" s="80" t="s">
        <v>103</v>
      </c>
      <c r="C3622" s="80" t="s">
        <v>94</v>
      </c>
      <c r="D3622" s="73" t="s">
        <v>326</v>
      </c>
      <c r="E3622" s="74">
        <v>3.0000000000000001E-3</v>
      </c>
      <c r="F3622" s="78" t="s">
        <v>222</v>
      </c>
      <c r="G3622" s="77" t="s">
        <v>220</v>
      </c>
      <c r="H3622" t="str">
        <f>VLOOKUP(D3622,'DETALLE PRECIO INGREDIENTES'!B:B,1,0)</f>
        <v>ESENCIA DE FRAMBUESA</v>
      </c>
    </row>
    <row r="3623" spans="2:8" hidden="1" x14ac:dyDescent="0.35">
      <c r="B3623" s="80" t="s">
        <v>103</v>
      </c>
      <c r="C3623" s="80" t="s">
        <v>94</v>
      </c>
      <c r="D3623" s="73" t="s">
        <v>576</v>
      </c>
      <c r="E3623" s="74">
        <v>3.0000000000000001E-3</v>
      </c>
      <c r="F3623" s="78" t="s">
        <v>259</v>
      </c>
      <c r="G3623" s="77" t="s">
        <v>573</v>
      </c>
      <c r="H3623" t="str">
        <f>VLOOKUP(D3623,'DETALLE PRECIO INGREDIENTES'!B:B,1,0)</f>
        <v>COLORANTE HIDROSOLUBLE POLVO AMARILLO</v>
      </c>
    </row>
    <row r="3624" spans="2:8" hidden="1" x14ac:dyDescent="0.35">
      <c r="B3624" s="80" t="s">
        <v>103</v>
      </c>
      <c r="C3624" s="80" t="s">
        <v>94</v>
      </c>
      <c r="D3624" s="73" t="s">
        <v>577</v>
      </c>
      <c r="E3624" s="74">
        <v>3.0000000000000001E-3</v>
      </c>
      <c r="F3624" s="78" t="s">
        <v>259</v>
      </c>
      <c r="G3624" s="77" t="s">
        <v>573</v>
      </c>
      <c r="H3624" t="str">
        <f>VLOOKUP(D3624,'DETALLE PRECIO INGREDIENTES'!B:B,1,0)</f>
        <v>COLORANTE HIDROSOLUBLE POLVO ROJO</v>
      </c>
    </row>
    <row r="3625" spans="2:8" hidden="1" x14ac:dyDescent="0.35">
      <c r="B3625" s="80" t="s">
        <v>103</v>
      </c>
      <c r="C3625" s="80" t="s">
        <v>94</v>
      </c>
      <c r="D3625" s="73" t="s">
        <v>566</v>
      </c>
      <c r="E3625" s="74">
        <v>0.1</v>
      </c>
      <c r="F3625" s="78" t="s">
        <v>237</v>
      </c>
      <c r="G3625" s="77" t="s">
        <v>551</v>
      </c>
      <c r="H3625" t="str">
        <f>VLOOKUP(D3625,'DETALLE PRECIO INGREDIENTES'!B:B,1,0)</f>
        <v>COBERTURA BLANCA</v>
      </c>
    </row>
    <row r="3626" spans="2:8" hidden="1" x14ac:dyDescent="0.35">
      <c r="B3626" s="80" t="s">
        <v>103</v>
      </c>
      <c r="C3626" s="80" t="s">
        <v>94</v>
      </c>
      <c r="D3626" s="73" t="s">
        <v>568</v>
      </c>
      <c r="E3626" s="74">
        <v>0.08</v>
      </c>
      <c r="F3626" s="78" t="s">
        <v>237</v>
      </c>
      <c r="G3626" s="77" t="s">
        <v>551</v>
      </c>
      <c r="H3626" t="str">
        <f>VLOOKUP(D3626,'DETALLE PRECIO INGREDIENTES'!B:B,1,0)</f>
        <v>COBERTURA LECHE MONEDAS NEUCOBER</v>
      </c>
    </row>
    <row r="3627" spans="2:8" hidden="1" x14ac:dyDescent="0.35">
      <c r="B3627" s="80" t="s">
        <v>103</v>
      </c>
      <c r="C3627" s="80" t="s">
        <v>94</v>
      </c>
      <c r="D3627" s="73" t="s">
        <v>565</v>
      </c>
      <c r="E3627" s="74">
        <v>0.1</v>
      </c>
      <c r="F3627" s="78" t="s">
        <v>237</v>
      </c>
      <c r="G3627" s="77" t="s">
        <v>551</v>
      </c>
      <c r="H3627" t="str">
        <f>VLOOKUP(D3627,'DETALLE PRECIO INGREDIENTES'!B:B,1,0)</f>
        <v>COBERTURA AMARGA</v>
      </c>
    </row>
    <row r="3628" spans="2:8" hidden="1" x14ac:dyDescent="0.35">
      <c r="B3628" s="80" t="s">
        <v>92</v>
      </c>
      <c r="C3628" s="80" t="s">
        <v>82</v>
      </c>
      <c r="D3628" s="73" t="s">
        <v>277</v>
      </c>
      <c r="E3628" s="74">
        <v>0.05</v>
      </c>
      <c r="F3628" s="78" t="s">
        <v>237</v>
      </c>
      <c r="G3628" s="77" t="s">
        <v>220</v>
      </c>
      <c r="H3628" t="str">
        <f>VLOOKUP(D3628,'DETALLE PRECIO INGREDIENTES'!B:B,1,0)</f>
        <v>AZUCAR BLANCA GRANULADA</v>
      </c>
    </row>
    <row r="3629" spans="2:8" hidden="1" x14ac:dyDescent="0.35">
      <c r="B3629" s="80" t="s">
        <v>92</v>
      </c>
      <c r="C3629" s="80" t="s">
        <v>82</v>
      </c>
      <c r="D3629" s="73" t="s">
        <v>362</v>
      </c>
      <c r="E3629" s="74">
        <v>0.8</v>
      </c>
      <c r="F3629" s="78" t="s">
        <v>237</v>
      </c>
      <c r="G3629" s="77" t="s">
        <v>220</v>
      </c>
      <c r="H3629" t="str">
        <f>VLOOKUP(D3629,'DETALLE PRECIO INGREDIENTES'!B:B,1,0)</f>
        <v>HARINA PANADERA SOBRE 13 GR</v>
      </c>
    </row>
    <row r="3630" spans="2:8" hidden="1" x14ac:dyDescent="0.35">
      <c r="B3630" s="80" t="s">
        <v>92</v>
      </c>
      <c r="C3630" s="80" t="s">
        <v>82</v>
      </c>
      <c r="D3630" s="73" t="s">
        <v>373</v>
      </c>
      <c r="E3630" s="74">
        <v>0.03</v>
      </c>
      <c r="F3630" s="78" t="s">
        <v>237</v>
      </c>
      <c r="G3630" s="77" t="s">
        <v>220</v>
      </c>
      <c r="H3630" t="str">
        <f>VLOOKUP(D3630,'DETALLE PRECIO INGREDIENTES'!B:B,1,0)</f>
        <v>LEVADURA FRESCA</v>
      </c>
    </row>
    <row r="3631" spans="2:8" hidden="1" x14ac:dyDescent="0.35">
      <c r="B3631" s="80" t="s">
        <v>92</v>
      </c>
      <c r="C3631" s="80" t="s">
        <v>82</v>
      </c>
      <c r="D3631" s="73" t="s">
        <v>430</v>
      </c>
      <c r="E3631" s="74">
        <v>0.01</v>
      </c>
      <c r="F3631" s="78" t="s">
        <v>237</v>
      </c>
      <c r="G3631" s="77" t="s">
        <v>220</v>
      </c>
      <c r="H3631" t="str">
        <f>VLOOKUP(D3631,'DETALLE PRECIO INGREDIENTES'!B:B,1,0)</f>
        <v>PLUS PAN/MEJORADOR</v>
      </c>
    </row>
    <row r="3632" spans="2:8" hidden="1" x14ac:dyDescent="0.35">
      <c r="B3632" s="80" t="s">
        <v>92</v>
      </c>
      <c r="C3632" s="80" t="s">
        <v>82</v>
      </c>
      <c r="D3632" s="73" t="s">
        <v>445</v>
      </c>
      <c r="E3632" s="74">
        <v>0.03</v>
      </c>
      <c r="F3632" s="78" t="s">
        <v>237</v>
      </c>
      <c r="G3632" s="77" t="s">
        <v>220</v>
      </c>
      <c r="H3632" t="str">
        <f>VLOOKUP(D3632,'DETALLE PRECIO INGREDIENTES'!B:B,1,0)</f>
        <v>SAL DE MESA LOBOS</v>
      </c>
    </row>
    <row r="3633" spans="2:8" hidden="1" x14ac:dyDescent="0.35">
      <c r="B3633" s="80" t="s">
        <v>92</v>
      </c>
      <c r="C3633" s="80" t="s">
        <v>82</v>
      </c>
      <c r="D3633" s="73" t="s">
        <v>381</v>
      </c>
      <c r="E3633" s="74">
        <v>0.14000000000000001</v>
      </c>
      <c r="F3633" s="78" t="s">
        <v>237</v>
      </c>
      <c r="G3633" s="77" t="s">
        <v>220</v>
      </c>
      <c r="H3633" t="str">
        <f>VLOOKUP(D3633,'DETALLE PRECIO INGREDIENTES'!B:B,1,0)</f>
        <v>MANTECA VEGETAL</v>
      </c>
    </row>
    <row r="3634" spans="2:8" hidden="1" x14ac:dyDescent="0.35">
      <c r="B3634" s="80" t="s">
        <v>92</v>
      </c>
      <c r="C3634" s="80" t="s">
        <v>82</v>
      </c>
      <c r="D3634" s="73" t="s">
        <v>751</v>
      </c>
      <c r="E3634" s="74">
        <v>0.1</v>
      </c>
      <c r="F3634" s="78" t="s">
        <v>237</v>
      </c>
      <c r="G3634" s="77" t="s">
        <v>736</v>
      </c>
      <c r="H3634" t="str">
        <f>VLOOKUP(D3634,'DETALLE PRECIO INGREDIENTES'!B:B,1,0)</f>
        <v>MANTEQUILLA SIN SAL</v>
      </c>
    </row>
    <row r="3635" spans="2:8" hidden="1" x14ac:dyDescent="0.35">
      <c r="B3635" s="80" t="s">
        <v>92</v>
      </c>
      <c r="C3635" s="80" t="s">
        <v>82</v>
      </c>
      <c r="D3635" s="73" t="s">
        <v>228</v>
      </c>
      <c r="E3635" s="74">
        <v>0.04</v>
      </c>
      <c r="F3635" s="78" t="s">
        <v>222</v>
      </c>
      <c r="G3635" s="77" t="s">
        <v>220</v>
      </c>
      <c r="H3635" t="str">
        <f>VLOOKUP(D3635,'DETALLE PRECIO INGREDIENTES'!B:B,1,0)</f>
        <v>ACEITE DE MARAVILLA</v>
      </c>
    </row>
    <row r="3636" spans="2:8" hidden="1" x14ac:dyDescent="0.35">
      <c r="B3636" s="80" t="s">
        <v>92</v>
      </c>
      <c r="C3636" s="80" t="s">
        <v>82</v>
      </c>
      <c r="D3636" s="73" t="s">
        <v>729</v>
      </c>
      <c r="E3636" s="74">
        <v>0.5</v>
      </c>
      <c r="F3636" s="78" t="s">
        <v>259</v>
      </c>
      <c r="G3636" s="77" t="s">
        <v>728</v>
      </c>
      <c r="H3636" t="str">
        <f>VLOOKUP(D3636,'DETALLE PRECIO INGREDIENTES'!B:B,1,0)</f>
        <v>HUEVO EXTRA BLANCO</v>
      </c>
    </row>
    <row r="3637" spans="2:8" hidden="1" x14ac:dyDescent="0.35">
      <c r="B3637" s="80" t="s">
        <v>92</v>
      </c>
      <c r="C3637" s="80" t="s">
        <v>90</v>
      </c>
      <c r="D3637" s="73" t="s">
        <v>362</v>
      </c>
      <c r="E3637" s="74">
        <v>0.8</v>
      </c>
      <c r="F3637" s="78" t="s">
        <v>237</v>
      </c>
      <c r="G3637" s="77" t="s">
        <v>220</v>
      </c>
      <c r="H3637" t="str">
        <f>VLOOKUP(D3637,'DETALLE PRECIO INGREDIENTES'!B:B,1,0)</f>
        <v>HARINA PANADERA SOBRE 13 GR</v>
      </c>
    </row>
    <row r="3638" spans="2:8" hidden="1" x14ac:dyDescent="0.35">
      <c r="B3638" s="80" t="s">
        <v>92</v>
      </c>
      <c r="C3638" s="80" t="s">
        <v>90</v>
      </c>
      <c r="D3638" s="73" t="s">
        <v>373</v>
      </c>
      <c r="E3638" s="74">
        <v>0.01</v>
      </c>
      <c r="F3638" s="78" t="s">
        <v>237</v>
      </c>
      <c r="G3638" s="77" t="s">
        <v>220</v>
      </c>
      <c r="H3638" t="str">
        <f>VLOOKUP(D3638,'DETALLE PRECIO INGREDIENTES'!B:B,1,0)</f>
        <v>LEVADURA FRESCA</v>
      </c>
    </row>
    <row r="3639" spans="2:8" hidden="1" x14ac:dyDescent="0.35">
      <c r="B3639" s="80" t="s">
        <v>92</v>
      </c>
      <c r="C3639" s="80" t="s">
        <v>90</v>
      </c>
      <c r="D3639" s="73" t="s">
        <v>445</v>
      </c>
      <c r="E3639" s="74">
        <v>1.4999999999999999E-2</v>
      </c>
      <c r="F3639" s="78" t="s">
        <v>237</v>
      </c>
      <c r="G3639" s="77" t="s">
        <v>220</v>
      </c>
      <c r="H3639" t="str">
        <f>VLOOKUP(D3639,'DETALLE PRECIO INGREDIENTES'!B:B,1,0)</f>
        <v>SAL DE MESA LOBOS</v>
      </c>
    </row>
    <row r="3640" spans="2:8" hidden="1" x14ac:dyDescent="0.35">
      <c r="B3640" s="80" t="s">
        <v>92</v>
      </c>
      <c r="C3640" s="80" t="s">
        <v>90</v>
      </c>
      <c r="D3640" s="73" t="s">
        <v>374</v>
      </c>
      <c r="E3640" s="74">
        <v>8.0000000000000002E-3</v>
      </c>
      <c r="F3640" s="78" t="s">
        <v>237</v>
      </c>
      <c r="G3640" s="77" t="s">
        <v>220</v>
      </c>
      <c r="H3640" t="str">
        <f>VLOOKUP(D3640,'DETALLE PRECIO INGREDIENTES'!B:B,1,0)</f>
        <v>LEVADURA SECA</v>
      </c>
    </row>
    <row r="3641" spans="2:8" hidden="1" x14ac:dyDescent="0.35">
      <c r="B3641" s="80" t="s">
        <v>92</v>
      </c>
      <c r="C3641" s="80" t="s">
        <v>90</v>
      </c>
      <c r="D3641" s="73" t="s">
        <v>277</v>
      </c>
      <c r="E3641" s="74">
        <v>2.1000000000000001E-2</v>
      </c>
      <c r="F3641" s="78" t="s">
        <v>237</v>
      </c>
      <c r="G3641" s="77" t="s">
        <v>220</v>
      </c>
      <c r="H3641" t="str">
        <f>VLOOKUP(D3641,'DETALLE PRECIO INGREDIENTES'!B:B,1,0)</f>
        <v>AZUCAR BLANCA GRANULADA</v>
      </c>
    </row>
    <row r="3642" spans="2:8" hidden="1" x14ac:dyDescent="0.35">
      <c r="B3642" s="80" t="s">
        <v>92</v>
      </c>
      <c r="C3642" s="80" t="s">
        <v>90</v>
      </c>
      <c r="D3642" s="73" t="s">
        <v>221</v>
      </c>
      <c r="E3642" s="74">
        <v>0.02</v>
      </c>
      <c r="F3642" s="78" t="s">
        <v>222</v>
      </c>
      <c r="G3642" s="77" t="s">
        <v>220</v>
      </c>
      <c r="H3642" t="str">
        <f>VLOOKUP(D3642,'DETALLE PRECIO INGREDIENTES'!B:B,1,0)</f>
        <v>ACEITE DE CANOLA</v>
      </c>
    </row>
    <row r="3643" spans="2:8" hidden="1" x14ac:dyDescent="0.35">
      <c r="B3643" s="80" t="s">
        <v>92</v>
      </c>
      <c r="C3643" s="80" t="s">
        <v>90</v>
      </c>
      <c r="D3643" s="73" t="s">
        <v>961</v>
      </c>
      <c r="E3643" s="74">
        <v>8.0000000000000002E-3</v>
      </c>
      <c r="F3643" s="78" t="s">
        <v>237</v>
      </c>
      <c r="G3643" s="77" t="s">
        <v>220</v>
      </c>
      <c r="H3643" t="str">
        <f>VLOOKUP(D3643,'DETALLE PRECIO INGREDIENTES'!B:B,1,0)</f>
        <v>miel</v>
      </c>
    </row>
    <row r="3644" spans="2:8" hidden="1" x14ac:dyDescent="0.35">
      <c r="B3644" s="80" t="s">
        <v>92</v>
      </c>
      <c r="C3644" s="80" t="s">
        <v>90</v>
      </c>
      <c r="D3644" s="73" t="s">
        <v>729</v>
      </c>
      <c r="E3644" s="74">
        <v>0.25</v>
      </c>
      <c r="F3644" s="78" t="s">
        <v>259</v>
      </c>
      <c r="G3644" s="77" t="s">
        <v>728</v>
      </c>
      <c r="H3644" t="str">
        <f>VLOOKUP(D3644,'DETALLE PRECIO INGREDIENTES'!B:B,1,0)</f>
        <v>HUEVO EXTRA BLANCO</v>
      </c>
    </row>
    <row r="3645" spans="2:8" hidden="1" x14ac:dyDescent="0.35">
      <c r="B3645" s="80" t="s">
        <v>92</v>
      </c>
      <c r="C3645" s="80" t="s">
        <v>90</v>
      </c>
      <c r="D3645" s="73" t="s">
        <v>452</v>
      </c>
      <c r="E3645" s="74">
        <v>0.01</v>
      </c>
      <c r="F3645" s="78" t="s">
        <v>237</v>
      </c>
      <c r="G3645" s="77" t="s">
        <v>220</v>
      </c>
      <c r="H3645" t="str">
        <f>VLOOKUP(D3645,'DETALLE PRECIO INGREDIENTES'!B:B,1,0)</f>
        <v>SEMILLA DE AMAPOLA</v>
      </c>
    </row>
    <row r="3646" spans="2:8" hidden="1" x14ac:dyDescent="0.35">
      <c r="B3646" s="80" t="s">
        <v>92</v>
      </c>
      <c r="C3646" s="80" t="s">
        <v>90</v>
      </c>
      <c r="D3646" s="73" t="s">
        <v>967</v>
      </c>
      <c r="E3646" s="74">
        <v>0.01</v>
      </c>
      <c r="F3646" s="78" t="s">
        <v>237</v>
      </c>
      <c r="G3646" s="77" t="s">
        <v>884</v>
      </c>
      <c r="H3646" t="str">
        <f>VLOOKUP(D3646,'DETALLE PRECIO INGREDIENTES'!B:B,1,0)</f>
        <v>yogurt natural</v>
      </c>
    </row>
    <row r="3647" spans="2:8" hidden="1" x14ac:dyDescent="0.35">
      <c r="B3647" s="80" t="s">
        <v>92</v>
      </c>
      <c r="C3647" s="80" t="s">
        <v>90</v>
      </c>
      <c r="D3647" s="73" t="s">
        <v>748</v>
      </c>
      <c r="E3647" s="74">
        <v>0.04</v>
      </c>
      <c r="F3647" s="78" t="s">
        <v>222</v>
      </c>
      <c r="G3647" s="77" t="s">
        <v>736</v>
      </c>
      <c r="H3647" t="str">
        <f>VLOOKUP(D3647,'DETALLE PRECIO INGREDIENTES'!B:B,1,0)</f>
        <v>LECHE ENTERA</v>
      </c>
    </row>
    <row r="3648" spans="2:8" hidden="1" x14ac:dyDescent="0.35">
      <c r="B3648" s="80" t="s">
        <v>92</v>
      </c>
      <c r="C3648" s="80" t="s">
        <v>90</v>
      </c>
      <c r="D3648" s="73" t="s">
        <v>751</v>
      </c>
      <c r="E3648" s="74">
        <v>0.03</v>
      </c>
      <c r="F3648" s="78" t="s">
        <v>237</v>
      </c>
      <c r="G3648" s="77" t="s">
        <v>736</v>
      </c>
      <c r="H3648" t="str">
        <f>VLOOKUP(D3648,'DETALLE PRECIO INGREDIENTES'!B:B,1,0)</f>
        <v>MANTEQUILLA SIN SAL</v>
      </c>
    </row>
    <row r="3649" spans="2:8" hidden="1" x14ac:dyDescent="0.35">
      <c r="B3649" s="80" t="s">
        <v>92</v>
      </c>
      <c r="C3649" s="80" t="s">
        <v>90</v>
      </c>
      <c r="D3649" s="73" t="s">
        <v>506</v>
      </c>
      <c r="E3649" s="74">
        <v>2</v>
      </c>
      <c r="F3649" s="78" t="s">
        <v>259</v>
      </c>
      <c r="G3649" s="77" t="s">
        <v>485</v>
      </c>
      <c r="H3649" t="str">
        <f>VLOOKUP(D3649,'DETALLE PRECIO INGREDIENTES'!B:B,1,0)</f>
        <v>MOLDE PAPEL QUEQUE RECTANGULAR</v>
      </c>
    </row>
    <row r="3650" spans="2:8" hidden="1" x14ac:dyDescent="0.35">
      <c r="B3650" s="80" t="s">
        <v>92</v>
      </c>
      <c r="C3650" s="80" t="s">
        <v>90</v>
      </c>
      <c r="D3650" s="73" t="s">
        <v>275</v>
      </c>
      <c r="E3650" s="74">
        <v>0.05</v>
      </c>
      <c r="F3650" s="78" t="s">
        <v>237</v>
      </c>
      <c r="G3650" s="77" t="s">
        <v>220</v>
      </c>
      <c r="H3650" t="str">
        <f>VLOOKUP(D3650,'DETALLE PRECIO INGREDIENTES'!B:B,1,0)</f>
        <v>AVENA TRADICIONAL</v>
      </c>
    </row>
    <row r="3651" spans="2:8" hidden="1" x14ac:dyDescent="0.35">
      <c r="B3651" s="80" t="s">
        <v>92</v>
      </c>
      <c r="C3651" s="80" t="s">
        <v>90</v>
      </c>
      <c r="D3651" s="73" t="s">
        <v>277</v>
      </c>
      <c r="E3651" s="74">
        <v>0.01</v>
      </c>
      <c r="F3651" s="78" t="s">
        <v>237</v>
      </c>
      <c r="G3651" s="77" t="s">
        <v>220</v>
      </c>
      <c r="H3651" t="str">
        <f>VLOOKUP(D3651,'DETALLE PRECIO INGREDIENTES'!B:B,1,0)</f>
        <v>AZUCAR BLANCA GRANULADA</v>
      </c>
    </row>
    <row r="3652" spans="2:8" hidden="1" x14ac:dyDescent="0.35">
      <c r="B3652" s="80" t="s">
        <v>92</v>
      </c>
      <c r="C3652" s="80" t="s">
        <v>90</v>
      </c>
      <c r="D3652" s="73" t="s">
        <v>358</v>
      </c>
      <c r="E3652" s="74">
        <v>0.09</v>
      </c>
      <c r="F3652" s="78" t="s">
        <v>237</v>
      </c>
      <c r="G3652" s="77" t="s">
        <v>220</v>
      </c>
      <c r="H3652" t="str">
        <f>VLOOKUP(D3652,'DETALLE PRECIO INGREDIENTES'!B:B,1,0)</f>
        <v>HARINA DE CENTENO</v>
      </c>
    </row>
    <row r="3653" spans="2:8" hidden="1" x14ac:dyDescent="0.35">
      <c r="B3653" s="80" t="s">
        <v>92</v>
      </c>
      <c r="C3653" s="80" t="s">
        <v>90</v>
      </c>
      <c r="D3653" s="73" t="s">
        <v>361</v>
      </c>
      <c r="E3653" s="74">
        <v>0.13500000000000001</v>
      </c>
      <c r="F3653" s="78" t="s">
        <v>237</v>
      </c>
      <c r="G3653" s="77" t="s">
        <v>220</v>
      </c>
      <c r="H3653" t="str">
        <f>VLOOKUP(D3653,'DETALLE PRECIO INGREDIENTES'!B:B,1,0)</f>
        <v>HARINA INTEGRAL</v>
      </c>
    </row>
    <row r="3654" spans="2:8" hidden="1" x14ac:dyDescent="0.35">
      <c r="B3654" s="80" t="s">
        <v>92</v>
      </c>
      <c r="C3654" s="80" t="s">
        <v>90</v>
      </c>
      <c r="D3654" s="73" t="s">
        <v>362</v>
      </c>
      <c r="E3654" s="74">
        <v>0.5</v>
      </c>
      <c r="F3654" s="78" t="s">
        <v>237</v>
      </c>
      <c r="G3654" s="77" t="s">
        <v>220</v>
      </c>
      <c r="H3654" t="str">
        <f>VLOOKUP(D3654,'DETALLE PRECIO INGREDIENTES'!B:B,1,0)</f>
        <v>HARINA PANADERA SOBRE 13 GR</v>
      </c>
    </row>
    <row r="3655" spans="2:8" hidden="1" x14ac:dyDescent="0.35">
      <c r="B3655" s="80" t="s">
        <v>92</v>
      </c>
      <c r="C3655" s="80" t="s">
        <v>90</v>
      </c>
      <c r="D3655" s="73" t="s">
        <v>748</v>
      </c>
      <c r="E3655" s="74">
        <v>4.2999999999999997E-2</v>
      </c>
      <c r="F3655" s="78" t="s">
        <v>222</v>
      </c>
      <c r="G3655" s="77" t="s">
        <v>736</v>
      </c>
      <c r="H3655" t="str">
        <f>VLOOKUP(D3655,'DETALLE PRECIO INGREDIENTES'!B:B,1,0)</f>
        <v>LECHE ENTERA</v>
      </c>
    </row>
    <row r="3656" spans="2:8" hidden="1" x14ac:dyDescent="0.35">
      <c r="B3656" s="80" t="s">
        <v>92</v>
      </c>
      <c r="C3656" s="80" t="s">
        <v>90</v>
      </c>
      <c r="D3656" s="73" t="s">
        <v>373</v>
      </c>
      <c r="E3656" s="74">
        <v>1.7999999999999999E-2</v>
      </c>
      <c r="F3656" s="78" t="s">
        <v>237</v>
      </c>
      <c r="G3656" s="77" t="s">
        <v>220</v>
      </c>
      <c r="H3656" t="str">
        <f>VLOOKUP(D3656,'DETALLE PRECIO INGREDIENTES'!B:B,1,0)</f>
        <v>LEVADURA FRESCA</v>
      </c>
    </row>
    <row r="3657" spans="2:8" hidden="1" x14ac:dyDescent="0.35">
      <c r="B3657" s="80" t="s">
        <v>92</v>
      </c>
      <c r="C3657" s="80" t="s">
        <v>90</v>
      </c>
      <c r="D3657" s="73" t="s">
        <v>751</v>
      </c>
      <c r="E3657" s="74">
        <v>4.4999999999999998E-2</v>
      </c>
      <c r="F3657" s="78" t="s">
        <v>237</v>
      </c>
      <c r="G3657" s="77" t="s">
        <v>736</v>
      </c>
      <c r="H3657" t="str">
        <f>VLOOKUP(D3657,'DETALLE PRECIO INGREDIENTES'!B:B,1,0)</f>
        <v>MANTEQUILLA SIN SAL</v>
      </c>
    </row>
    <row r="3658" spans="2:8" hidden="1" x14ac:dyDescent="0.35">
      <c r="B3658" s="80" t="s">
        <v>92</v>
      </c>
      <c r="C3658" s="80" t="s">
        <v>90</v>
      </c>
      <c r="D3658" s="73" t="s">
        <v>445</v>
      </c>
      <c r="E3658" s="74">
        <v>1.2999999999999999E-2</v>
      </c>
      <c r="F3658" s="78" t="s">
        <v>237</v>
      </c>
      <c r="G3658" s="77" t="s">
        <v>220</v>
      </c>
      <c r="H3658" t="str">
        <f>VLOOKUP(D3658,'DETALLE PRECIO INGREDIENTES'!B:B,1,0)</f>
        <v>SAL DE MESA LOBOS</v>
      </c>
    </row>
    <row r="3659" spans="2:8" hidden="1" x14ac:dyDescent="0.35">
      <c r="B3659" s="80" t="s">
        <v>92</v>
      </c>
      <c r="C3659" s="80" t="s">
        <v>90</v>
      </c>
      <c r="D3659" s="73" t="s">
        <v>452</v>
      </c>
      <c r="E3659" s="74">
        <v>0.03</v>
      </c>
      <c r="F3659" s="78" t="s">
        <v>237</v>
      </c>
      <c r="G3659" s="77" t="s">
        <v>220</v>
      </c>
      <c r="H3659" t="str">
        <f>VLOOKUP(D3659,'DETALLE PRECIO INGREDIENTES'!B:B,1,0)</f>
        <v>SEMILLA DE AMAPOLA</v>
      </c>
    </row>
    <row r="3660" spans="2:8" hidden="1" x14ac:dyDescent="0.35">
      <c r="B3660" s="80" t="s">
        <v>92</v>
      </c>
      <c r="C3660" s="80" t="s">
        <v>90</v>
      </c>
      <c r="D3660" s="73" t="s">
        <v>454</v>
      </c>
      <c r="E3660" s="74">
        <v>0.03</v>
      </c>
      <c r="F3660" s="78" t="s">
        <v>237</v>
      </c>
      <c r="G3660" s="77" t="s">
        <v>220</v>
      </c>
      <c r="H3660" t="str">
        <f>VLOOKUP(D3660,'DETALLE PRECIO INGREDIENTES'!B:B,1,0)</f>
        <v>SEMILLA ZAPALLO CAMOTE</v>
      </c>
    </row>
    <row r="3661" spans="2:8" hidden="1" x14ac:dyDescent="0.35">
      <c r="B3661" s="80" t="s">
        <v>92</v>
      </c>
      <c r="C3661" s="80" t="s">
        <v>90</v>
      </c>
      <c r="D3661" s="73" t="s">
        <v>456</v>
      </c>
      <c r="E3661" s="74">
        <v>0.03</v>
      </c>
      <c r="F3661" s="78" t="s">
        <v>237</v>
      </c>
      <c r="G3661" s="77" t="s">
        <v>220</v>
      </c>
      <c r="H3661" t="str">
        <f>VLOOKUP(D3661,'DETALLE PRECIO INGREDIENTES'!B:B,1,0)</f>
        <v>SEMILLAS DE LINAZA</v>
      </c>
    </row>
    <row r="3662" spans="2:8" hidden="1" x14ac:dyDescent="0.35">
      <c r="B3662" s="80" t="s">
        <v>92</v>
      </c>
      <c r="C3662" s="80" t="s">
        <v>90</v>
      </c>
      <c r="D3662" s="73" t="s">
        <v>443</v>
      </c>
      <c r="E3662" s="74">
        <v>0.01</v>
      </c>
      <c r="F3662" s="78" t="s">
        <v>237</v>
      </c>
      <c r="G3662" s="77" t="s">
        <v>220</v>
      </c>
      <c r="H3662" t="str">
        <f>VLOOKUP(D3662,'DETALLE PRECIO INGREDIENTES'!B:B,1,0)</f>
        <v>SAL DE MAR FINA</v>
      </c>
    </row>
    <row r="3663" spans="2:8" hidden="1" x14ac:dyDescent="0.35">
      <c r="B3663" s="80" t="s">
        <v>92</v>
      </c>
      <c r="C3663" s="80" t="s">
        <v>89</v>
      </c>
      <c r="D3663" s="73" t="s">
        <v>230</v>
      </c>
      <c r="E3663" s="74">
        <v>0.03</v>
      </c>
      <c r="F3663" s="78" t="s">
        <v>222</v>
      </c>
      <c r="G3663" s="77" t="s">
        <v>220</v>
      </c>
      <c r="H3663" t="str">
        <f>VLOOKUP(D3663,'DETALLE PRECIO INGREDIENTES'!B:B,1,0)</f>
        <v>ACEITE DE OLIVA</v>
      </c>
    </row>
    <row r="3664" spans="2:8" hidden="1" x14ac:dyDescent="0.35">
      <c r="B3664" s="80" t="s">
        <v>92</v>
      </c>
      <c r="C3664" s="80" t="s">
        <v>89</v>
      </c>
      <c r="D3664" s="73" t="s">
        <v>239</v>
      </c>
      <c r="E3664" s="74">
        <v>0.03</v>
      </c>
      <c r="F3664" s="78" t="s">
        <v>237</v>
      </c>
      <c r="G3664" s="77" t="s">
        <v>220</v>
      </c>
      <c r="H3664" t="str">
        <f>VLOOKUP(D3664,'DETALLE PRECIO INGREDIENTES'!B:B,1,0)</f>
        <v>ACEITUNAS NEGRAS S/HUESO</v>
      </c>
    </row>
    <row r="3665" spans="2:8" hidden="1" x14ac:dyDescent="0.35">
      <c r="B3665" s="80" t="s">
        <v>92</v>
      </c>
      <c r="C3665" s="80" t="s">
        <v>89</v>
      </c>
      <c r="D3665" s="73" t="s">
        <v>277</v>
      </c>
      <c r="E3665" s="74">
        <v>0.03</v>
      </c>
      <c r="F3665" s="78" t="s">
        <v>237</v>
      </c>
      <c r="G3665" s="77" t="s">
        <v>220</v>
      </c>
      <c r="H3665" t="str">
        <f>VLOOKUP(D3665,'DETALLE PRECIO INGREDIENTES'!B:B,1,0)</f>
        <v>AZUCAR BLANCA GRANULADA</v>
      </c>
    </row>
    <row r="3666" spans="2:8" hidden="1" x14ac:dyDescent="0.35">
      <c r="B3666" s="80" t="s">
        <v>92</v>
      </c>
      <c r="C3666" s="80" t="s">
        <v>89</v>
      </c>
      <c r="D3666" s="73" t="s">
        <v>644</v>
      </c>
      <c r="E3666" s="74">
        <v>0.05</v>
      </c>
      <c r="F3666" s="78" t="s">
        <v>237</v>
      </c>
      <c r="G3666" s="77" t="s">
        <v>621</v>
      </c>
      <c r="H3666" t="str">
        <f>VLOOKUP(D3666,'DETALLE PRECIO INGREDIENTES'!B:B,1,0)</f>
        <v>CEBOLLA BLANCA</v>
      </c>
    </row>
    <row r="3667" spans="2:8" hidden="1" x14ac:dyDescent="0.35">
      <c r="B3667" s="80" t="s">
        <v>92</v>
      </c>
      <c r="C3667" s="80" t="s">
        <v>89</v>
      </c>
      <c r="D3667" s="73" t="s">
        <v>362</v>
      </c>
      <c r="E3667" s="74">
        <v>0.03</v>
      </c>
      <c r="F3667" s="78" t="s">
        <v>237</v>
      </c>
      <c r="G3667" s="77" t="s">
        <v>220</v>
      </c>
      <c r="H3667" t="str">
        <f>VLOOKUP(D3667,'DETALLE PRECIO INGREDIENTES'!B:B,1,0)</f>
        <v>HARINA PANADERA SOBRE 13 GR</v>
      </c>
    </row>
    <row r="3668" spans="2:8" hidden="1" x14ac:dyDescent="0.35">
      <c r="B3668" s="80" t="s">
        <v>92</v>
      </c>
      <c r="C3668" s="80" t="s">
        <v>89</v>
      </c>
      <c r="D3668" s="73" t="s">
        <v>373</v>
      </c>
      <c r="E3668" s="74">
        <v>0.02</v>
      </c>
      <c r="F3668" s="78" t="s">
        <v>237</v>
      </c>
      <c r="G3668" s="77" t="s">
        <v>220</v>
      </c>
      <c r="H3668" t="str">
        <f>VLOOKUP(D3668,'DETALLE PRECIO INGREDIENTES'!B:B,1,0)</f>
        <v>LEVADURA FRESCA</v>
      </c>
    </row>
    <row r="3669" spans="2:8" hidden="1" x14ac:dyDescent="0.35">
      <c r="B3669" s="80" t="s">
        <v>92</v>
      </c>
      <c r="C3669" s="80" t="s">
        <v>89</v>
      </c>
      <c r="D3669" s="73" t="s">
        <v>407</v>
      </c>
      <c r="E3669" s="74">
        <v>1E-3</v>
      </c>
      <c r="F3669" s="78" t="s">
        <v>237</v>
      </c>
      <c r="G3669" s="77" t="s">
        <v>220</v>
      </c>
      <c r="H3669" t="str">
        <f>VLOOKUP(D3669,'DETALLE PRECIO INGREDIENTES'!B:B,1,0)</f>
        <v>OREGANO SECO</v>
      </c>
    </row>
    <row r="3670" spans="2:8" hidden="1" x14ac:dyDescent="0.35">
      <c r="B3670" s="80" t="s">
        <v>92</v>
      </c>
      <c r="C3670" s="80" t="s">
        <v>89</v>
      </c>
      <c r="D3670" s="73" t="s">
        <v>513</v>
      </c>
      <c r="E3670" s="74">
        <v>0.5</v>
      </c>
      <c r="F3670" s="78" t="s">
        <v>259</v>
      </c>
      <c r="G3670" s="77" t="s">
        <v>485</v>
      </c>
      <c r="H3670" t="str">
        <f>VLOOKUP(D3670,'DETALLE PRECIO INGREDIENTES'!B:B,1,0)</f>
        <v>PAPEL MANTEQUILLA 75 X100</v>
      </c>
    </row>
    <row r="3671" spans="2:8" hidden="1" x14ac:dyDescent="0.35">
      <c r="B3671" s="80" t="s">
        <v>92</v>
      </c>
      <c r="C3671" s="80" t="s">
        <v>89</v>
      </c>
      <c r="D3671" s="73" t="s">
        <v>701</v>
      </c>
      <c r="E3671" s="74">
        <v>0.25</v>
      </c>
      <c r="F3671" s="78" t="s">
        <v>259</v>
      </c>
      <c r="G3671" s="77" t="s">
        <v>621</v>
      </c>
      <c r="H3671" t="str">
        <f>VLOOKUP(D3671,'DETALLE PRECIO INGREDIENTES'!B:B,1,0)</f>
        <v>PIMIENTO MORRON</v>
      </c>
    </row>
    <row r="3672" spans="2:8" hidden="1" x14ac:dyDescent="0.35">
      <c r="B3672" s="80" t="s">
        <v>92</v>
      </c>
      <c r="C3672" s="80" t="s">
        <v>89</v>
      </c>
      <c r="D3672" s="73" t="s">
        <v>445</v>
      </c>
      <c r="E3672" s="74">
        <v>0.02</v>
      </c>
      <c r="F3672" s="78" t="s">
        <v>237</v>
      </c>
      <c r="G3672" s="77" t="s">
        <v>220</v>
      </c>
      <c r="H3672" t="str">
        <f>VLOOKUP(D3672,'DETALLE PRECIO INGREDIENTES'!B:B,1,0)</f>
        <v>SAL DE MESA LOBOS</v>
      </c>
    </row>
    <row r="3673" spans="2:8" hidden="1" x14ac:dyDescent="0.35">
      <c r="B3673" s="80" t="s">
        <v>92</v>
      </c>
      <c r="C3673" s="80" t="s">
        <v>89</v>
      </c>
      <c r="D3673" s="73" t="s">
        <v>715</v>
      </c>
      <c r="E3673" s="74">
        <v>0.02</v>
      </c>
      <c r="F3673" s="78" t="s">
        <v>237</v>
      </c>
      <c r="G3673" s="77" t="s">
        <v>621</v>
      </c>
      <c r="H3673" t="str">
        <f>VLOOKUP(D3673,'DETALLE PRECIO INGREDIENTES'!B:B,1,0)</f>
        <v>TOMATE CHERRY</v>
      </c>
    </row>
    <row r="3674" spans="2:8" hidden="1" x14ac:dyDescent="0.35">
      <c r="B3674" s="80" t="s">
        <v>92</v>
      </c>
      <c r="C3674" s="80" t="s">
        <v>89</v>
      </c>
      <c r="D3674" s="73" t="s">
        <v>711</v>
      </c>
      <c r="E3674" s="74">
        <v>1E-3</v>
      </c>
      <c r="F3674" s="78" t="s">
        <v>237</v>
      </c>
      <c r="G3674" s="77" t="s">
        <v>621</v>
      </c>
      <c r="H3674" t="str">
        <f>VLOOKUP(D3674,'DETALLE PRECIO INGREDIENTES'!B:B,1,0)</f>
        <v>ROMERO FRESCO EN RAMA</v>
      </c>
    </row>
    <row r="3675" spans="2:8" hidden="1" x14ac:dyDescent="0.35">
      <c r="B3675" s="80" t="s">
        <v>92</v>
      </c>
      <c r="C3675" s="80" t="s">
        <v>89</v>
      </c>
      <c r="D3675" s="73" t="s">
        <v>452</v>
      </c>
      <c r="E3675" s="74">
        <v>0.01</v>
      </c>
      <c r="F3675" s="78" t="s">
        <v>237</v>
      </c>
      <c r="G3675" s="77" t="s">
        <v>220</v>
      </c>
      <c r="H3675" t="str">
        <f>VLOOKUP(D3675,'DETALLE PRECIO INGREDIENTES'!B:B,1,0)</f>
        <v>SEMILLA DE AMAPOLA</v>
      </c>
    </row>
    <row r="3676" spans="2:8" hidden="1" x14ac:dyDescent="0.35">
      <c r="B3676" s="80" t="s">
        <v>92</v>
      </c>
      <c r="C3676" s="80" t="s">
        <v>89</v>
      </c>
      <c r="D3676" s="73" t="s">
        <v>454</v>
      </c>
      <c r="E3676" s="74">
        <v>0.01</v>
      </c>
      <c r="F3676" s="78" t="s">
        <v>237</v>
      </c>
      <c r="G3676" s="77" t="s">
        <v>220</v>
      </c>
      <c r="H3676" t="str">
        <f>VLOOKUP(D3676,'DETALLE PRECIO INGREDIENTES'!B:B,1,0)</f>
        <v>SEMILLA ZAPALLO CAMOTE</v>
      </c>
    </row>
    <row r="3677" spans="2:8" hidden="1" x14ac:dyDescent="0.35">
      <c r="B3677" s="80" t="s">
        <v>92</v>
      </c>
      <c r="C3677" s="80" t="s">
        <v>89</v>
      </c>
      <c r="D3677" s="73" t="s">
        <v>456</v>
      </c>
      <c r="E3677" s="74">
        <v>0.01</v>
      </c>
      <c r="F3677" s="78" t="s">
        <v>237</v>
      </c>
      <c r="G3677" s="77" t="s">
        <v>220</v>
      </c>
      <c r="H3677" t="str">
        <f>VLOOKUP(D3677,'DETALLE PRECIO INGREDIENTES'!B:B,1,0)</f>
        <v>SEMILLAS DE LINAZA</v>
      </c>
    </row>
    <row r="3678" spans="2:8" hidden="1" x14ac:dyDescent="0.35">
      <c r="B3678" s="80" t="s">
        <v>92</v>
      </c>
      <c r="C3678" s="80" t="s">
        <v>89</v>
      </c>
      <c r="D3678" s="73" t="s">
        <v>628</v>
      </c>
      <c r="E3678" s="74">
        <v>1.4500000000000001E-2</v>
      </c>
      <c r="F3678" s="78" t="s">
        <v>259</v>
      </c>
      <c r="G3678" s="77" t="s">
        <v>621</v>
      </c>
      <c r="H3678" t="str">
        <f>VLOOKUP(D3678,'DETALLE PRECIO INGREDIENTES'!B:B,1,0)</f>
        <v>AJO CABEZA</v>
      </c>
    </row>
    <row r="3679" spans="2:8" hidden="1" x14ac:dyDescent="0.35">
      <c r="B3679" s="80" t="s">
        <v>92</v>
      </c>
      <c r="C3679" s="80" t="s">
        <v>89</v>
      </c>
      <c r="D3679" s="73" t="s">
        <v>717</v>
      </c>
      <c r="E3679" s="74">
        <v>0.03</v>
      </c>
      <c r="F3679" s="78" t="s">
        <v>237</v>
      </c>
      <c r="G3679" s="77" t="s">
        <v>621</v>
      </c>
      <c r="H3679" t="str">
        <f>VLOOKUP(D3679,'DETALLE PRECIO INGREDIENTES'!B:B,1,0)</f>
        <v>TOMATE PELADO EN LATA</v>
      </c>
    </row>
    <row r="3680" spans="2:8" hidden="1" x14ac:dyDescent="0.35">
      <c r="B3680" s="80" t="s">
        <v>92</v>
      </c>
      <c r="C3680" s="80" t="s">
        <v>89</v>
      </c>
      <c r="D3680" s="73" t="s">
        <v>370</v>
      </c>
      <c r="E3680" s="74">
        <v>1E-3</v>
      </c>
      <c r="F3680" s="78" t="s">
        <v>237</v>
      </c>
      <c r="G3680" s="77" t="s">
        <v>220</v>
      </c>
      <c r="H3680" t="str">
        <f>VLOOKUP(D3680,'DETALLE PRECIO INGREDIENTES'!B:B,1,0)</f>
        <v>LAUREL</v>
      </c>
    </row>
    <row r="3681" spans="2:8" hidden="1" x14ac:dyDescent="0.35">
      <c r="B3681" s="80" t="s">
        <v>92</v>
      </c>
      <c r="C3681" s="80" t="s">
        <v>89</v>
      </c>
      <c r="D3681" s="73" t="s">
        <v>766</v>
      </c>
      <c r="E3681" s="74">
        <v>0.06</v>
      </c>
      <c r="F3681" s="78" t="s">
        <v>237</v>
      </c>
      <c r="G3681" s="77" t="s">
        <v>736</v>
      </c>
      <c r="H3681" t="str">
        <f>VLOOKUP(D3681,'DETALLE PRECIO INGREDIENTES'!B:B,1,0)</f>
        <v>QUESO MANTECOSO PIEZA</v>
      </c>
    </row>
    <row r="3682" spans="2:8" hidden="1" x14ac:dyDescent="0.35">
      <c r="B3682" s="80" t="s">
        <v>92</v>
      </c>
      <c r="C3682" s="80" t="s">
        <v>89</v>
      </c>
      <c r="D3682" s="73" t="s">
        <v>629</v>
      </c>
      <c r="E3682" s="74">
        <v>5.0000000000000001E-3</v>
      </c>
      <c r="F3682" s="78" t="s">
        <v>237</v>
      </c>
      <c r="G3682" s="77" t="s">
        <v>621</v>
      </c>
      <c r="H3682" t="str">
        <f>VLOOKUP(D3682,'DETALLE PRECIO INGREDIENTES'!B:B,1,0)</f>
        <v>ALBAHACA FRESCA</v>
      </c>
    </row>
    <row r="3683" spans="2:8" hidden="1" x14ac:dyDescent="0.35">
      <c r="B3683" s="80" t="s">
        <v>92</v>
      </c>
      <c r="C3683" s="80" t="s">
        <v>89</v>
      </c>
      <c r="D3683" s="73" t="s">
        <v>716</v>
      </c>
      <c r="E3683" s="74">
        <v>0.1</v>
      </c>
      <c r="F3683" s="78" t="s">
        <v>237</v>
      </c>
      <c r="G3683" s="77" t="s">
        <v>621</v>
      </c>
      <c r="H3683" t="str">
        <f>VLOOKUP(D3683,'DETALLE PRECIO INGREDIENTES'!B:B,1,0)</f>
        <v>TOMATE LARGA VIDA</v>
      </c>
    </row>
    <row r="3684" spans="2:8" hidden="1" x14ac:dyDescent="0.35">
      <c r="B3684" s="80" t="s">
        <v>92</v>
      </c>
      <c r="C3684" s="80" t="s">
        <v>88</v>
      </c>
      <c r="D3684" s="73" t="s">
        <v>230</v>
      </c>
      <c r="E3684" s="74">
        <v>0.02</v>
      </c>
      <c r="F3684" s="78" t="s">
        <v>222</v>
      </c>
      <c r="G3684" s="77" t="s">
        <v>220</v>
      </c>
      <c r="H3684" t="str">
        <f>VLOOKUP(D3684,'DETALLE PRECIO INGREDIENTES'!B:B,1,0)</f>
        <v>ACEITE DE OLIVA</v>
      </c>
    </row>
    <row r="3685" spans="2:8" hidden="1" x14ac:dyDescent="0.35">
      <c r="B3685" s="80" t="s">
        <v>92</v>
      </c>
      <c r="C3685" s="80" t="s">
        <v>88</v>
      </c>
      <c r="D3685" s="73" t="s">
        <v>277</v>
      </c>
      <c r="E3685" s="74">
        <v>0.03</v>
      </c>
      <c r="F3685" s="78" t="s">
        <v>237</v>
      </c>
      <c r="G3685" s="77" t="s">
        <v>220</v>
      </c>
      <c r="H3685" t="str">
        <f>VLOOKUP(D3685,'DETALLE PRECIO INGREDIENTES'!B:B,1,0)</f>
        <v>AZUCAR BLANCA GRANULADA</v>
      </c>
    </row>
    <row r="3686" spans="2:8" hidden="1" x14ac:dyDescent="0.35">
      <c r="B3686" s="80" t="s">
        <v>92</v>
      </c>
      <c r="C3686" s="80" t="s">
        <v>88</v>
      </c>
      <c r="D3686" s="73" t="s">
        <v>362</v>
      </c>
      <c r="E3686" s="74">
        <v>0.65</v>
      </c>
      <c r="F3686" s="78" t="s">
        <v>237</v>
      </c>
      <c r="G3686" s="77" t="s">
        <v>220</v>
      </c>
      <c r="H3686" t="str">
        <f>VLOOKUP(D3686,'DETALLE PRECIO INGREDIENTES'!B:B,1,0)</f>
        <v>HARINA PANADERA SOBRE 13 GR</v>
      </c>
    </row>
    <row r="3687" spans="2:8" hidden="1" x14ac:dyDescent="0.35">
      <c r="B3687" s="80" t="s">
        <v>92</v>
      </c>
      <c r="C3687" s="80" t="s">
        <v>88</v>
      </c>
      <c r="D3687" s="73" t="s">
        <v>729</v>
      </c>
      <c r="E3687" s="74">
        <v>1.5</v>
      </c>
      <c r="F3687" s="78" t="s">
        <v>259</v>
      </c>
      <c r="G3687" s="77" t="s">
        <v>728</v>
      </c>
      <c r="H3687" t="str">
        <f>VLOOKUP(D3687,'DETALLE PRECIO INGREDIENTES'!B:B,1,0)</f>
        <v>HUEVO EXTRA BLANCO</v>
      </c>
    </row>
    <row r="3688" spans="2:8" hidden="1" x14ac:dyDescent="0.35">
      <c r="B3688" s="80" t="s">
        <v>92</v>
      </c>
      <c r="C3688" s="80" t="s">
        <v>88</v>
      </c>
      <c r="D3688" s="73" t="s">
        <v>748</v>
      </c>
      <c r="E3688" s="74">
        <v>0.04</v>
      </c>
      <c r="F3688" s="78" t="s">
        <v>222</v>
      </c>
      <c r="G3688" s="77" t="s">
        <v>736</v>
      </c>
      <c r="H3688" t="str">
        <f>VLOOKUP(D3688,'DETALLE PRECIO INGREDIENTES'!B:B,1,0)</f>
        <v>LECHE ENTERA</v>
      </c>
    </row>
    <row r="3689" spans="2:8" hidden="1" x14ac:dyDescent="0.35">
      <c r="B3689" s="80" t="s">
        <v>92</v>
      </c>
      <c r="C3689" s="80" t="s">
        <v>88</v>
      </c>
      <c r="D3689" s="73" t="s">
        <v>373</v>
      </c>
      <c r="E3689" s="74">
        <v>0.01</v>
      </c>
      <c r="F3689" s="78" t="s">
        <v>237</v>
      </c>
      <c r="G3689" s="77" t="s">
        <v>220</v>
      </c>
      <c r="H3689" t="str">
        <f>VLOOKUP(D3689,'DETALLE PRECIO INGREDIENTES'!B:B,1,0)</f>
        <v>LEVADURA FRESCA</v>
      </c>
    </row>
    <row r="3690" spans="2:8" hidden="1" x14ac:dyDescent="0.35">
      <c r="B3690" s="80" t="s">
        <v>92</v>
      </c>
      <c r="C3690" s="80" t="s">
        <v>88</v>
      </c>
      <c r="D3690" s="73" t="s">
        <v>751</v>
      </c>
      <c r="E3690" s="74">
        <v>0.04</v>
      </c>
      <c r="F3690" s="78" t="s">
        <v>237</v>
      </c>
      <c r="G3690" s="77" t="s">
        <v>736</v>
      </c>
      <c r="H3690" t="str">
        <f>VLOOKUP(D3690,'DETALLE PRECIO INGREDIENTES'!B:B,1,0)</f>
        <v>MANTEQUILLA SIN SAL</v>
      </c>
    </row>
    <row r="3691" spans="2:8" hidden="1" x14ac:dyDescent="0.35">
      <c r="B3691" s="80" t="s">
        <v>92</v>
      </c>
      <c r="C3691" s="80" t="s">
        <v>88</v>
      </c>
      <c r="D3691" s="73" t="s">
        <v>445</v>
      </c>
      <c r="E3691" s="74">
        <v>1.0999999999999999E-2</v>
      </c>
      <c r="F3691" s="78" t="s">
        <v>237</v>
      </c>
      <c r="G3691" s="77" t="s">
        <v>220</v>
      </c>
      <c r="H3691" t="str">
        <f>VLOOKUP(D3691,'DETALLE PRECIO INGREDIENTES'!B:B,1,0)</f>
        <v>SAL DE MESA LOBOS</v>
      </c>
    </row>
    <row r="3692" spans="2:8" hidden="1" x14ac:dyDescent="0.35">
      <c r="B3692" s="80" t="s">
        <v>92</v>
      </c>
      <c r="C3692" s="80" t="s">
        <v>88</v>
      </c>
      <c r="D3692" s="73" t="s">
        <v>644</v>
      </c>
      <c r="E3692" s="74">
        <v>0.1</v>
      </c>
      <c r="F3692" s="78" t="s">
        <v>237</v>
      </c>
      <c r="G3692" s="77" t="s">
        <v>621</v>
      </c>
      <c r="H3692" t="str">
        <f>VLOOKUP(D3692,'DETALLE PRECIO INGREDIENTES'!B:B,1,0)</f>
        <v>CEBOLLA BLANCA</v>
      </c>
    </row>
    <row r="3693" spans="2:8" hidden="1" x14ac:dyDescent="0.35">
      <c r="B3693" s="80" t="s">
        <v>92</v>
      </c>
      <c r="C3693" s="80" t="s">
        <v>88</v>
      </c>
      <c r="D3693" s="73" t="s">
        <v>628</v>
      </c>
      <c r="E3693" s="74">
        <v>0.33</v>
      </c>
      <c r="F3693" s="78" t="s">
        <v>259</v>
      </c>
      <c r="G3693" s="77" t="s">
        <v>621</v>
      </c>
      <c r="H3693" t="str">
        <f>VLOOKUP(D3693,'DETALLE PRECIO INGREDIENTES'!B:B,1,0)</f>
        <v>AJO CABEZA</v>
      </c>
    </row>
    <row r="3694" spans="2:8" hidden="1" x14ac:dyDescent="0.35">
      <c r="B3694" s="80" t="s">
        <v>92</v>
      </c>
      <c r="C3694" s="80" t="s">
        <v>88</v>
      </c>
      <c r="D3694" s="73" t="s">
        <v>406</v>
      </c>
      <c r="E3694" s="74">
        <v>2.5000000000000001E-2</v>
      </c>
      <c r="F3694" s="78" t="s">
        <v>237</v>
      </c>
      <c r="G3694" s="77" t="s">
        <v>220</v>
      </c>
      <c r="H3694" t="str">
        <f>VLOOKUP(D3694,'DETALLE PRECIO INGREDIENTES'!B:B,1,0)</f>
        <v>OREGANO FRESCO</v>
      </c>
    </row>
    <row r="3695" spans="2:8" hidden="1" x14ac:dyDescent="0.35">
      <c r="B3695" s="80" t="s">
        <v>92</v>
      </c>
      <c r="C3695" s="80" t="s">
        <v>88</v>
      </c>
      <c r="D3695" s="73" t="s">
        <v>362</v>
      </c>
      <c r="E3695" s="74">
        <v>0.4</v>
      </c>
      <c r="F3695" s="78" t="s">
        <v>237</v>
      </c>
      <c r="G3695" s="77" t="s">
        <v>220</v>
      </c>
      <c r="H3695" t="str">
        <f>VLOOKUP(D3695,'DETALLE PRECIO INGREDIENTES'!B:B,1,0)</f>
        <v>HARINA PANADERA SOBRE 13 GR</v>
      </c>
    </row>
    <row r="3696" spans="2:8" hidden="1" x14ac:dyDescent="0.35">
      <c r="B3696" s="80" t="s">
        <v>92</v>
      </c>
      <c r="C3696" s="80" t="s">
        <v>88</v>
      </c>
      <c r="D3696" s="73" t="s">
        <v>277</v>
      </c>
      <c r="E3696" s="74">
        <v>0.1</v>
      </c>
      <c r="F3696" s="78" t="s">
        <v>237</v>
      </c>
      <c r="G3696" s="77" t="s">
        <v>220</v>
      </c>
      <c r="H3696" t="str">
        <f>VLOOKUP(D3696,'DETALLE PRECIO INGREDIENTES'!B:B,1,0)</f>
        <v>AZUCAR BLANCA GRANULADA</v>
      </c>
    </row>
    <row r="3697" spans="2:8" hidden="1" x14ac:dyDescent="0.35">
      <c r="B3697" s="80" t="s">
        <v>92</v>
      </c>
      <c r="C3697" s="80" t="s">
        <v>88</v>
      </c>
      <c r="D3697" s="73" t="s">
        <v>751</v>
      </c>
      <c r="E3697" s="74">
        <v>0.03</v>
      </c>
      <c r="F3697" s="78" t="s">
        <v>237</v>
      </c>
      <c r="G3697" s="77" t="s">
        <v>736</v>
      </c>
      <c r="H3697" t="str">
        <f>VLOOKUP(D3697,'DETALLE PRECIO INGREDIENTES'!B:B,1,0)</f>
        <v>MANTEQUILLA SIN SAL</v>
      </c>
    </row>
    <row r="3698" spans="2:8" hidden="1" x14ac:dyDescent="0.35">
      <c r="B3698" s="80" t="s">
        <v>92</v>
      </c>
      <c r="C3698" s="80" t="s">
        <v>88</v>
      </c>
      <c r="D3698" s="73" t="s">
        <v>753</v>
      </c>
      <c r="E3698" s="74">
        <v>0.16</v>
      </c>
      <c r="F3698" s="78" t="s">
        <v>237</v>
      </c>
      <c r="G3698" s="77" t="s">
        <v>736</v>
      </c>
      <c r="H3698" t="str">
        <f>VLOOKUP(D3698,'DETALLE PRECIO INGREDIENTES'!B:B,1,0)</f>
        <v>MARGARINA DE HOJA</v>
      </c>
    </row>
    <row r="3699" spans="2:8" hidden="1" x14ac:dyDescent="0.35">
      <c r="B3699" s="80" t="s">
        <v>92</v>
      </c>
      <c r="C3699" s="80" t="s">
        <v>88</v>
      </c>
      <c r="D3699" s="73" t="s">
        <v>315</v>
      </c>
      <c r="E3699" s="74">
        <v>5.8900000000000001E-2</v>
      </c>
      <c r="F3699" s="78" t="s">
        <v>237</v>
      </c>
      <c r="G3699" s="77" t="s">
        <v>220</v>
      </c>
      <c r="H3699" t="str">
        <f>VLOOKUP(D3699,'DETALLE PRECIO INGREDIENTES'!B:B,1,0)</f>
        <v>CREMA PASTELERA PURATOS</v>
      </c>
    </row>
    <row r="3700" spans="2:8" hidden="1" x14ac:dyDescent="0.35">
      <c r="B3700" s="80" t="s">
        <v>92</v>
      </c>
      <c r="C3700" s="80" t="s">
        <v>87</v>
      </c>
      <c r="D3700" s="73" t="s">
        <v>362</v>
      </c>
      <c r="E3700" s="74">
        <v>0.5</v>
      </c>
      <c r="F3700" s="78" t="s">
        <v>237</v>
      </c>
      <c r="G3700" s="77" t="s">
        <v>220</v>
      </c>
      <c r="H3700" t="str">
        <f>VLOOKUP(D3700,'DETALLE PRECIO INGREDIENTES'!B:B,1,0)</f>
        <v>HARINA PANADERA SOBRE 13 GR</v>
      </c>
    </row>
    <row r="3701" spans="2:8" hidden="1" x14ac:dyDescent="0.35">
      <c r="B3701" s="80" t="s">
        <v>92</v>
      </c>
      <c r="C3701" s="80" t="s">
        <v>87</v>
      </c>
      <c r="D3701" s="73" t="s">
        <v>373</v>
      </c>
      <c r="E3701" s="74">
        <v>2.0500000000000001E-2</v>
      </c>
      <c r="F3701" s="78" t="s">
        <v>237</v>
      </c>
      <c r="G3701" s="77" t="s">
        <v>220</v>
      </c>
      <c r="H3701" t="str">
        <f>VLOOKUP(D3701,'DETALLE PRECIO INGREDIENTES'!B:B,1,0)</f>
        <v>LEVADURA FRESCA</v>
      </c>
    </row>
    <row r="3702" spans="2:8" hidden="1" x14ac:dyDescent="0.35">
      <c r="B3702" s="80" t="s">
        <v>92</v>
      </c>
      <c r="C3702" s="80" t="s">
        <v>87</v>
      </c>
      <c r="D3702" s="73" t="s">
        <v>680</v>
      </c>
      <c r="E3702" s="74">
        <v>0.05</v>
      </c>
      <c r="F3702" s="78" t="s">
        <v>237</v>
      </c>
      <c r="G3702" s="77" t="s">
        <v>621</v>
      </c>
      <c r="H3702" t="str">
        <f>VLOOKUP(D3702,'DETALLE PRECIO INGREDIENTES'!B:B,1,0)</f>
        <v>LIMON DE JUGO</v>
      </c>
    </row>
    <row r="3703" spans="2:8" hidden="1" x14ac:dyDescent="0.35">
      <c r="B3703" s="80" t="s">
        <v>92</v>
      </c>
      <c r="C3703" s="80" t="s">
        <v>87</v>
      </c>
      <c r="D3703" s="73" t="s">
        <v>729</v>
      </c>
      <c r="E3703" s="74">
        <v>1</v>
      </c>
      <c r="F3703" s="78" t="s">
        <v>259</v>
      </c>
      <c r="G3703" s="77" t="s">
        <v>728</v>
      </c>
      <c r="H3703" t="str">
        <f>VLOOKUP(D3703,'DETALLE PRECIO INGREDIENTES'!B:B,1,0)</f>
        <v>HUEVO EXTRA BLANCO</v>
      </c>
    </row>
    <row r="3704" spans="2:8" hidden="1" x14ac:dyDescent="0.35">
      <c r="B3704" s="80" t="s">
        <v>92</v>
      </c>
      <c r="C3704" s="80" t="s">
        <v>87</v>
      </c>
      <c r="D3704" s="73" t="s">
        <v>277</v>
      </c>
      <c r="E3704" s="74">
        <v>0.06</v>
      </c>
      <c r="F3704" s="78" t="s">
        <v>237</v>
      </c>
      <c r="G3704" s="77" t="s">
        <v>220</v>
      </c>
      <c r="H3704" t="str">
        <f>VLOOKUP(D3704,'DETALLE PRECIO INGREDIENTES'!B:B,1,0)</f>
        <v>AZUCAR BLANCA GRANULADA</v>
      </c>
    </row>
    <row r="3705" spans="2:8" hidden="1" x14ac:dyDescent="0.35">
      <c r="B3705" s="80" t="s">
        <v>92</v>
      </c>
      <c r="C3705" s="80" t="s">
        <v>87</v>
      </c>
      <c r="D3705" s="73" t="s">
        <v>751</v>
      </c>
      <c r="E3705" s="74">
        <v>0.08</v>
      </c>
      <c r="F3705" s="78" t="s">
        <v>237</v>
      </c>
      <c r="G3705" s="77" t="s">
        <v>736</v>
      </c>
      <c r="H3705" t="str">
        <f>VLOOKUP(D3705,'DETALLE PRECIO INGREDIENTES'!B:B,1,0)</f>
        <v>MANTEQUILLA SIN SAL</v>
      </c>
    </row>
    <row r="3706" spans="2:8" hidden="1" x14ac:dyDescent="0.35">
      <c r="B3706" s="80" t="s">
        <v>92</v>
      </c>
      <c r="C3706" s="80" t="s">
        <v>87</v>
      </c>
      <c r="D3706" s="73" t="s">
        <v>748</v>
      </c>
      <c r="E3706" s="74">
        <v>0.1</v>
      </c>
      <c r="F3706" s="78" t="s">
        <v>222</v>
      </c>
      <c r="G3706" s="77" t="s">
        <v>736</v>
      </c>
      <c r="H3706" t="str">
        <f>VLOOKUP(D3706,'DETALLE PRECIO INGREDIENTES'!B:B,1,0)</f>
        <v>LECHE ENTERA</v>
      </c>
    </row>
    <row r="3707" spans="2:8" hidden="1" x14ac:dyDescent="0.35">
      <c r="B3707" s="80" t="s">
        <v>92</v>
      </c>
      <c r="C3707" s="80" t="s">
        <v>87</v>
      </c>
      <c r="D3707" s="73" t="s">
        <v>233</v>
      </c>
      <c r="E3707" s="74">
        <v>0.1</v>
      </c>
      <c r="F3707" s="78" t="s">
        <v>222</v>
      </c>
      <c r="G3707" s="77" t="s">
        <v>220</v>
      </c>
      <c r="H3707" t="str">
        <f>VLOOKUP(D3707,'DETALLE PRECIO INGREDIENTES'!B:B,1,0)</f>
        <v>ACEITE PARA FREIR</v>
      </c>
    </row>
    <row r="3708" spans="2:8" hidden="1" x14ac:dyDescent="0.35">
      <c r="B3708" s="80" t="s">
        <v>92</v>
      </c>
      <c r="C3708" s="80" t="s">
        <v>87</v>
      </c>
      <c r="D3708" s="73" t="s">
        <v>749</v>
      </c>
      <c r="E3708" s="74">
        <v>0.1</v>
      </c>
      <c r="F3708" s="78" t="s">
        <v>237</v>
      </c>
      <c r="G3708" s="77" t="s">
        <v>736</v>
      </c>
      <c r="H3708" t="str">
        <f>VLOOKUP(D3708,'DETALLE PRECIO INGREDIENTES'!B:B,1,0)</f>
        <v>MANJAR</v>
      </c>
    </row>
    <row r="3709" spans="2:8" hidden="1" x14ac:dyDescent="0.35">
      <c r="B3709" s="80" t="s">
        <v>92</v>
      </c>
      <c r="C3709" s="80" t="s">
        <v>87</v>
      </c>
      <c r="D3709" s="73" t="s">
        <v>278</v>
      </c>
      <c r="E3709" s="74">
        <v>0.05</v>
      </c>
      <c r="F3709" s="78" t="s">
        <v>237</v>
      </c>
      <c r="G3709" s="77" t="s">
        <v>220</v>
      </c>
      <c r="H3709" t="str">
        <f>VLOOKUP(D3709,'DETALLE PRECIO INGREDIENTES'!B:B,1,0)</f>
        <v>AZUCAR FLOR</v>
      </c>
    </row>
    <row r="3710" spans="2:8" hidden="1" x14ac:dyDescent="0.35">
      <c r="B3710" s="80" t="s">
        <v>92</v>
      </c>
      <c r="C3710" s="80" t="s">
        <v>87</v>
      </c>
      <c r="D3710" s="73" t="s">
        <v>285</v>
      </c>
      <c r="E3710" s="74">
        <v>0.01</v>
      </c>
      <c r="F3710" s="78" t="s">
        <v>237</v>
      </c>
      <c r="G3710" s="77" t="s">
        <v>220</v>
      </c>
      <c r="H3710" t="str">
        <f>VLOOKUP(D3710,'DETALLE PRECIO INGREDIENTES'!B:B,1,0)</f>
        <v>BRILLOX GEL / MIROIR</v>
      </c>
    </row>
    <row r="3711" spans="2:8" hidden="1" x14ac:dyDescent="0.35">
      <c r="B3711" s="80" t="s">
        <v>92</v>
      </c>
      <c r="C3711" s="80" t="s">
        <v>87</v>
      </c>
      <c r="D3711" s="73" t="s">
        <v>388</v>
      </c>
      <c r="E3711" s="74">
        <v>0.05</v>
      </c>
      <c r="F3711" s="78" t="s">
        <v>237</v>
      </c>
      <c r="G3711" s="77" t="s">
        <v>220</v>
      </c>
      <c r="H3711" t="str">
        <f>VLOOKUP(D3711,'DETALLE PRECIO INGREDIENTES'!B:B,1,0)</f>
        <v>MERMELADA DE DAMASCO</v>
      </c>
    </row>
    <row r="3712" spans="2:8" hidden="1" x14ac:dyDescent="0.35">
      <c r="B3712" s="80" t="s">
        <v>92</v>
      </c>
      <c r="C3712" s="80" t="s">
        <v>87</v>
      </c>
      <c r="D3712" s="73" t="s">
        <v>572</v>
      </c>
      <c r="E3712" s="74">
        <v>5.0000000000000001E-3</v>
      </c>
      <c r="F3712" s="78" t="s">
        <v>237</v>
      </c>
      <c r="G3712" s="77" t="s">
        <v>551</v>
      </c>
      <c r="H3712" t="str">
        <f>VLOOKUP(D3712,'DETALLE PRECIO INGREDIENTES'!B:B,1,0)</f>
        <v>MOSTACILLAS DE CHOCOLATE</v>
      </c>
    </row>
    <row r="3713" spans="2:8" hidden="1" x14ac:dyDescent="0.35">
      <c r="B3713" s="80" t="s">
        <v>92</v>
      </c>
      <c r="C3713" s="80" t="s">
        <v>87</v>
      </c>
      <c r="D3713" s="73" t="s">
        <v>396</v>
      </c>
      <c r="E3713" s="74">
        <v>5.0000000000000001E-3</v>
      </c>
      <c r="F3713" s="78" t="s">
        <v>237</v>
      </c>
      <c r="G3713" s="77" t="s">
        <v>220</v>
      </c>
      <c r="H3713" t="str">
        <f>VLOOKUP(D3713,'DETALLE PRECIO INGREDIENTES'!B:B,1,0)</f>
        <v>MOSTACILLAS DE COLORES</v>
      </c>
    </row>
    <row r="3714" spans="2:8" hidden="1" x14ac:dyDescent="0.35">
      <c r="B3714" s="80" t="s">
        <v>92</v>
      </c>
      <c r="C3714" s="80" t="s">
        <v>87</v>
      </c>
      <c r="D3714" s="73" t="s">
        <v>445</v>
      </c>
      <c r="E3714" s="74">
        <v>1E-3</v>
      </c>
      <c r="F3714" s="78" t="s">
        <v>237</v>
      </c>
      <c r="G3714" s="77" t="s">
        <v>220</v>
      </c>
      <c r="H3714" t="str">
        <f>VLOOKUP(D3714,'DETALLE PRECIO INGREDIENTES'!B:B,1,0)</f>
        <v>SAL DE MESA LOBOS</v>
      </c>
    </row>
    <row r="3715" spans="2:8" hidden="1" x14ac:dyDescent="0.35">
      <c r="B3715" s="80" t="s">
        <v>92</v>
      </c>
      <c r="C3715" s="80" t="s">
        <v>87</v>
      </c>
      <c r="D3715" s="73" t="s">
        <v>690</v>
      </c>
      <c r="E3715" s="74">
        <v>0.05</v>
      </c>
      <c r="F3715" s="78" t="s">
        <v>237</v>
      </c>
      <c r="G3715" s="77" t="s">
        <v>621</v>
      </c>
      <c r="H3715" t="str">
        <f>VLOOKUP(D3715,'DETALLE PRECIO INGREDIENTES'!B:B,1,0)</f>
        <v>NARANJA DE JUGO</v>
      </c>
    </row>
    <row r="3716" spans="2:8" hidden="1" x14ac:dyDescent="0.35">
      <c r="B3716" s="80" t="s">
        <v>92</v>
      </c>
      <c r="C3716" s="80" t="s">
        <v>87</v>
      </c>
      <c r="D3716" s="73" t="s">
        <v>565</v>
      </c>
      <c r="E3716" s="74">
        <v>0.05</v>
      </c>
      <c r="F3716" s="78" t="s">
        <v>237</v>
      </c>
      <c r="G3716" s="77" t="s">
        <v>551</v>
      </c>
      <c r="H3716" t="str">
        <f>VLOOKUP(D3716,'DETALLE PRECIO INGREDIENTES'!B:B,1,0)</f>
        <v>COBERTURA AMARGA</v>
      </c>
    </row>
    <row r="3717" spans="2:8" hidden="1" x14ac:dyDescent="0.35">
      <c r="B3717" s="80" t="s">
        <v>92</v>
      </c>
      <c r="C3717" s="80" t="s">
        <v>87</v>
      </c>
      <c r="D3717" s="73" t="s">
        <v>566</v>
      </c>
      <c r="E3717" s="74">
        <v>0.05</v>
      </c>
      <c r="F3717" s="78" t="s">
        <v>237</v>
      </c>
      <c r="G3717" s="77" t="s">
        <v>551</v>
      </c>
      <c r="H3717" t="str">
        <f>VLOOKUP(D3717,'DETALLE PRECIO INGREDIENTES'!B:B,1,0)</f>
        <v>COBERTURA BLANCA</v>
      </c>
    </row>
    <row r="3718" spans="2:8" hidden="1" x14ac:dyDescent="0.35">
      <c r="B3718" s="80" t="s">
        <v>92</v>
      </c>
      <c r="C3718" s="80" t="s">
        <v>87</v>
      </c>
      <c r="D3718" s="73" t="s">
        <v>329</v>
      </c>
      <c r="E3718" s="74">
        <v>2E-3</v>
      </c>
      <c r="F3718" s="78" t="s">
        <v>222</v>
      </c>
      <c r="G3718" s="77" t="s">
        <v>220</v>
      </c>
      <c r="H3718" t="str">
        <f>VLOOKUP(D3718,'DETALLE PRECIO INGREDIENTES'!B:B,1,0)</f>
        <v>ESENCIA DE VAINILLA</v>
      </c>
    </row>
    <row r="3719" spans="2:8" hidden="1" x14ac:dyDescent="0.35">
      <c r="B3719" s="80" t="s">
        <v>92</v>
      </c>
      <c r="C3719" s="80" t="s">
        <v>87</v>
      </c>
      <c r="D3719" s="73" t="s">
        <v>753</v>
      </c>
      <c r="E3719" s="74">
        <v>0.15</v>
      </c>
      <c r="F3719" s="78" t="s">
        <v>237</v>
      </c>
      <c r="G3719" s="77" t="s">
        <v>736</v>
      </c>
      <c r="H3719" t="str">
        <f>VLOOKUP(D3719,'DETALLE PRECIO INGREDIENTES'!B:B,1,0)</f>
        <v>MARGARINA DE HOJA</v>
      </c>
    </row>
    <row r="3720" spans="2:8" hidden="1" x14ac:dyDescent="0.35">
      <c r="B3720" s="80" t="s">
        <v>92</v>
      </c>
      <c r="C3720" s="80" t="s">
        <v>87</v>
      </c>
      <c r="D3720" s="73" t="s">
        <v>502</v>
      </c>
      <c r="E3720" s="74">
        <v>1</v>
      </c>
      <c r="F3720" s="78" t="s">
        <v>259</v>
      </c>
      <c r="G3720" s="77" t="s">
        <v>485</v>
      </c>
      <c r="H3720" t="str">
        <f>VLOOKUP(D3720,'DETALLE PRECIO INGREDIENTES'!B:B,1,0)</f>
        <v>MANGAS DESECHABLES MEDIANAS</v>
      </c>
    </row>
    <row r="3721" spans="2:8" hidden="1" x14ac:dyDescent="0.35">
      <c r="B3721" s="80" t="s">
        <v>92</v>
      </c>
      <c r="C3721" s="80" t="s">
        <v>86</v>
      </c>
      <c r="D3721" s="73" t="s">
        <v>277</v>
      </c>
      <c r="E3721" s="74">
        <v>3.5000000000000003E-2</v>
      </c>
      <c r="F3721" s="78" t="s">
        <v>237</v>
      </c>
      <c r="G3721" s="77" t="s">
        <v>220</v>
      </c>
      <c r="H3721" t="str">
        <f>VLOOKUP(D3721,'DETALLE PRECIO INGREDIENTES'!B:B,1,0)</f>
        <v>AZUCAR BLANCA GRANULADA</v>
      </c>
    </row>
    <row r="3722" spans="2:8" hidden="1" x14ac:dyDescent="0.35">
      <c r="B3722" s="80" t="s">
        <v>92</v>
      </c>
      <c r="C3722" s="80" t="s">
        <v>86</v>
      </c>
      <c r="D3722" s="73" t="s">
        <v>552</v>
      </c>
      <c r="E3722" s="74">
        <v>12</v>
      </c>
      <c r="F3722" s="78" t="s">
        <v>259</v>
      </c>
      <c r="G3722" s="77" t="s">
        <v>551</v>
      </c>
      <c r="H3722" t="str">
        <f>VLOOKUP(D3722,'DETALLE PRECIO INGREDIENTES'!B:B,1,0)</f>
        <v>BATON 500 PETIT PAIN 3,2GR</v>
      </c>
    </row>
    <row r="3723" spans="2:8" hidden="1" x14ac:dyDescent="0.35">
      <c r="B3723" s="80" t="s">
        <v>92</v>
      </c>
      <c r="C3723" s="80" t="s">
        <v>86</v>
      </c>
      <c r="D3723" s="73" t="s">
        <v>354</v>
      </c>
      <c r="E3723" s="74">
        <v>0.3</v>
      </c>
      <c r="F3723" s="78" t="s">
        <v>237</v>
      </c>
      <c r="G3723" s="77" t="s">
        <v>220</v>
      </c>
      <c r="H3723" t="str">
        <f>VLOOKUP(D3723,'DETALLE PRECIO INGREDIENTES'!B:B,1,0)</f>
        <v>HARINA BIZCOCHERA</v>
      </c>
    </row>
    <row r="3724" spans="2:8" hidden="1" x14ac:dyDescent="0.35">
      <c r="B3724" s="80" t="s">
        <v>92</v>
      </c>
      <c r="C3724" s="80" t="s">
        <v>86</v>
      </c>
      <c r="D3724" s="73" t="s">
        <v>362</v>
      </c>
      <c r="E3724" s="74">
        <v>0.23</v>
      </c>
      <c r="F3724" s="78" t="s">
        <v>237</v>
      </c>
      <c r="G3724" s="77" t="s">
        <v>220</v>
      </c>
      <c r="H3724" t="str">
        <f>VLOOKUP(D3724,'DETALLE PRECIO INGREDIENTES'!B:B,1,0)</f>
        <v>HARINA PANADERA SOBRE 13 GR</v>
      </c>
    </row>
    <row r="3725" spans="2:8" hidden="1" x14ac:dyDescent="0.35">
      <c r="B3725" s="80" t="s">
        <v>92</v>
      </c>
      <c r="C3725" s="80" t="s">
        <v>86</v>
      </c>
      <c r="D3725" s="73" t="s">
        <v>729</v>
      </c>
      <c r="E3725" s="74">
        <v>1</v>
      </c>
      <c r="F3725" s="78" t="s">
        <v>259</v>
      </c>
      <c r="G3725" s="77" t="s">
        <v>728</v>
      </c>
      <c r="H3725" t="str">
        <f>VLOOKUP(D3725,'DETALLE PRECIO INGREDIENTES'!B:B,1,0)</f>
        <v>HUEVO EXTRA BLANCO</v>
      </c>
    </row>
    <row r="3726" spans="2:8" hidden="1" x14ac:dyDescent="0.35">
      <c r="B3726" s="80" t="s">
        <v>92</v>
      </c>
      <c r="C3726" s="80" t="s">
        <v>86</v>
      </c>
      <c r="D3726" s="73" t="s">
        <v>747</v>
      </c>
      <c r="E3726" s="74">
        <v>5.0000000000000001E-3</v>
      </c>
      <c r="F3726" s="78" t="s">
        <v>237</v>
      </c>
      <c r="G3726" s="77" t="s">
        <v>736</v>
      </c>
      <c r="H3726" t="str">
        <f>VLOOKUP(D3726,'DETALLE PRECIO INGREDIENTES'!B:B,1,0)</f>
        <v>LECHE EN POLVO ENTERA</v>
      </c>
    </row>
    <row r="3727" spans="2:8" hidden="1" x14ac:dyDescent="0.35">
      <c r="B3727" s="80" t="s">
        <v>92</v>
      </c>
      <c r="C3727" s="80" t="s">
        <v>86</v>
      </c>
      <c r="D3727" s="73" t="s">
        <v>748</v>
      </c>
      <c r="E3727" s="74">
        <v>0.2</v>
      </c>
      <c r="F3727" s="78" t="s">
        <v>222</v>
      </c>
      <c r="G3727" s="77" t="s">
        <v>736</v>
      </c>
      <c r="H3727" t="str">
        <f>VLOOKUP(D3727,'DETALLE PRECIO INGREDIENTES'!B:B,1,0)</f>
        <v>LECHE ENTERA</v>
      </c>
    </row>
    <row r="3728" spans="2:8" hidden="1" x14ac:dyDescent="0.35">
      <c r="B3728" s="80" t="s">
        <v>92</v>
      </c>
      <c r="C3728" s="80" t="s">
        <v>86</v>
      </c>
      <c r="D3728" s="73" t="s">
        <v>373</v>
      </c>
      <c r="E3728" s="74">
        <v>1.2E-2</v>
      </c>
      <c r="F3728" s="78" t="s">
        <v>237</v>
      </c>
      <c r="G3728" s="77" t="s">
        <v>220</v>
      </c>
      <c r="H3728" t="str">
        <f>VLOOKUP(D3728,'DETALLE PRECIO INGREDIENTES'!B:B,1,0)</f>
        <v>LEVADURA FRESCA</v>
      </c>
    </row>
    <row r="3729" spans="2:8" hidden="1" x14ac:dyDescent="0.35">
      <c r="B3729" s="80" t="s">
        <v>92</v>
      </c>
      <c r="C3729" s="80" t="s">
        <v>86</v>
      </c>
      <c r="D3729" s="73" t="s">
        <v>383</v>
      </c>
      <c r="E3729" s="74">
        <v>0.22500000000000001</v>
      </c>
      <c r="F3729" s="78" t="s">
        <v>237</v>
      </c>
      <c r="G3729" s="77" t="s">
        <v>220</v>
      </c>
      <c r="H3729" t="str">
        <f>VLOOKUP(D3729,'DETALLE PRECIO INGREDIENTES'!B:B,1,0)</f>
        <v>MANTEQUILLA EXTRA SECA</v>
      </c>
    </row>
    <row r="3730" spans="2:8" hidden="1" x14ac:dyDescent="0.35">
      <c r="B3730" s="80" t="s">
        <v>92</v>
      </c>
      <c r="C3730" s="80" t="s">
        <v>86</v>
      </c>
      <c r="D3730" s="73" t="s">
        <v>961</v>
      </c>
      <c r="E3730" s="74">
        <v>5.0000000000000001E-3</v>
      </c>
      <c r="F3730" s="78" t="s">
        <v>237</v>
      </c>
      <c r="G3730" s="77" t="s">
        <v>220</v>
      </c>
      <c r="H3730" t="str">
        <f>VLOOKUP(D3730,'DETALLE PRECIO INGREDIENTES'!B:B,1,0)</f>
        <v>miel</v>
      </c>
    </row>
    <row r="3731" spans="2:8" hidden="1" x14ac:dyDescent="0.35">
      <c r="B3731" s="80" t="s">
        <v>92</v>
      </c>
      <c r="C3731" s="80" t="s">
        <v>86</v>
      </c>
      <c r="D3731" s="73" t="s">
        <v>511</v>
      </c>
      <c r="E3731" s="74">
        <v>0.5</v>
      </c>
      <c r="F3731" s="78" t="s">
        <v>259</v>
      </c>
      <c r="G3731" s="77" t="s">
        <v>485</v>
      </c>
      <c r="H3731" t="str">
        <f>VLOOKUP(D3731,'DETALLE PRECIO INGREDIENTES'!B:B,1,0)</f>
        <v>PAPEL CERESINADO PLIEGO</v>
      </c>
    </row>
    <row r="3732" spans="2:8" hidden="1" x14ac:dyDescent="0.35">
      <c r="B3732" s="80" t="s">
        <v>92</v>
      </c>
      <c r="C3732" s="80" t="s">
        <v>86</v>
      </c>
      <c r="D3732" s="73" t="s">
        <v>445</v>
      </c>
      <c r="E3732" s="74">
        <v>1.6E-2</v>
      </c>
      <c r="F3732" s="78" t="s">
        <v>237</v>
      </c>
      <c r="G3732" s="77" t="s">
        <v>220</v>
      </c>
      <c r="H3732" t="str">
        <f>VLOOKUP(D3732,'DETALLE PRECIO INGREDIENTES'!B:B,1,0)</f>
        <v>SAL DE MESA LOBOS</v>
      </c>
    </row>
    <row r="3733" spans="2:8" hidden="1" x14ac:dyDescent="0.35">
      <c r="B3733" s="80" t="s">
        <v>92</v>
      </c>
      <c r="C3733" s="80" t="s">
        <v>86</v>
      </c>
      <c r="D3733" s="73" t="s">
        <v>553</v>
      </c>
      <c r="E3733" s="74">
        <v>0.01</v>
      </c>
      <c r="F3733" s="78" t="s">
        <v>237</v>
      </c>
      <c r="G3733" s="77" t="s">
        <v>551</v>
      </c>
      <c r="H3733" t="str">
        <f>VLOOKUP(D3733,'DETALLE PRECIO INGREDIENTES'!B:B,1,0)</f>
        <v>CACAO EN POLVO ALCALINO</v>
      </c>
    </row>
    <row r="3734" spans="2:8" hidden="1" x14ac:dyDescent="0.35">
      <c r="B3734" s="80" t="s">
        <v>92</v>
      </c>
      <c r="C3734" s="80" t="s">
        <v>85</v>
      </c>
      <c r="D3734" s="73" t="s">
        <v>277</v>
      </c>
      <c r="E3734" s="74">
        <v>8.5400000000000004E-2</v>
      </c>
      <c r="F3734" s="78" t="s">
        <v>237</v>
      </c>
      <c r="G3734" s="77" t="s">
        <v>220</v>
      </c>
      <c r="H3734" t="str">
        <f>VLOOKUP(D3734,'DETALLE PRECIO INGREDIENTES'!B:B,1,0)</f>
        <v>AZUCAR BLANCA GRANULADA</v>
      </c>
    </row>
    <row r="3735" spans="2:8" hidden="1" x14ac:dyDescent="0.35">
      <c r="B3735" s="80" t="s">
        <v>92</v>
      </c>
      <c r="C3735" s="80" t="s">
        <v>85</v>
      </c>
      <c r="D3735" s="73" t="s">
        <v>285</v>
      </c>
      <c r="E3735" s="74">
        <v>0.02</v>
      </c>
      <c r="F3735" s="78" t="s">
        <v>237</v>
      </c>
      <c r="G3735" s="77" t="s">
        <v>220</v>
      </c>
      <c r="H3735" t="str">
        <f>VLOOKUP(D3735,'DETALLE PRECIO INGREDIENTES'!B:B,1,0)</f>
        <v>BRILLOX GEL / MIROIR</v>
      </c>
    </row>
    <row r="3736" spans="2:8" hidden="1" x14ac:dyDescent="0.35">
      <c r="B3736" s="80" t="s">
        <v>92</v>
      </c>
      <c r="C3736" s="80" t="s">
        <v>85</v>
      </c>
      <c r="D3736" s="73" t="s">
        <v>565</v>
      </c>
      <c r="E3736" s="74">
        <v>0.05</v>
      </c>
      <c r="F3736" s="78" t="s">
        <v>237</v>
      </c>
      <c r="G3736" s="77" t="s">
        <v>551</v>
      </c>
      <c r="H3736" t="str">
        <f>VLOOKUP(D3736,'DETALLE PRECIO INGREDIENTES'!B:B,1,0)</f>
        <v>COBERTURA AMARGA</v>
      </c>
    </row>
    <row r="3737" spans="2:8" hidden="1" x14ac:dyDescent="0.35">
      <c r="B3737" s="80" t="s">
        <v>92</v>
      </c>
      <c r="C3737" s="80" t="s">
        <v>85</v>
      </c>
      <c r="D3737" s="73" t="s">
        <v>362</v>
      </c>
      <c r="E3737" s="74">
        <v>0.7</v>
      </c>
      <c r="F3737" s="78" t="s">
        <v>237</v>
      </c>
      <c r="G3737" s="77" t="s">
        <v>220</v>
      </c>
      <c r="H3737" t="str">
        <f>VLOOKUP(D3737,'DETALLE PRECIO INGREDIENTES'!B:B,1,0)</f>
        <v>HARINA PANADERA SOBRE 13 GR</v>
      </c>
    </row>
    <row r="3738" spans="2:8" hidden="1" x14ac:dyDescent="0.35">
      <c r="B3738" s="80" t="s">
        <v>92</v>
      </c>
      <c r="C3738" s="80" t="s">
        <v>85</v>
      </c>
      <c r="D3738" s="73" t="s">
        <v>373</v>
      </c>
      <c r="E3738" s="74">
        <v>7.0000000000000007E-2</v>
      </c>
      <c r="F3738" s="78" t="s">
        <v>237</v>
      </c>
      <c r="G3738" s="77" t="s">
        <v>220</v>
      </c>
      <c r="H3738" t="str">
        <f>VLOOKUP(D3738,'DETALLE PRECIO INGREDIENTES'!B:B,1,0)</f>
        <v>LEVADURA FRESCA</v>
      </c>
    </row>
    <row r="3739" spans="2:8" hidden="1" x14ac:dyDescent="0.35">
      <c r="B3739" s="80" t="s">
        <v>92</v>
      </c>
      <c r="C3739" s="80" t="s">
        <v>85</v>
      </c>
      <c r="D3739" s="73" t="s">
        <v>680</v>
      </c>
      <c r="E3739" s="74">
        <v>0.1</v>
      </c>
      <c r="F3739" s="78" t="s">
        <v>237</v>
      </c>
      <c r="G3739" s="77" t="s">
        <v>621</v>
      </c>
      <c r="H3739" t="str">
        <f>VLOOKUP(D3739,'DETALLE PRECIO INGREDIENTES'!B:B,1,0)</f>
        <v>LIMON DE JUGO</v>
      </c>
    </row>
    <row r="3740" spans="2:8" hidden="1" x14ac:dyDescent="0.35">
      <c r="B3740" s="80" t="s">
        <v>92</v>
      </c>
      <c r="C3740" s="80" t="s">
        <v>85</v>
      </c>
      <c r="D3740" s="73" t="s">
        <v>751</v>
      </c>
      <c r="E3740" s="74">
        <v>0.03</v>
      </c>
      <c r="F3740" s="78" t="s">
        <v>237</v>
      </c>
      <c r="G3740" s="77" t="s">
        <v>736</v>
      </c>
      <c r="H3740" t="str">
        <f>VLOOKUP(D3740,'DETALLE PRECIO INGREDIENTES'!B:B,1,0)</f>
        <v>MANTEQUILLA SIN SAL</v>
      </c>
    </row>
    <row r="3741" spans="2:8" hidden="1" x14ac:dyDescent="0.35">
      <c r="B3741" s="80" t="s">
        <v>92</v>
      </c>
      <c r="C3741" s="80" t="s">
        <v>85</v>
      </c>
      <c r="D3741" s="73" t="s">
        <v>753</v>
      </c>
      <c r="E3741" s="74">
        <v>0.16</v>
      </c>
      <c r="F3741" s="78" t="s">
        <v>237</v>
      </c>
      <c r="G3741" s="77" t="s">
        <v>736</v>
      </c>
      <c r="H3741" t="str">
        <f>VLOOKUP(D3741,'DETALLE PRECIO INGREDIENTES'!B:B,1,0)</f>
        <v>MARGARINA DE HOJA</v>
      </c>
    </row>
    <row r="3742" spans="2:8" hidden="1" x14ac:dyDescent="0.35">
      <c r="B3742" s="80" t="s">
        <v>92</v>
      </c>
      <c r="C3742" s="80" t="s">
        <v>85</v>
      </c>
      <c r="D3742" s="73" t="s">
        <v>511</v>
      </c>
      <c r="E3742" s="74">
        <v>0.5</v>
      </c>
      <c r="F3742" s="78" t="s">
        <v>259</v>
      </c>
      <c r="G3742" s="77" t="s">
        <v>485</v>
      </c>
      <c r="H3742" t="str">
        <f>VLOOKUP(D3742,'DETALLE PRECIO INGREDIENTES'!B:B,1,0)</f>
        <v>PAPEL CERESINADO PLIEGO</v>
      </c>
    </row>
    <row r="3743" spans="2:8" hidden="1" x14ac:dyDescent="0.35">
      <c r="B3743" s="80" t="s">
        <v>92</v>
      </c>
      <c r="C3743" s="80" t="s">
        <v>85</v>
      </c>
      <c r="D3743" s="73" t="s">
        <v>445</v>
      </c>
      <c r="E3743" s="74">
        <v>8.0000000000000002E-3</v>
      </c>
      <c r="F3743" s="78" t="s">
        <v>237</v>
      </c>
      <c r="G3743" s="77" t="s">
        <v>220</v>
      </c>
      <c r="H3743" t="str">
        <f>VLOOKUP(D3743,'DETALLE PRECIO INGREDIENTES'!B:B,1,0)</f>
        <v>SAL DE MESA LOBOS</v>
      </c>
    </row>
    <row r="3744" spans="2:8" hidden="1" x14ac:dyDescent="0.35">
      <c r="B3744" s="80" t="s">
        <v>92</v>
      </c>
      <c r="C3744" s="80" t="s">
        <v>85</v>
      </c>
      <c r="D3744" s="73" t="s">
        <v>684</v>
      </c>
      <c r="E3744" s="74">
        <v>0.2</v>
      </c>
      <c r="F3744" s="78" t="s">
        <v>237</v>
      </c>
      <c r="G3744" s="77" t="s">
        <v>621</v>
      </c>
      <c r="H3744" t="str">
        <f>VLOOKUP(D3744,'DETALLE PRECIO INGREDIENTES'!B:B,1,0)</f>
        <v>MANZANA VERDE</v>
      </c>
    </row>
    <row r="3745" spans="2:8" hidden="1" x14ac:dyDescent="0.35">
      <c r="B3745" s="80" t="s">
        <v>92</v>
      </c>
      <c r="C3745" s="80" t="s">
        <v>85</v>
      </c>
      <c r="D3745" s="73" t="s">
        <v>315</v>
      </c>
      <c r="E3745" s="74">
        <v>0.06</v>
      </c>
      <c r="F3745" s="78" t="s">
        <v>237</v>
      </c>
      <c r="G3745" s="77" t="s">
        <v>220</v>
      </c>
      <c r="H3745" t="str">
        <f>VLOOKUP(D3745,'DETALLE PRECIO INGREDIENTES'!B:B,1,0)</f>
        <v>CREMA PASTELERA PURATOS</v>
      </c>
    </row>
    <row r="3746" spans="2:8" hidden="1" x14ac:dyDescent="0.35">
      <c r="B3746" s="80" t="s">
        <v>92</v>
      </c>
      <c r="C3746" s="80" t="s">
        <v>84</v>
      </c>
      <c r="D3746" s="73" t="s">
        <v>277</v>
      </c>
      <c r="E3746" s="74">
        <v>0.10929999999999999</v>
      </c>
      <c r="F3746" s="78" t="s">
        <v>237</v>
      </c>
      <c r="G3746" s="77" t="s">
        <v>220</v>
      </c>
      <c r="H3746" t="str">
        <f>VLOOKUP(D3746,'DETALLE PRECIO INGREDIENTES'!B:B,1,0)</f>
        <v>AZUCAR BLANCA GRANULADA</v>
      </c>
    </row>
    <row r="3747" spans="2:8" hidden="1" x14ac:dyDescent="0.35">
      <c r="B3747" s="80" t="s">
        <v>92</v>
      </c>
      <c r="C3747" s="80" t="s">
        <v>84</v>
      </c>
      <c r="D3747" s="73" t="s">
        <v>362</v>
      </c>
      <c r="E3747" s="74">
        <v>0.7</v>
      </c>
      <c r="F3747" s="78" t="s">
        <v>237</v>
      </c>
      <c r="G3747" s="77" t="s">
        <v>220</v>
      </c>
      <c r="H3747" t="str">
        <f>VLOOKUP(D3747,'DETALLE PRECIO INGREDIENTES'!B:B,1,0)</f>
        <v>HARINA PANADERA SOBRE 13 GR</v>
      </c>
    </row>
    <row r="3748" spans="2:8" hidden="1" x14ac:dyDescent="0.35">
      <c r="B3748" s="80" t="s">
        <v>92</v>
      </c>
      <c r="C3748" s="80" t="s">
        <v>84</v>
      </c>
      <c r="D3748" s="73" t="s">
        <v>373</v>
      </c>
      <c r="E3748" s="74">
        <v>1.4999999999999999E-2</v>
      </c>
      <c r="F3748" s="78" t="s">
        <v>237</v>
      </c>
      <c r="G3748" s="77" t="s">
        <v>220</v>
      </c>
      <c r="H3748" t="str">
        <f>VLOOKUP(D3748,'DETALLE PRECIO INGREDIENTES'!B:B,1,0)</f>
        <v>LEVADURA FRESCA</v>
      </c>
    </row>
    <row r="3749" spans="2:8" hidden="1" x14ac:dyDescent="0.35">
      <c r="B3749" s="80" t="s">
        <v>92</v>
      </c>
      <c r="C3749" s="80" t="s">
        <v>84</v>
      </c>
      <c r="D3749" s="73" t="s">
        <v>532</v>
      </c>
      <c r="E3749" s="74">
        <v>0.1</v>
      </c>
      <c r="F3749" s="78" t="s">
        <v>237</v>
      </c>
      <c r="G3749" s="77" t="s">
        <v>525</v>
      </c>
      <c r="H3749" t="str">
        <f>VLOOKUP(D3749,'DETALLE PRECIO INGREDIENTES'!B:B,1,0)</f>
        <v>CERDO GRASA/TOCINO BLANCO</v>
      </c>
    </row>
    <row r="3750" spans="2:8" hidden="1" x14ac:dyDescent="0.35">
      <c r="B3750" s="80" t="s">
        <v>92</v>
      </c>
      <c r="C3750" s="80" t="s">
        <v>84</v>
      </c>
      <c r="D3750" s="73" t="s">
        <v>445</v>
      </c>
      <c r="E3750" s="74">
        <v>1.4999999999999999E-2</v>
      </c>
      <c r="F3750" s="78" t="s">
        <v>237</v>
      </c>
      <c r="G3750" s="77" t="s">
        <v>220</v>
      </c>
      <c r="H3750" t="str">
        <f>VLOOKUP(D3750,'DETALLE PRECIO INGREDIENTES'!B:B,1,0)</f>
        <v>SAL DE MESA LOBOS</v>
      </c>
    </row>
    <row r="3751" spans="2:8" hidden="1" x14ac:dyDescent="0.35">
      <c r="B3751" s="80" t="s">
        <v>92</v>
      </c>
      <c r="C3751" s="80" t="s">
        <v>84</v>
      </c>
      <c r="D3751" s="73" t="s">
        <v>543</v>
      </c>
      <c r="E3751" s="74">
        <v>0.06</v>
      </c>
      <c r="F3751" s="78" t="s">
        <v>237</v>
      </c>
      <c r="G3751" s="77" t="s">
        <v>525</v>
      </c>
      <c r="H3751" t="str">
        <f>VLOOKUP(D3751,'DETALLE PRECIO INGREDIENTES'!B:B,1,0)</f>
        <v>MANTECA DE CERDO</v>
      </c>
    </row>
    <row r="3752" spans="2:8" hidden="1" x14ac:dyDescent="0.35">
      <c r="B3752" s="80" t="s">
        <v>92</v>
      </c>
      <c r="C3752" s="80" t="s">
        <v>84</v>
      </c>
      <c r="D3752" s="73" t="s">
        <v>284</v>
      </c>
      <c r="E3752" s="74">
        <v>5.0000000000000001E-3</v>
      </c>
      <c r="F3752" s="78" t="s">
        <v>237</v>
      </c>
      <c r="G3752" s="77" t="s">
        <v>220</v>
      </c>
      <c r="H3752" t="str">
        <f>VLOOKUP(D3752,'DETALLE PRECIO INGREDIENTES'!B:B,1,0)</f>
        <v>BICARBONATO DE SODIO</v>
      </c>
    </row>
    <row r="3753" spans="2:8" hidden="1" x14ac:dyDescent="0.35">
      <c r="B3753" s="80" t="s">
        <v>92</v>
      </c>
      <c r="C3753" s="80" t="s">
        <v>84</v>
      </c>
      <c r="D3753" s="73" t="s">
        <v>228</v>
      </c>
      <c r="E3753" s="74">
        <v>0.02</v>
      </c>
      <c r="F3753" s="78" t="s">
        <v>222</v>
      </c>
      <c r="G3753" s="77" t="s">
        <v>220</v>
      </c>
      <c r="H3753" t="str">
        <f>VLOOKUP(D3753,'DETALLE PRECIO INGREDIENTES'!B:B,1,0)</f>
        <v>ACEITE DE MARAVILLA</v>
      </c>
    </row>
    <row r="3754" spans="2:8" hidden="1" x14ac:dyDescent="0.35">
      <c r="B3754" s="80" t="s">
        <v>92</v>
      </c>
      <c r="C3754" s="80" t="s">
        <v>84</v>
      </c>
      <c r="D3754" s="73" t="s">
        <v>411</v>
      </c>
      <c r="E3754" s="74">
        <v>0.2</v>
      </c>
      <c r="F3754" s="78" t="s">
        <v>237</v>
      </c>
      <c r="G3754" s="77" t="s">
        <v>621</v>
      </c>
      <c r="H3754" t="str">
        <f>VLOOKUP(D3754,'DETALLE PRECIO INGREDIENTES'!B:B,1,0)</f>
        <v>PAPAS</v>
      </c>
    </row>
    <row r="3755" spans="2:8" hidden="1" x14ac:dyDescent="0.35">
      <c r="B3755" s="80" t="s">
        <v>92</v>
      </c>
      <c r="C3755" s="80" t="s">
        <v>84</v>
      </c>
      <c r="D3755" s="73" t="s">
        <v>695</v>
      </c>
      <c r="E3755" s="74">
        <v>0.2</v>
      </c>
      <c r="F3755" s="78" t="s">
        <v>237</v>
      </c>
      <c r="G3755" s="77" t="s">
        <v>621</v>
      </c>
      <c r="H3755" t="str">
        <f>VLOOKUP(D3755,'DETALLE PRECIO INGREDIENTES'!B:B,1,0)</f>
        <v>PAPAS ARCOIRIS/NATIVAS</v>
      </c>
    </row>
    <row r="3756" spans="2:8" hidden="1" x14ac:dyDescent="0.35">
      <c r="B3756" s="80" t="s">
        <v>92</v>
      </c>
      <c r="C3756" s="80" t="s">
        <v>84</v>
      </c>
      <c r="D3756" s="73" t="s">
        <v>729</v>
      </c>
      <c r="E3756" s="74">
        <v>3</v>
      </c>
      <c r="F3756" s="78" t="s">
        <v>259</v>
      </c>
      <c r="G3756" s="77" t="s">
        <v>728</v>
      </c>
      <c r="H3756" t="str">
        <f>VLOOKUP(D3756,'DETALLE PRECIO INGREDIENTES'!B:B,1,0)</f>
        <v>HUEVO EXTRA BLANCO</v>
      </c>
    </row>
    <row r="3757" spans="2:8" hidden="1" x14ac:dyDescent="0.35">
      <c r="B3757" s="80" t="s">
        <v>92</v>
      </c>
      <c r="C3757" s="80" t="s">
        <v>84</v>
      </c>
      <c r="D3757" s="73" t="s">
        <v>751</v>
      </c>
      <c r="E3757" s="74">
        <v>0.03</v>
      </c>
      <c r="F3757" s="78" t="s">
        <v>237</v>
      </c>
      <c r="G3757" s="77" t="s">
        <v>736</v>
      </c>
      <c r="H3757" t="str">
        <f>VLOOKUP(D3757,'DETALLE PRECIO INGREDIENTES'!B:B,1,0)</f>
        <v>MANTEQUILLA SIN SAL</v>
      </c>
    </row>
    <row r="3758" spans="2:8" hidden="1" x14ac:dyDescent="0.35">
      <c r="B3758" s="80" t="s">
        <v>92</v>
      </c>
      <c r="C3758" s="80" t="s">
        <v>83</v>
      </c>
      <c r="D3758" s="73" t="s">
        <v>277</v>
      </c>
      <c r="E3758" s="74">
        <v>0.10929999999999999</v>
      </c>
      <c r="F3758" s="78" t="s">
        <v>237</v>
      </c>
      <c r="G3758" s="77" t="s">
        <v>220</v>
      </c>
      <c r="H3758" t="str">
        <f>VLOOKUP(D3758,'DETALLE PRECIO INGREDIENTES'!B:B,1,0)</f>
        <v>AZUCAR BLANCA GRANULADA</v>
      </c>
    </row>
    <row r="3759" spans="2:8" hidden="1" x14ac:dyDescent="0.35">
      <c r="B3759" s="80" t="s">
        <v>92</v>
      </c>
      <c r="C3759" s="80" t="s">
        <v>83</v>
      </c>
      <c r="D3759" s="73" t="s">
        <v>362</v>
      </c>
      <c r="E3759" s="74">
        <v>0.7</v>
      </c>
      <c r="F3759" s="78" t="s">
        <v>237</v>
      </c>
      <c r="G3759" s="77" t="s">
        <v>220</v>
      </c>
      <c r="H3759" t="str">
        <f>VLOOKUP(D3759,'DETALLE PRECIO INGREDIENTES'!B:B,1,0)</f>
        <v>HARINA PANADERA SOBRE 13 GR</v>
      </c>
    </row>
    <row r="3760" spans="2:8" hidden="1" x14ac:dyDescent="0.35">
      <c r="B3760" s="80" t="s">
        <v>92</v>
      </c>
      <c r="C3760" s="80" t="s">
        <v>83</v>
      </c>
      <c r="D3760" s="73" t="s">
        <v>373</v>
      </c>
      <c r="E3760" s="74">
        <v>1.4999999999999999E-2</v>
      </c>
      <c r="F3760" s="78" t="s">
        <v>237</v>
      </c>
      <c r="G3760" s="77" t="s">
        <v>220</v>
      </c>
      <c r="H3760" t="str">
        <f>VLOOKUP(D3760,'DETALLE PRECIO INGREDIENTES'!B:B,1,0)</f>
        <v>LEVADURA FRESCA</v>
      </c>
    </row>
    <row r="3761" spans="2:8" hidden="1" x14ac:dyDescent="0.35">
      <c r="B3761" s="80" t="s">
        <v>92</v>
      </c>
      <c r="C3761" s="80" t="s">
        <v>83</v>
      </c>
      <c r="D3761" s="73" t="s">
        <v>532</v>
      </c>
      <c r="E3761" s="74">
        <v>0.1</v>
      </c>
      <c r="F3761" s="78" t="s">
        <v>237</v>
      </c>
      <c r="G3761" s="77" t="s">
        <v>525</v>
      </c>
      <c r="H3761" t="str">
        <f>VLOOKUP(D3761,'DETALLE PRECIO INGREDIENTES'!B:B,1,0)</f>
        <v>CERDO GRASA/TOCINO BLANCO</v>
      </c>
    </row>
    <row r="3762" spans="2:8" hidden="1" x14ac:dyDescent="0.35">
      <c r="B3762" s="80" t="s">
        <v>92</v>
      </c>
      <c r="C3762" s="80" t="s">
        <v>83</v>
      </c>
      <c r="D3762" s="73" t="s">
        <v>445</v>
      </c>
      <c r="E3762" s="74">
        <v>1.4999999999999999E-2</v>
      </c>
      <c r="F3762" s="78" t="s">
        <v>237</v>
      </c>
      <c r="G3762" s="77" t="s">
        <v>220</v>
      </c>
      <c r="H3762" t="str">
        <f>VLOOKUP(D3762,'DETALLE PRECIO INGREDIENTES'!B:B,1,0)</f>
        <v>SAL DE MESA LOBOS</v>
      </c>
    </row>
    <row r="3763" spans="2:8" hidden="1" x14ac:dyDescent="0.35">
      <c r="B3763" s="80" t="s">
        <v>92</v>
      </c>
      <c r="C3763" s="80" t="s">
        <v>83</v>
      </c>
      <c r="D3763" s="73" t="s">
        <v>543</v>
      </c>
      <c r="E3763" s="74">
        <v>0.06</v>
      </c>
      <c r="F3763" s="78" t="s">
        <v>237</v>
      </c>
      <c r="G3763" s="77" t="s">
        <v>525</v>
      </c>
      <c r="H3763" t="str">
        <f>VLOOKUP(D3763,'DETALLE PRECIO INGREDIENTES'!B:B,1,0)</f>
        <v>MANTECA DE CERDO</v>
      </c>
    </row>
    <row r="3764" spans="2:8" hidden="1" x14ac:dyDescent="0.35">
      <c r="B3764" s="80" t="s">
        <v>92</v>
      </c>
      <c r="C3764" s="80" t="s">
        <v>83</v>
      </c>
      <c r="D3764" s="73" t="s">
        <v>284</v>
      </c>
      <c r="E3764" s="74">
        <v>5.0000000000000001E-3</v>
      </c>
      <c r="F3764" s="78" t="s">
        <v>237</v>
      </c>
      <c r="G3764" s="77" t="s">
        <v>220</v>
      </c>
      <c r="H3764" t="str">
        <f>VLOOKUP(D3764,'DETALLE PRECIO INGREDIENTES'!B:B,1,0)</f>
        <v>BICARBONATO DE SODIO</v>
      </c>
    </row>
    <row r="3765" spans="2:8" hidden="1" x14ac:dyDescent="0.35">
      <c r="B3765" s="80" t="s">
        <v>92</v>
      </c>
      <c r="C3765" s="80" t="s">
        <v>83</v>
      </c>
      <c r="D3765" s="73" t="s">
        <v>228</v>
      </c>
      <c r="E3765" s="74">
        <v>0.02</v>
      </c>
      <c r="F3765" s="78" t="s">
        <v>222</v>
      </c>
      <c r="G3765" s="77" t="s">
        <v>220</v>
      </c>
      <c r="H3765" t="str">
        <f>VLOOKUP(D3765,'DETALLE PRECIO INGREDIENTES'!B:B,1,0)</f>
        <v>ACEITE DE MARAVILLA</v>
      </c>
    </row>
    <row r="3766" spans="2:8" hidden="1" x14ac:dyDescent="0.35">
      <c r="B3766" s="80" t="s">
        <v>92</v>
      </c>
      <c r="C3766" s="80" t="s">
        <v>83</v>
      </c>
      <c r="D3766" s="73" t="s">
        <v>411</v>
      </c>
      <c r="E3766" s="74">
        <v>0.2</v>
      </c>
      <c r="F3766" s="78" t="s">
        <v>237</v>
      </c>
      <c r="G3766" s="77" t="s">
        <v>621</v>
      </c>
      <c r="H3766" t="str">
        <f>VLOOKUP(D3766,'DETALLE PRECIO INGREDIENTES'!B:B,1,0)</f>
        <v>PAPAS</v>
      </c>
    </row>
    <row r="3767" spans="2:8" hidden="1" x14ac:dyDescent="0.35">
      <c r="B3767" s="80" t="s">
        <v>92</v>
      </c>
      <c r="C3767" s="80" t="s">
        <v>83</v>
      </c>
      <c r="D3767" s="73" t="s">
        <v>695</v>
      </c>
      <c r="E3767" s="74">
        <v>0.2</v>
      </c>
      <c r="F3767" s="78" t="s">
        <v>237</v>
      </c>
      <c r="G3767" s="77" t="s">
        <v>621</v>
      </c>
      <c r="H3767" t="str">
        <f>VLOOKUP(D3767,'DETALLE PRECIO INGREDIENTES'!B:B,1,0)</f>
        <v>PAPAS ARCOIRIS/NATIVAS</v>
      </c>
    </row>
    <row r="3768" spans="2:8" hidden="1" x14ac:dyDescent="0.35">
      <c r="B3768" s="80" t="s">
        <v>92</v>
      </c>
      <c r="C3768" s="80" t="s">
        <v>83</v>
      </c>
      <c r="D3768" s="73" t="s">
        <v>729</v>
      </c>
      <c r="E3768" s="74">
        <v>3</v>
      </c>
      <c r="F3768" s="78" t="s">
        <v>259</v>
      </c>
      <c r="G3768" s="77" t="s">
        <v>728</v>
      </c>
      <c r="H3768" t="str">
        <f>VLOOKUP(D3768,'DETALLE PRECIO INGREDIENTES'!B:B,1,0)</f>
        <v>HUEVO EXTRA BLANCO</v>
      </c>
    </row>
    <row r="3769" spans="2:8" hidden="1" x14ac:dyDescent="0.35">
      <c r="B3769" s="80" t="s">
        <v>92</v>
      </c>
      <c r="C3769" s="80" t="s">
        <v>83</v>
      </c>
      <c r="D3769" s="73" t="s">
        <v>751</v>
      </c>
      <c r="E3769" s="74">
        <v>0.03</v>
      </c>
      <c r="F3769" s="78" t="s">
        <v>237</v>
      </c>
      <c r="G3769" s="77" t="s">
        <v>736</v>
      </c>
      <c r="H3769" t="str">
        <f>VLOOKUP(D3769,'DETALLE PRECIO INGREDIENTES'!B:B,1,0)</f>
        <v>MANTEQUILLA SIN SAL</v>
      </c>
    </row>
    <row r="3770" spans="2:8" x14ac:dyDescent="0.35">
      <c r="E3770" s="72"/>
    </row>
  </sheetData>
  <autoFilter ref="B1:H3769" xr:uid="{B6472F87-AAA7-41C3-976C-CA39DF88D021}">
    <filterColumn colId="6">
      <filters>
        <filter val="#N/D"/>
      </filters>
    </filterColumn>
  </autoFilter>
  <dataValidations count="1">
    <dataValidation type="list" allowBlank="1" showErrorMessage="1" sqref="D3746 D3756:D3758 D3768:D3769 D2291 D2494:D3628 D2:D328 D330:D2280" xr:uid="{314E7B47-4EA2-423B-B584-BCE49CC83F6D}">
      <formula1>#REF!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ADD6F-CCF4-44B8-8284-DDEDF9C53346}">
  <sheetPr codeName="Hoja4"/>
  <dimension ref="A1:K606"/>
  <sheetViews>
    <sheetView workbookViewId="0">
      <selection activeCell="B4" sqref="B4"/>
    </sheetView>
  </sheetViews>
  <sheetFormatPr baseColWidth="10" defaultRowHeight="14.5" x14ac:dyDescent="0.35"/>
  <cols>
    <col min="2" max="2" width="45.81640625" bestFit="1" customWidth="1"/>
    <col min="3" max="3" width="16.08984375" bestFit="1" customWidth="1"/>
    <col min="6" max="6" width="12.26953125" bestFit="1" customWidth="1"/>
  </cols>
  <sheetData>
    <row r="1" spans="1:10" x14ac:dyDescent="0.35">
      <c r="A1" s="53" t="s">
        <v>214</v>
      </c>
      <c r="B1" s="54" t="s">
        <v>215</v>
      </c>
      <c r="C1" s="55" t="s">
        <v>217</v>
      </c>
      <c r="D1" s="56" t="s">
        <v>218</v>
      </c>
      <c r="E1" s="49" t="s">
        <v>219</v>
      </c>
      <c r="F1" s="49" t="s">
        <v>897</v>
      </c>
      <c r="G1" s="49" t="s">
        <v>898</v>
      </c>
      <c r="H1" s="51" t="s">
        <v>899</v>
      </c>
    </row>
    <row r="2" spans="1:10" x14ac:dyDescent="0.35">
      <c r="A2" s="52" t="s">
        <v>220</v>
      </c>
      <c r="B2" s="52" t="s">
        <v>221</v>
      </c>
      <c r="C2" s="52" t="s">
        <v>223</v>
      </c>
      <c r="D2" s="57">
        <v>0.02</v>
      </c>
      <c r="E2" s="68">
        <v>1</v>
      </c>
      <c r="F2" s="69" t="s">
        <v>224</v>
      </c>
      <c r="G2" s="58">
        <v>2731</v>
      </c>
      <c r="H2" s="59">
        <f>G2*1.19</f>
        <v>3249.89</v>
      </c>
      <c r="J2" s="50"/>
    </row>
    <row r="3" spans="1:10" x14ac:dyDescent="0.35">
      <c r="A3" s="52" t="s">
        <v>220</v>
      </c>
      <c r="B3" s="52" t="s">
        <v>225</v>
      </c>
      <c r="C3" s="52" t="s">
        <v>226</v>
      </c>
      <c r="D3" s="57">
        <v>1.125E-2</v>
      </c>
      <c r="E3" s="68">
        <v>400</v>
      </c>
      <c r="F3" s="69" t="s">
        <v>895</v>
      </c>
      <c r="G3" s="58">
        <v>4361</v>
      </c>
      <c r="H3" s="59">
        <f>G3*1.19</f>
        <v>5189.59</v>
      </c>
      <c r="J3" s="50"/>
    </row>
    <row r="4" spans="1:10" x14ac:dyDescent="0.35">
      <c r="A4" s="52" t="s">
        <v>220</v>
      </c>
      <c r="B4" s="52" t="s">
        <v>227</v>
      </c>
      <c r="C4" s="52" t="s">
        <v>223</v>
      </c>
      <c r="D4" s="57">
        <v>3.7499999999999999E-3</v>
      </c>
      <c r="E4" s="68">
        <v>1</v>
      </c>
      <c r="F4" s="69" t="s">
        <v>222</v>
      </c>
      <c r="G4" s="58">
        <v>3471</v>
      </c>
      <c r="H4" s="59">
        <f>G4*1.19</f>
        <v>4130.49</v>
      </c>
      <c r="J4" s="50"/>
    </row>
    <row r="5" spans="1:10" x14ac:dyDescent="0.35">
      <c r="A5" s="52" t="s">
        <v>220</v>
      </c>
      <c r="B5" s="52" t="s">
        <v>228</v>
      </c>
      <c r="C5" s="52" t="s">
        <v>229</v>
      </c>
      <c r="D5" s="57">
        <v>1.7566250000000003</v>
      </c>
      <c r="E5" s="68">
        <v>5</v>
      </c>
      <c r="F5" s="69" t="s">
        <v>222</v>
      </c>
      <c r="G5" s="58">
        <v>12372</v>
      </c>
      <c r="H5" s="59">
        <f t="shared" ref="H5:H66" si="0">G5*1.19</f>
        <v>14722.679999999998</v>
      </c>
    </row>
    <row r="6" spans="1:10" x14ac:dyDescent="0.35">
      <c r="A6" s="52" t="s">
        <v>220</v>
      </c>
      <c r="B6" s="52" t="s">
        <v>230</v>
      </c>
      <c r="C6" s="52" t="s">
        <v>229</v>
      </c>
      <c r="D6" s="57">
        <v>1.0346875000000002</v>
      </c>
      <c r="E6" s="68">
        <v>5</v>
      </c>
      <c r="F6" s="69" t="s">
        <v>222</v>
      </c>
      <c r="G6" s="58">
        <v>23840</v>
      </c>
      <c r="H6" s="59">
        <f t="shared" si="0"/>
        <v>28369.599999999999</v>
      </c>
    </row>
    <row r="7" spans="1:10" x14ac:dyDescent="0.35">
      <c r="A7" s="52" t="s">
        <v>220</v>
      </c>
      <c r="B7" s="52" t="s">
        <v>231</v>
      </c>
      <c r="C7" s="52" t="s">
        <v>232</v>
      </c>
      <c r="D7" s="57">
        <v>1.5625E-2</v>
      </c>
      <c r="E7" s="68">
        <v>185</v>
      </c>
      <c r="F7" s="69" t="s">
        <v>895</v>
      </c>
      <c r="G7" s="58">
        <v>5034</v>
      </c>
      <c r="H7" s="59">
        <f t="shared" si="0"/>
        <v>5990.46</v>
      </c>
      <c r="J7" s="50"/>
    </row>
    <row r="8" spans="1:10" x14ac:dyDescent="0.35">
      <c r="A8" s="52" t="s">
        <v>220</v>
      </c>
      <c r="B8" s="52" t="s">
        <v>233</v>
      </c>
      <c r="C8" s="52" t="s">
        <v>229</v>
      </c>
      <c r="D8" s="57">
        <v>4.45</v>
      </c>
      <c r="E8" s="68">
        <v>10</v>
      </c>
      <c r="F8" s="69" t="s">
        <v>222</v>
      </c>
      <c r="G8" s="58">
        <v>23928</v>
      </c>
      <c r="H8" s="59">
        <f t="shared" si="0"/>
        <v>28474.32</v>
      </c>
    </row>
    <row r="9" spans="1:10" x14ac:dyDescent="0.35">
      <c r="A9" s="52" t="s">
        <v>220</v>
      </c>
      <c r="B9" s="52" t="s">
        <v>234</v>
      </c>
      <c r="C9" s="52" t="s">
        <v>229</v>
      </c>
      <c r="D9" s="57">
        <v>0.17250000000000001</v>
      </c>
      <c r="E9" s="68">
        <v>1</v>
      </c>
      <c r="F9" s="69" t="s">
        <v>222</v>
      </c>
      <c r="G9" s="58">
        <v>3390</v>
      </c>
      <c r="H9" s="59">
        <f t="shared" si="0"/>
        <v>4034.1</v>
      </c>
    </row>
    <row r="10" spans="1:10" x14ac:dyDescent="0.35">
      <c r="A10" s="52" t="s">
        <v>220</v>
      </c>
      <c r="B10" s="52" t="s">
        <v>235</v>
      </c>
      <c r="C10" s="52" t="s">
        <v>229</v>
      </c>
      <c r="D10" s="57">
        <v>1.87825</v>
      </c>
      <c r="E10" s="68">
        <v>5</v>
      </c>
      <c r="F10" s="69" t="s">
        <v>222</v>
      </c>
      <c r="G10" s="58">
        <v>10178</v>
      </c>
      <c r="H10" s="59">
        <f t="shared" si="0"/>
        <v>12111.82</v>
      </c>
    </row>
    <row r="11" spans="1:10" x14ac:dyDescent="0.35">
      <c r="A11" s="52" t="s">
        <v>220</v>
      </c>
      <c r="B11" s="52" t="s">
        <v>236</v>
      </c>
      <c r="C11" s="52" t="s">
        <v>223</v>
      </c>
      <c r="D11" s="57">
        <v>1.5625E-2</v>
      </c>
      <c r="E11" s="68">
        <v>200</v>
      </c>
      <c r="F11" s="69" t="s">
        <v>522</v>
      </c>
      <c r="G11" s="58">
        <v>2765</v>
      </c>
      <c r="H11" s="59">
        <f t="shared" si="0"/>
        <v>3290.35</v>
      </c>
      <c r="J11" s="50"/>
    </row>
    <row r="12" spans="1:10" x14ac:dyDescent="0.35">
      <c r="A12" s="52" t="s">
        <v>220</v>
      </c>
      <c r="B12" s="52" t="s">
        <v>238</v>
      </c>
      <c r="C12" s="52" t="s">
        <v>229</v>
      </c>
      <c r="D12" s="57">
        <v>9.3750000000000014E-3</v>
      </c>
      <c r="E12" s="68">
        <v>1</v>
      </c>
      <c r="F12" s="69" t="s">
        <v>402</v>
      </c>
      <c r="G12" s="58">
        <v>4150</v>
      </c>
      <c r="H12" s="59">
        <f t="shared" si="0"/>
        <v>4938.5</v>
      </c>
    </row>
    <row r="13" spans="1:10" x14ac:dyDescent="0.35">
      <c r="A13" s="52" t="s">
        <v>220</v>
      </c>
      <c r="B13" s="52" t="s">
        <v>239</v>
      </c>
      <c r="C13" s="52" t="s">
        <v>229</v>
      </c>
      <c r="D13" s="57">
        <v>0.20749999999999999</v>
      </c>
      <c r="E13" s="68">
        <v>850</v>
      </c>
      <c r="F13" s="69" t="s">
        <v>522</v>
      </c>
      <c r="G13" s="58">
        <v>5781</v>
      </c>
      <c r="H13" s="59">
        <f t="shared" si="0"/>
        <v>6879.3899999999994</v>
      </c>
    </row>
    <row r="14" spans="1:10" x14ac:dyDescent="0.35">
      <c r="A14" s="52" t="s">
        <v>220</v>
      </c>
      <c r="B14" s="52" t="s">
        <v>240</v>
      </c>
      <c r="C14" s="52" t="s">
        <v>229</v>
      </c>
      <c r="D14" s="57">
        <v>1.375E-2</v>
      </c>
      <c r="E14" s="68">
        <v>5</v>
      </c>
      <c r="F14" s="69" t="s">
        <v>883</v>
      </c>
      <c r="G14" s="58">
        <v>26610</v>
      </c>
      <c r="H14" s="59">
        <f t="shared" si="0"/>
        <v>31665.899999999998</v>
      </c>
    </row>
    <row r="15" spans="1:10" x14ac:dyDescent="0.35">
      <c r="A15" s="52" t="s">
        <v>220</v>
      </c>
      <c r="B15" s="52" t="s">
        <v>241</v>
      </c>
      <c r="C15" s="52" t="s">
        <v>242</v>
      </c>
      <c r="D15" s="57">
        <v>1.875E-4</v>
      </c>
      <c r="E15" s="68">
        <v>1</v>
      </c>
      <c r="F15" s="69" t="s">
        <v>522</v>
      </c>
      <c r="G15" s="58">
        <v>31320</v>
      </c>
      <c r="H15" s="59">
        <f t="shared" si="0"/>
        <v>37270.799999999996</v>
      </c>
    </row>
    <row r="16" spans="1:10" x14ac:dyDescent="0.35">
      <c r="A16" s="52" t="s">
        <v>220</v>
      </c>
      <c r="B16" s="52" t="s">
        <v>243</v>
      </c>
      <c r="C16" s="52" t="s">
        <v>242</v>
      </c>
      <c r="D16" s="57">
        <v>1.025E-2</v>
      </c>
      <c r="E16" s="68">
        <v>1</v>
      </c>
      <c r="F16" s="69" t="s">
        <v>522</v>
      </c>
      <c r="G16" s="58">
        <v>14670</v>
      </c>
      <c r="H16" s="59">
        <f t="shared" si="0"/>
        <v>17457.3</v>
      </c>
    </row>
    <row r="17" spans="1:8" x14ac:dyDescent="0.35">
      <c r="A17" s="52" t="s">
        <v>220</v>
      </c>
      <c r="B17" s="52" t="s">
        <v>244</v>
      </c>
      <c r="C17" s="52" t="s">
        <v>242</v>
      </c>
      <c r="D17" s="57">
        <v>1.7875000000000002E-2</v>
      </c>
      <c r="E17" s="68">
        <v>500</v>
      </c>
      <c r="F17" s="69" t="s">
        <v>522</v>
      </c>
      <c r="G17" s="58">
        <v>34485</v>
      </c>
      <c r="H17" s="59">
        <f t="shared" si="0"/>
        <v>41037.15</v>
      </c>
    </row>
    <row r="18" spans="1:8" x14ac:dyDescent="0.35">
      <c r="A18" s="52" t="s">
        <v>220</v>
      </c>
      <c r="B18" s="52" t="s">
        <v>245</v>
      </c>
      <c r="C18" s="52" t="s">
        <v>246</v>
      </c>
      <c r="D18" s="57">
        <v>0.13100000000000001</v>
      </c>
      <c r="E18" s="68">
        <v>1</v>
      </c>
      <c r="F18" s="69" t="s">
        <v>402</v>
      </c>
      <c r="G18" s="58">
        <v>4916</v>
      </c>
      <c r="H18" s="59">
        <f t="shared" si="0"/>
        <v>5850.04</v>
      </c>
    </row>
    <row r="19" spans="1:8" x14ac:dyDescent="0.35">
      <c r="A19" s="52" t="s">
        <v>220</v>
      </c>
      <c r="B19" s="52" t="s">
        <v>247</v>
      </c>
      <c r="C19" s="52" t="s">
        <v>246</v>
      </c>
      <c r="D19" s="57">
        <v>4.4999999999999998E-2</v>
      </c>
      <c r="E19" s="68">
        <v>1</v>
      </c>
      <c r="F19" s="69" t="s">
        <v>402</v>
      </c>
      <c r="G19" s="58">
        <v>4151</v>
      </c>
      <c r="H19" s="59">
        <f t="shared" si="0"/>
        <v>4939.6899999999996</v>
      </c>
    </row>
    <row r="20" spans="1:8" x14ac:dyDescent="0.35">
      <c r="A20" s="52" t="s">
        <v>220</v>
      </c>
      <c r="B20" s="52" t="s">
        <v>248</v>
      </c>
      <c r="C20" s="52" t="s">
        <v>246</v>
      </c>
      <c r="D20" s="57">
        <v>1.8625000000000003E-2</v>
      </c>
      <c r="E20" s="68">
        <v>1</v>
      </c>
      <c r="F20" s="69" t="s">
        <v>402</v>
      </c>
      <c r="G20" s="58">
        <v>4152</v>
      </c>
      <c r="H20" s="59">
        <f t="shared" si="0"/>
        <v>4940.88</v>
      </c>
    </row>
    <row r="21" spans="1:8" x14ac:dyDescent="0.35">
      <c r="A21" s="52" t="s">
        <v>220</v>
      </c>
      <c r="B21" s="52" t="s">
        <v>249</v>
      </c>
      <c r="C21" s="52" t="s">
        <v>246</v>
      </c>
      <c r="D21" s="57">
        <v>0.11062499999999999</v>
      </c>
      <c r="E21" s="68">
        <v>1</v>
      </c>
      <c r="F21" s="69" t="s">
        <v>402</v>
      </c>
      <c r="G21" s="58">
        <v>3059</v>
      </c>
      <c r="H21" s="59">
        <f t="shared" si="0"/>
        <v>3640.21</v>
      </c>
    </row>
    <row r="22" spans="1:8" x14ac:dyDescent="0.35">
      <c r="A22" s="52" t="s">
        <v>220</v>
      </c>
      <c r="B22" s="52" t="s">
        <v>250</v>
      </c>
      <c r="C22" s="52" t="s">
        <v>246</v>
      </c>
      <c r="D22" s="57">
        <v>6.2500000000000003E-3</v>
      </c>
      <c r="E22" s="68">
        <v>1</v>
      </c>
      <c r="F22" s="69" t="s">
        <v>402</v>
      </c>
      <c r="G22" s="58">
        <v>5353</v>
      </c>
      <c r="H22" s="59">
        <f t="shared" si="0"/>
        <v>6370.07</v>
      </c>
    </row>
    <row r="23" spans="1:8" x14ac:dyDescent="0.35">
      <c r="A23" s="52" t="s">
        <v>220</v>
      </c>
      <c r="B23" s="52" t="s">
        <v>251</v>
      </c>
      <c r="C23" s="52" t="s">
        <v>246</v>
      </c>
      <c r="D23" s="57">
        <v>3.4250000000000003E-2</v>
      </c>
      <c r="E23" s="68">
        <v>255</v>
      </c>
      <c r="F23" s="69" t="s">
        <v>522</v>
      </c>
      <c r="G23" s="58">
        <v>2622</v>
      </c>
      <c r="H23" s="59">
        <f t="shared" si="0"/>
        <v>3120.18</v>
      </c>
    </row>
    <row r="24" spans="1:8" x14ac:dyDescent="0.35">
      <c r="A24" s="52" t="s">
        <v>220</v>
      </c>
      <c r="B24" s="52" t="s">
        <v>252</v>
      </c>
      <c r="C24" s="52" t="s">
        <v>246</v>
      </c>
      <c r="D24" s="57">
        <v>8.6250000000000007E-3</v>
      </c>
      <c r="E24" s="68">
        <v>150</v>
      </c>
      <c r="F24" s="69" t="s">
        <v>895</v>
      </c>
      <c r="G24" s="58">
        <v>6336</v>
      </c>
      <c r="H24" s="59">
        <f t="shared" si="0"/>
        <v>7539.8399999999992</v>
      </c>
    </row>
    <row r="25" spans="1:8" x14ac:dyDescent="0.35">
      <c r="A25" s="52" t="s">
        <v>220</v>
      </c>
      <c r="B25" s="52" t="s">
        <v>253</v>
      </c>
      <c r="C25" s="52" t="s">
        <v>246</v>
      </c>
      <c r="D25" s="57">
        <v>2.5000000000000001E-3</v>
      </c>
      <c r="E25" s="68">
        <v>1</v>
      </c>
      <c r="F25" s="69" t="s">
        <v>402</v>
      </c>
      <c r="G25" s="58">
        <v>4916</v>
      </c>
      <c r="H25" s="59">
        <f t="shared" si="0"/>
        <v>5850.04</v>
      </c>
    </row>
    <row r="26" spans="1:8" x14ac:dyDescent="0.35">
      <c r="A26" s="52" t="s">
        <v>220</v>
      </c>
      <c r="B26" s="52" t="s">
        <v>254</v>
      </c>
      <c r="C26" s="52" t="s">
        <v>246</v>
      </c>
      <c r="D26" s="57">
        <v>2.36875E-2</v>
      </c>
      <c r="E26" s="68">
        <v>1</v>
      </c>
      <c r="F26" s="69" t="s">
        <v>402</v>
      </c>
      <c r="G26" s="58">
        <v>4370</v>
      </c>
      <c r="H26" s="59">
        <f t="shared" si="0"/>
        <v>5200.3</v>
      </c>
    </row>
    <row r="27" spans="1:8" x14ac:dyDescent="0.35">
      <c r="A27" s="52" t="s">
        <v>220</v>
      </c>
      <c r="B27" s="52" t="s">
        <v>255</v>
      </c>
      <c r="C27" s="52" t="s">
        <v>246</v>
      </c>
      <c r="D27" s="57">
        <v>1.2E-2</v>
      </c>
      <c r="E27" s="68">
        <v>500</v>
      </c>
      <c r="F27" s="69" t="s">
        <v>522</v>
      </c>
      <c r="G27" s="58">
        <v>15294</v>
      </c>
      <c r="H27" s="59">
        <f t="shared" si="0"/>
        <v>18199.86</v>
      </c>
    </row>
    <row r="28" spans="1:8" x14ac:dyDescent="0.35">
      <c r="A28" s="52" t="s">
        <v>220</v>
      </c>
      <c r="B28" s="52" t="s">
        <v>256</v>
      </c>
      <c r="C28" s="52" t="s">
        <v>246</v>
      </c>
      <c r="D28" s="57">
        <v>2.6562500000000003E-2</v>
      </c>
      <c r="E28" s="68">
        <v>1</v>
      </c>
      <c r="F28" s="69" t="s">
        <v>402</v>
      </c>
      <c r="G28" s="58">
        <v>8740</v>
      </c>
      <c r="H28" s="59">
        <f t="shared" si="0"/>
        <v>10400.6</v>
      </c>
    </row>
    <row r="29" spans="1:8" x14ac:dyDescent="0.35">
      <c r="A29" s="52" t="s">
        <v>220</v>
      </c>
      <c r="B29" s="52" t="s">
        <v>257</v>
      </c>
      <c r="C29" s="52" t="s">
        <v>246</v>
      </c>
      <c r="D29" s="57">
        <v>5.2500000000000003E-3</v>
      </c>
      <c r="E29" s="68">
        <v>100</v>
      </c>
      <c r="F29" s="69" t="s">
        <v>522</v>
      </c>
      <c r="G29" s="58">
        <v>7100</v>
      </c>
      <c r="H29" s="59">
        <f t="shared" si="0"/>
        <v>8449</v>
      </c>
    </row>
    <row r="30" spans="1:8" x14ac:dyDescent="0.35">
      <c r="A30" s="52" t="s">
        <v>220</v>
      </c>
      <c r="B30" s="52" t="s">
        <v>258</v>
      </c>
      <c r="C30" s="52" t="s">
        <v>246</v>
      </c>
      <c r="D30" s="57">
        <v>3.00075</v>
      </c>
      <c r="E30" s="68">
        <v>280</v>
      </c>
      <c r="F30" s="69" t="s">
        <v>522</v>
      </c>
      <c r="G30" s="58">
        <v>13109</v>
      </c>
      <c r="H30" s="59">
        <f t="shared" si="0"/>
        <v>15599.71</v>
      </c>
    </row>
    <row r="31" spans="1:8" x14ac:dyDescent="0.35">
      <c r="A31" s="52" t="s">
        <v>220</v>
      </c>
      <c r="B31" s="52" t="s">
        <v>260</v>
      </c>
      <c r="C31" s="52" t="s">
        <v>242</v>
      </c>
      <c r="D31" s="57">
        <v>5.6249999999999998E-3</v>
      </c>
      <c r="E31" s="68">
        <v>750</v>
      </c>
      <c r="F31" s="69" t="s">
        <v>522</v>
      </c>
      <c r="G31" s="58">
        <v>63630</v>
      </c>
      <c r="H31" s="59">
        <f t="shared" si="0"/>
        <v>75719.7</v>
      </c>
    </row>
    <row r="32" spans="1:8" x14ac:dyDescent="0.35">
      <c r="A32" s="52" t="s">
        <v>220</v>
      </c>
      <c r="B32" s="52" t="s">
        <v>261</v>
      </c>
      <c r="C32" s="52" t="s">
        <v>229</v>
      </c>
      <c r="D32" s="57">
        <v>0.39200000000000002</v>
      </c>
      <c r="E32" s="68">
        <v>1</v>
      </c>
      <c r="F32" s="69" t="s">
        <v>402</v>
      </c>
      <c r="G32" s="58">
        <v>13760</v>
      </c>
      <c r="H32" s="59">
        <f t="shared" si="0"/>
        <v>16374.4</v>
      </c>
    </row>
    <row r="33" spans="1:11" x14ac:dyDescent="0.35">
      <c r="A33" s="52" t="s">
        <v>220</v>
      </c>
      <c r="B33" s="52" t="s">
        <v>262</v>
      </c>
      <c r="C33" s="52" t="s">
        <v>263</v>
      </c>
      <c r="D33" s="57">
        <v>1.55E-2</v>
      </c>
      <c r="E33" s="68">
        <v>500</v>
      </c>
      <c r="F33" s="69" t="s">
        <v>522</v>
      </c>
      <c r="G33" s="58">
        <v>4034</v>
      </c>
      <c r="H33" s="59">
        <f t="shared" si="0"/>
        <v>4800.46</v>
      </c>
      <c r="J33" s="50"/>
    </row>
    <row r="34" spans="1:11" x14ac:dyDescent="0.35">
      <c r="A34" s="52" t="s">
        <v>220</v>
      </c>
      <c r="B34" s="52" t="s">
        <v>264</v>
      </c>
      <c r="C34" s="52" t="s">
        <v>229</v>
      </c>
      <c r="D34" s="57">
        <v>0.10250000000000001</v>
      </c>
      <c r="E34" s="68">
        <v>1</v>
      </c>
      <c r="F34" s="69" t="s">
        <v>402</v>
      </c>
      <c r="G34" s="58">
        <v>5650</v>
      </c>
      <c r="H34" s="59">
        <f t="shared" si="0"/>
        <v>6723.5</v>
      </c>
    </row>
    <row r="35" spans="1:11" x14ac:dyDescent="0.35">
      <c r="A35" s="52" t="s">
        <v>220</v>
      </c>
      <c r="B35" s="52" t="s">
        <v>265</v>
      </c>
      <c r="C35" s="52" t="s">
        <v>223</v>
      </c>
      <c r="D35" s="57">
        <v>7.4999999999999997E-2</v>
      </c>
      <c r="E35" s="68">
        <v>1</v>
      </c>
      <c r="F35" s="69" t="s">
        <v>402</v>
      </c>
      <c r="G35" s="58">
        <v>4798</v>
      </c>
      <c r="H35" s="59">
        <f t="shared" si="0"/>
        <v>5709.62</v>
      </c>
      <c r="J35" s="50"/>
    </row>
    <row r="36" spans="1:11" x14ac:dyDescent="0.35">
      <c r="A36" s="52" t="s">
        <v>220</v>
      </c>
      <c r="B36" s="52" t="s">
        <v>266</v>
      </c>
      <c r="C36" s="52" t="s">
        <v>229</v>
      </c>
      <c r="D36" s="57">
        <v>0.2</v>
      </c>
      <c r="E36" s="68">
        <v>1</v>
      </c>
      <c r="F36" s="69" t="s">
        <v>402</v>
      </c>
      <c r="G36" s="58">
        <v>2355</v>
      </c>
      <c r="H36" s="59">
        <f t="shared" si="0"/>
        <v>2802.45</v>
      </c>
    </row>
    <row r="37" spans="1:11" x14ac:dyDescent="0.35">
      <c r="A37" s="52" t="s">
        <v>220</v>
      </c>
      <c r="B37" s="52" t="s">
        <v>267</v>
      </c>
      <c r="C37" s="52" t="s">
        <v>229</v>
      </c>
      <c r="D37" s="57">
        <v>0.5</v>
      </c>
      <c r="E37" s="68">
        <v>1</v>
      </c>
      <c r="F37" s="69" t="s">
        <v>402</v>
      </c>
      <c r="G37" s="58">
        <v>1795</v>
      </c>
      <c r="H37" s="59">
        <f t="shared" si="0"/>
        <v>2136.0499999999997</v>
      </c>
    </row>
    <row r="38" spans="1:11" x14ac:dyDescent="0.35">
      <c r="A38" s="52" t="s">
        <v>220</v>
      </c>
      <c r="B38" s="52" t="s">
        <v>268</v>
      </c>
      <c r="C38" s="52" t="s">
        <v>229</v>
      </c>
      <c r="D38" s="57">
        <v>0.32</v>
      </c>
      <c r="E38" s="68">
        <v>1</v>
      </c>
      <c r="F38" s="69" t="s">
        <v>402</v>
      </c>
      <c r="G38" s="58">
        <v>3492</v>
      </c>
      <c r="H38" s="59">
        <f t="shared" si="0"/>
        <v>4155.4799999999996</v>
      </c>
    </row>
    <row r="39" spans="1:11" x14ac:dyDescent="0.35">
      <c r="A39" s="52" t="s">
        <v>220</v>
      </c>
      <c r="B39" s="52" t="s">
        <v>269</v>
      </c>
      <c r="C39" s="52" t="s">
        <v>229</v>
      </c>
      <c r="D39" s="57">
        <v>0.22500000000000001</v>
      </c>
      <c r="E39" s="68">
        <v>1</v>
      </c>
      <c r="F39" s="69" t="s">
        <v>402</v>
      </c>
      <c r="G39" s="58">
        <v>1765</v>
      </c>
      <c r="H39" s="59">
        <f t="shared" si="0"/>
        <v>2100.35</v>
      </c>
    </row>
    <row r="40" spans="1:11" x14ac:dyDescent="0.35">
      <c r="A40" s="52" t="s">
        <v>220</v>
      </c>
      <c r="B40" s="52" t="s">
        <v>270</v>
      </c>
      <c r="C40" s="52" t="s">
        <v>229</v>
      </c>
      <c r="D40" s="57">
        <v>0.06</v>
      </c>
      <c r="E40" s="68">
        <v>1</v>
      </c>
      <c r="F40" s="69" t="s">
        <v>402</v>
      </c>
      <c r="G40" s="58">
        <v>1906</v>
      </c>
      <c r="H40" s="59">
        <f t="shared" si="0"/>
        <v>2268.14</v>
      </c>
    </row>
    <row r="41" spans="1:11" x14ac:dyDescent="0.35">
      <c r="A41" s="52" t="s">
        <v>220</v>
      </c>
      <c r="B41" s="52" t="s">
        <v>271</v>
      </c>
      <c r="C41" s="52" t="s">
        <v>272</v>
      </c>
      <c r="D41" s="57">
        <v>0.1</v>
      </c>
      <c r="E41" s="68">
        <v>1</v>
      </c>
      <c r="F41" s="69" t="s">
        <v>402</v>
      </c>
      <c r="G41" s="58">
        <v>3773</v>
      </c>
      <c r="H41" s="59">
        <f t="shared" si="0"/>
        <v>4489.87</v>
      </c>
      <c r="J41" s="50"/>
    </row>
    <row r="42" spans="1:11" x14ac:dyDescent="0.35">
      <c r="A42" s="52" t="s">
        <v>220</v>
      </c>
      <c r="B42" s="52" t="s">
        <v>273</v>
      </c>
      <c r="C42" s="52" t="s">
        <v>246</v>
      </c>
      <c r="D42" s="57">
        <v>0.12</v>
      </c>
      <c r="E42" s="68">
        <v>1</v>
      </c>
      <c r="F42" s="69" t="s">
        <v>402</v>
      </c>
      <c r="G42" s="58">
        <v>16387</v>
      </c>
      <c r="H42" s="59">
        <f t="shared" si="0"/>
        <v>19500.53</v>
      </c>
    </row>
    <row r="43" spans="1:11" x14ac:dyDescent="0.35">
      <c r="A43" s="52" t="s">
        <v>220</v>
      </c>
      <c r="B43" s="52" t="s">
        <v>274</v>
      </c>
      <c r="C43" s="52" t="s">
        <v>232</v>
      </c>
      <c r="D43" s="57">
        <v>3.875E-2</v>
      </c>
      <c r="E43" s="68">
        <v>400</v>
      </c>
      <c r="F43" s="69" t="s">
        <v>522</v>
      </c>
      <c r="G43" s="58">
        <v>2597</v>
      </c>
      <c r="H43" s="59">
        <f t="shared" si="0"/>
        <v>3090.43</v>
      </c>
      <c r="J43" s="50"/>
    </row>
    <row r="44" spans="1:11" x14ac:dyDescent="0.35">
      <c r="A44" s="52" t="s">
        <v>220</v>
      </c>
      <c r="B44" s="52" t="s">
        <v>275</v>
      </c>
      <c r="C44" s="52" t="s">
        <v>232</v>
      </c>
      <c r="D44" s="57">
        <v>0.05</v>
      </c>
      <c r="E44" s="68">
        <v>700</v>
      </c>
      <c r="F44" s="69" t="s">
        <v>522</v>
      </c>
      <c r="G44" s="58">
        <v>1420</v>
      </c>
      <c r="H44" s="59">
        <f t="shared" si="0"/>
        <v>1689.8</v>
      </c>
      <c r="J44" s="50"/>
    </row>
    <row r="45" spans="1:11" x14ac:dyDescent="0.35">
      <c r="A45" s="52" t="s">
        <v>220</v>
      </c>
      <c r="B45" s="52" t="s">
        <v>276</v>
      </c>
      <c r="C45" s="52" t="s">
        <v>232</v>
      </c>
      <c r="D45" s="57">
        <v>0.125</v>
      </c>
      <c r="E45" s="68">
        <v>0.5</v>
      </c>
      <c r="F45" s="69" t="s">
        <v>522</v>
      </c>
      <c r="G45" s="58">
        <v>4286</v>
      </c>
      <c r="H45" s="59">
        <f t="shared" si="0"/>
        <v>5100.34</v>
      </c>
      <c r="J45" s="50"/>
    </row>
    <row r="46" spans="1:11" x14ac:dyDescent="0.35">
      <c r="A46" s="52" t="s">
        <v>220</v>
      </c>
      <c r="B46" s="52" t="s">
        <v>277</v>
      </c>
      <c r="C46" s="52" t="s">
        <v>229</v>
      </c>
      <c r="D46" s="57">
        <v>12.135374999999998</v>
      </c>
      <c r="E46" s="68">
        <v>1</v>
      </c>
      <c r="F46" s="69" t="s">
        <v>402</v>
      </c>
      <c r="G46" s="58">
        <v>974</v>
      </c>
      <c r="H46" s="59">
        <f t="shared" si="0"/>
        <v>1159.06</v>
      </c>
    </row>
    <row r="47" spans="1:11" x14ac:dyDescent="0.35">
      <c r="A47" s="52" t="s">
        <v>220</v>
      </c>
      <c r="B47" s="52" t="s">
        <v>278</v>
      </c>
      <c r="C47" s="52" t="s">
        <v>229</v>
      </c>
      <c r="D47" s="57">
        <v>3.1190999999999991</v>
      </c>
      <c r="E47" s="68">
        <v>1</v>
      </c>
      <c r="F47" s="69" t="s">
        <v>402</v>
      </c>
      <c r="G47" s="58">
        <v>1517</v>
      </c>
      <c r="H47" s="59">
        <f t="shared" si="0"/>
        <v>1805.23</v>
      </c>
    </row>
    <row r="48" spans="1:11" x14ac:dyDescent="0.35">
      <c r="A48" s="52" t="s">
        <v>220</v>
      </c>
      <c r="B48" s="52" t="s">
        <v>279</v>
      </c>
      <c r="C48" s="52" t="s">
        <v>280</v>
      </c>
      <c r="D48" s="57">
        <v>3</v>
      </c>
      <c r="E48" s="68">
        <v>60</v>
      </c>
      <c r="F48" s="69" t="s">
        <v>259</v>
      </c>
      <c r="G48" s="58">
        <v>5574</v>
      </c>
      <c r="H48" s="59">
        <f t="shared" si="0"/>
        <v>6633.0599999999995</v>
      </c>
      <c r="K48" s="50"/>
    </row>
    <row r="49" spans="1:10" x14ac:dyDescent="0.35">
      <c r="A49" s="52" t="s">
        <v>220</v>
      </c>
      <c r="B49" s="52" t="s">
        <v>281</v>
      </c>
      <c r="C49" s="52" t="s">
        <v>242</v>
      </c>
      <c r="D49" s="57">
        <v>0.114875</v>
      </c>
      <c r="E49" s="68">
        <v>7</v>
      </c>
      <c r="F49" s="69" t="s">
        <v>402</v>
      </c>
      <c r="G49" s="58">
        <v>37080</v>
      </c>
      <c r="H49" s="59">
        <f t="shared" si="0"/>
        <v>44125.2</v>
      </c>
    </row>
    <row r="50" spans="1:10" x14ac:dyDescent="0.35">
      <c r="A50" s="52" t="s">
        <v>220</v>
      </c>
      <c r="B50" s="52" t="s">
        <v>282</v>
      </c>
      <c r="C50" s="52" t="s">
        <v>272</v>
      </c>
      <c r="D50" s="57">
        <v>0.01</v>
      </c>
      <c r="E50" s="68">
        <v>1</v>
      </c>
      <c r="F50" s="69" t="s">
        <v>402</v>
      </c>
      <c r="G50" s="58">
        <v>3773</v>
      </c>
      <c r="H50" s="59">
        <f t="shared" si="0"/>
        <v>4489.87</v>
      </c>
      <c r="J50" s="50"/>
    </row>
    <row r="51" spans="1:10" x14ac:dyDescent="0.35">
      <c r="A51" s="52" t="s">
        <v>220</v>
      </c>
      <c r="B51" s="52" t="s">
        <v>283</v>
      </c>
      <c r="C51" s="52" t="s">
        <v>229</v>
      </c>
      <c r="D51" s="57">
        <v>0.18275</v>
      </c>
      <c r="E51" s="68">
        <v>500</v>
      </c>
      <c r="F51" s="69" t="s">
        <v>522</v>
      </c>
      <c r="G51" s="58">
        <v>1133</v>
      </c>
      <c r="H51" s="59">
        <f t="shared" si="0"/>
        <v>1348.27</v>
      </c>
    </row>
    <row r="52" spans="1:10" x14ac:dyDescent="0.35">
      <c r="A52" s="52" t="s">
        <v>220</v>
      </c>
      <c r="B52" s="52" t="s">
        <v>284</v>
      </c>
      <c r="C52" s="52" t="s">
        <v>229</v>
      </c>
      <c r="D52" s="57">
        <v>6.6625000000000004E-2</v>
      </c>
      <c r="E52" s="68">
        <v>1</v>
      </c>
      <c r="F52" s="69" t="s">
        <v>402</v>
      </c>
      <c r="G52" s="58">
        <v>1845</v>
      </c>
      <c r="H52" s="59">
        <f t="shared" si="0"/>
        <v>2195.5499999999997</v>
      </c>
    </row>
    <row r="53" spans="1:10" x14ac:dyDescent="0.35">
      <c r="A53" s="52" t="s">
        <v>220</v>
      </c>
      <c r="B53" s="52" t="s">
        <v>285</v>
      </c>
      <c r="C53" s="52" t="s">
        <v>242</v>
      </c>
      <c r="D53" s="57">
        <v>0.13500000000000001</v>
      </c>
      <c r="E53" s="68">
        <v>5</v>
      </c>
      <c r="F53" s="69" t="s">
        <v>402</v>
      </c>
      <c r="G53" s="58">
        <v>61625</v>
      </c>
      <c r="H53" s="59">
        <f t="shared" si="0"/>
        <v>73333.75</v>
      </c>
    </row>
    <row r="54" spans="1:10" x14ac:dyDescent="0.35">
      <c r="A54" s="52" t="s">
        <v>220</v>
      </c>
      <c r="B54" s="52" t="s">
        <v>286</v>
      </c>
      <c r="C54" s="52" t="s">
        <v>229</v>
      </c>
      <c r="D54" s="57">
        <v>3</v>
      </c>
      <c r="E54" s="68">
        <v>180</v>
      </c>
      <c r="F54" s="69" t="s">
        <v>259</v>
      </c>
      <c r="G54" s="58">
        <v>22706</v>
      </c>
      <c r="H54" s="59">
        <f t="shared" si="0"/>
        <v>27020.14</v>
      </c>
    </row>
    <row r="55" spans="1:10" x14ac:dyDescent="0.35">
      <c r="A55" s="52" t="s">
        <v>220</v>
      </c>
      <c r="B55" s="52" t="s">
        <v>287</v>
      </c>
      <c r="C55" s="52" t="s">
        <v>229</v>
      </c>
      <c r="D55" s="57">
        <v>0.02</v>
      </c>
      <c r="E55" s="68">
        <v>1</v>
      </c>
      <c r="F55" s="69" t="s">
        <v>402</v>
      </c>
      <c r="G55" s="58">
        <v>24239</v>
      </c>
      <c r="H55" s="59">
        <f t="shared" si="0"/>
        <v>28844.41</v>
      </c>
    </row>
    <row r="56" spans="1:10" x14ac:dyDescent="0.35">
      <c r="A56" s="52" t="s">
        <v>220</v>
      </c>
      <c r="B56" s="52" t="s">
        <v>288</v>
      </c>
      <c r="C56" s="52" t="s">
        <v>229</v>
      </c>
      <c r="D56" s="57">
        <v>0.13175000000000001</v>
      </c>
      <c r="E56" s="68">
        <v>500</v>
      </c>
      <c r="F56" s="69" t="s">
        <v>522</v>
      </c>
      <c r="G56" s="58">
        <v>12462</v>
      </c>
      <c r="H56" s="59">
        <f t="shared" si="0"/>
        <v>14829.779999999999</v>
      </c>
    </row>
    <row r="57" spans="1:10" x14ac:dyDescent="0.35">
      <c r="A57" s="52" t="s">
        <v>220</v>
      </c>
      <c r="B57" s="52" t="s">
        <v>289</v>
      </c>
      <c r="C57" s="52" t="s">
        <v>242</v>
      </c>
      <c r="D57" s="57">
        <v>7.5000000000000002E-4</v>
      </c>
      <c r="E57" s="68">
        <v>750</v>
      </c>
      <c r="F57" s="69" t="s">
        <v>522</v>
      </c>
      <c r="G57" s="58">
        <v>18270</v>
      </c>
      <c r="H57" s="59">
        <f t="shared" si="0"/>
        <v>21741.3</v>
      </c>
    </row>
    <row r="58" spans="1:10" x14ac:dyDescent="0.35">
      <c r="A58" s="52" t="s">
        <v>220</v>
      </c>
      <c r="B58" s="52" t="s">
        <v>290</v>
      </c>
      <c r="C58" s="52" t="s">
        <v>229</v>
      </c>
      <c r="D58" s="57">
        <v>5.0000000000000001E-3</v>
      </c>
      <c r="E58" s="68">
        <v>1</v>
      </c>
      <c r="F58" s="69" t="s">
        <v>402</v>
      </c>
      <c r="G58" s="58">
        <v>2339</v>
      </c>
      <c r="H58" s="59">
        <f t="shared" si="0"/>
        <v>2783.41</v>
      </c>
    </row>
    <row r="59" spans="1:10" x14ac:dyDescent="0.35">
      <c r="A59" s="52" t="s">
        <v>220</v>
      </c>
      <c r="B59" s="52" t="s">
        <v>291</v>
      </c>
      <c r="C59" s="52" t="s">
        <v>246</v>
      </c>
      <c r="D59" s="57">
        <v>3.7499999999999999E-3</v>
      </c>
      <c r="E59" s="68">
        <v>1</v>
      </c>
      <c r="F59" s="69" t="s">
        <v>402</v>
      </c>
      <c r="G59" s="58">
        <v>19664</v>
      </c>
      <c r="H59" s="59">
        <f t="shared" si="0"/>
        <v>23400.16</v>
      </c>
    </row>
    <row r="60" spans="1:10" x14ac:dyDescent="0.35">
      <c r="A60" s="52" t="s">
        <v>220</v>
      </c>
      <c r="B60" s="52" t="s">
        <v>292</v>
      </c>
      <c r="C60" s="52" t="s">
        <v>229</v>
      </c>
      <c r="D60" s="57">
        <v>2.5750000000000002E-2</v>
      </c>
      <c r="E60" s="68">
        <v>250</v>
      </c>
      <c r="F60" s="69" t="s">
        <v>522</v>
      </c>
      <c r="G60" s="58">
        <v>4039</v>
      </c>
      <c r="H60" s="59">
        <f t="shared" si="0"/>
        <v>4806.41</v>
      </c>
    </row>
    <row r="61" spans="1:10" x14ac:dyDescent="0.35">
      <c r="A61" s="52" t="s">
        <v>220</v>
      </c>
      <c r="B61" s="52" t="s">
        <v>293</v>
      </c>
      <c r="C61" s="52" t="s">
        <v>229</v>
      </c>
      <c r="D61" s="57">
        <v>5.3687499999999999E-2</v>
      </c>
      <c r="E61" s="68">
        <v>250</v>
      </c>
      <c r="F61" s="69" t="s">
        <v>522</v>
      </c>
      <c r="G61" s="58">
        <v>8901</v>
      </c>
      <c r="H61" s="59">
        <f t="shared" si="0"/>
        <v>10592.189999999999</v>
      </c>
    </row>
    <row r="62" spans="1:10" x14ac:dyDescent="0.35">
      <c r="A62" s="52" t="s">
        <v>220</v>
      </c>
      <c r="B62" s="52" t="s">
        <v>294</v>
      </c>
      <c r="C62" s="52" t="s">
        <v>246</v>
      </c>
      <c r="D62" s="57">
        <v>1.05125</v>
      </c>
      <c r="E62" s="68">
        <v>2.5</v>
      </c>
      <c r="F62" s="69" t="s">
        <v>522</v>
      </c>
      <c r="G62" s="58">
        <v>4250</v>
      </c>
      <c r="H62" s="59">
        <f t="shared" si="0"/>
        <v>5057.5</v>
      </c>
    </row>
    <row r="63" spans="1:10" x14ac:dyDescent="0.35">
      <c r="A63" s="52" t="s">
        <v>220</v>
      </c>
      <c r="B63" s="52" t="s">
        <v>295</v>
      </c>
      <c r="C63" s="52" t="s">
        <v>223</v>
      </c>
      <c r="D63" s="57">
        <v>3.7500000000000001E-4</v>
      </c>
      <c r="E63" s="68">
        <v>15</v>
      </c>
      <c r="F63" s="69" t="s">
        <v>522</v>
      </c>
      <c r="G63" s="58">
        <v>445</v>
      </c>
      <c r="H63" s="59">
        <f t="shared" si="0"/>
        <v>529.54999999999995</v>
      </c>
      <c r="J63" s="50"/>
    </row>
    <row r="64" spans="1:10" x14ac:dyDescent="0.35">
      <c r="A64" s="52" t="s">
        <v>220</v>
      </c>
      <c r="B64" s="52" t="s">
        <v>296</v>
      </c>
      <c r="C64" s="52" t="s">
        <v>246</v>
      </c>
      <c r="D64" s="57">
        <v>0.06</v>
      </c>
      <c r="E64" s="68">
        <v>15</v>
      </c>
      <c r="F64" s="69" t="s">
        <v>402</v>
      </c>
      <c r="G64" s="58">
        <v>5243</v>
      </c>
      <c r="H64" s="59">
        <f t="shared" si="0"/>
        <v>6239.17</v>
      </c>
    </row>
    <row r="65" spans="1:10" x14ac:dyDescent="0.35">
      <c r="A65" s="52" t="s">
        <v>220</v>
      </c>
      <c r="B65" s="52" t="s">
        <v>297</v>
      </c>
      <c r="C65" s="52" t="s">
        <v>223</v>
      </c>
      <c r="D65" s="57">
        <v>2.8000000000000001E-2</v>
      </c>
      <c r="E65" s="68">
        <v>200</v>
      </c>
      <c r="F65" s="69" t="s">
        <v>522</v>
      </c>
      <c r="G65" s="58">
        <v>1588</v>
      </c>
      <c r="H65" s="59">
        <f t="shared" si="0"/>
        <v>1889.72</v>
      </c>
      <c r="J65" s="50"/>
    </row>
    <row r="66" spans="1:10" x14ac:dyDescent="0.35">
      <c r="A66" s="52" t="s">
        <v>220</v>
      </c>
      <c r="B66" s="52" t="s">
        <v>298</v>
      </c>
      <c r="C66" s="52" t="s">
        <v>229</v>
      </c>
      <c r="D66" s="57">
        <v>0.05</v>
      </c>
      <c r="E66" s="68">
        <v>480</v>
      </c>
      <c r="F66" s="69" t="s">
        <v>522</v>
      </c>
      <c r="G66" s="58">
        <v>3962</v>
      </c>
      <c r="H66" s="59">
        <f t="shared" si="0"/>
        <v>4714.78</v>
      </c>
    </row>
    <row r="67" spans="1:10" x14ac:dyDescent="0.35">
      <c r="A67" s="52" t="s">
        <v>220</v>
      </c>
      <c r="B67" s="52" t="s">
        <v>299</v>
      </c>
      <c r="C67" s="52" t="s">
        <v>246</v>
      </c>
      <c r="D67" s="57">
        <v>1.4999999999999999E-2</v>
      </c>
      <c r="E67" s="68">
        <v>1</v>
      </c>
      <c r="F67" s="69" t="s">
        <v>402</v>
      </c>
      <c r="G67" s="58">
        <v>7636</v>
      </c>
      <c r="H67" s="59">
        <f t="shared" ref="H67:H130" si="1">G67*1.19</f>
        <v>9086.84</v>
      </c>
    </row>
    <row r="68" spans="1:10" x14ac:dyDescent="0.35">
      <c r="A68" s="52" t="s">
        <v>220</v>
      </c>
      <c r="B68" s="52" t="s">
        <v>300</v>
      </c>
      <c r="C68" s="52" t="s">
        <v>229</v>
      </c>
      <c r="D68" s="57">
        <v>0.18562499999999998</v>
      </c>
      <c r="E68" s="68">
        <v>450</v>
      </c>
      <c r="F68" s="69" t="s">
        <v>522</v>
      </c>
      <c r="G68" s="58">
        <v>1667</v>
      </c>
      <c r="H68" s="59">
        <f t="shared" si="1"/>
        <v>1983.73</v>
      </c>
    </row>
    <row r="69" spans="1:10" x14ac:dyDescent="0.35">
      <c r="A69" s="52" t="s">
        <v>220</v>
      </c>
      <c r="B69" s="52" t="s">
        <v>301</v>
      </c>
      <c r="C69" s="52" t="s">
        <v>246</v>
      </c>
      <c r="D69" s="57">
        <v>2.8125000000000001E-2</v>
      </c>
      <c r="E69" s="68">
        <v>1</v>
      </c>
      <c r="F69" s="69" t="s">
        <v>402</v>
      </c>
      <c r="G69" s="58">
        <v>4369</v>
      </c>
      <c r="H69" s="59">
        <f t="shared" si="1"/>
        <v>5199.1099999999997</v>
      </c>
    </row>
    <row r="70" spans="1:10" x14ac:dyDescent="0.35">
      <c r="A70" s="52" t="s">
        <v>220</v>
      </c>
      <c r="B70" s="52" t="s">
        <v>302</v>
      </c>
      <c r="C70" s="52" t="s">
        <v>229</v>
      </c>
      <c r="D70" s="57">
        <v>1.8125000000000002E-2</v>
      </c>
      <c r="E70" s="68">
        <v>4</v>
      </c>
      <c r="F70" s="69" t="s">
        <v>522</v>
      </c>
      <c r="G70" s="58">
        <v>440</v>
      </c>
      <c r="H70" s="59">
        <f t="shared" si="1"/>
        <v>523.6</v>
      </c>
    </row>
    <row r="71" spans="1:10" x14ac:dyDescent="0.35">
      <c r="A71" s="52" t="s">
        <v>220</v>
      </c>
      <c r="B71" s="52" t="s">
        <v>303</v>
      </c>
      <c r="C71" s="52" t="s">
        <v>229</v>
      </c>
      <c r="D71" s="57">
        <v>3.0625000000000001E-3</v>
      </c>
      <c r="E71" s="68">
        <v>250</v>
      </c>
      <c r="F71" s="69" t="s">
        <v>522</v>
      </c>
      <c r="G71" s="58">
        <v>3550</v>
      </c>
      <c r="H71" s="59">
        <f t="shared" si="1"/>
        <v>4224.5</v>
      </c>
    </row>
    <row r="72" spans="1:10" x14ac:dyDescent="0.35">
      <c r="A72" s="52" t="s">
        <v>220</v>
      </c>
      <c r="B72" s="52" t="s">
        <v>304</v>
      </c>
      <c r="C72" s="52" t="s">
        <v>305</v>
      </c>
      <c r="D72" s="57">
        <v>2.5000000000000001E-3</v>
      </c>
      <c r="E72" s="68">
        <v>750</v>
      </c>
      <c r="F72" s="69" t="s">
        <v>522</v>
      </c>
      <c r="G72" s="58">
        <v>18270</v>
      </c>
      <c r="H72" s="59">
        <f t="shared" si="1"/>
        <v>21741.3</v>
      </c>
    </row>
    <row r="73" spans="1:10" x14ac:dyDescent="0.35">
      <c r="A73" s="52" t="s">
        <v>220</v>
      </c>
      <c r="B73" s="52" t="s">
        <v>306</v>
      </c>
      <c r="C73" s="52" t="s">
        <v>229</v>
      </c>
      <c r="D73" s="57">
        <v>0.09</v>
      </c>
      <c r="E73" s="68">
        <v>250</v>
      </c>
      <c r="F73" s="69" t="s">
        <v>522</v>
      </c>
      <c r="G73" s="58">
        <v>2240</v>
      </c>
      <c r="H73" s="59">
        <f t="shared" si="1"/>
        <v>2665.6</v>
      </c>
    </row>
    <row r="74" spans="1:10" x14ac:dyDescent="0.35">
      <c r="A74" s="52" t="s">
        <v>220</v>
      </c>
      <c r="B74" s="52" t="s">
        <v>307</v>
      </c>
      <c r="C74" s="52" t="s">
        <v>229</v>
      </c>
      <c r="D74" s="57">
        <v>28.074999999999999</v>
      </c>
      <c r="E74" s="68">
        <v>1</v>
      </c>
      <c r="F74" s="69" t="s">
        <v>402</v>
      </c>
      <c r="G74" s="58">
        <v>46153</v>
      </c>
      <c r="H74" s="59">
        <f t="shared" si="1"/>
        <v>54922.07</v>
      </c>
    </row>
    <row r="75" spans="1:10" x14ac:dyDescent="0.35">
      <c r="A75" s="52" t="s">
        <v>220</v>
      </c>
      <c r="B75" s="52" t="s">
        <v>308</v>
      </c>
      <c r="C75" s="52" t="s">
        <v>242</v>
      </c>
      <c r="D75" s="57">
        <v>0.2</v>
      </c>
      <c r="E75" s="68">
        <v>25</v>
      </c>
      <c r="F75" s="69" t="s">
        <v>522</v>
      </c>
      <c r="G75" s="58">
        <v>2500</v>
      </c>
      <c r="H75" s="59">
        <f t="shared" si="1"/>
        <v>2975</v>
      </c>
    </row>
    <row r="76" spans="1:10" x14ac:dyDescent="0.35">
      <c r="A76" s="52" t="s">
        <v>220</v>
      </c>
      <c r="B76" s="52" t="s">
        <v>309</v>
      </c>
      <c r="C76" s="52" t="s">
        <v>229</v>
      </c>
      <c r="D76" s="57">
        <v>2.7625000000000004E-2</v>
      </c>
      <c r="E76" s="68">
        <v>250</v>
      </c>
      <c r="F76" s="69" t="s">
        <v>522</v>
      </c>
      <c r="G76" s="58">
        <v>4447</v>
      </c>
      <c r="H76" s="59">
        <f t="shared" si="1"/>
        <v>5291.9299999999994</v>
      </c>
    </row>
    <row r="77" spans="1:10" x14ac:dyDescent="0.35">
      <c r="A77" s="52" t="s">
        <v>220</v>
      </c>
      <c r="B77" s="52" t="s">
        <v>310</v>
      </c>
      <c r="C77" s="52" t="s">
        <v>229</v>
      </c>
      <c r="D77" s="57">
        <v>0.15862500000000002</v>
      </c>
      <c r="E77" s="68">
        <v>3</v>
      </c>
      <c r="F77" s="69" t="s">
        <v>402</v>
      </c>
      <c r="G77" s="58">
        <v>7858</v>
      </c>
      <c r="H77" s="59">
        <f t="shared" si="1"/>
        <v>9351.02</v>
      </c>
    </row>
    <row r="78" spans="1:10" x14ac:dyDescent="0.35">
      <c r="A78" s="52" t="s">
        <v>220</v>
      </c>
      <c r="B78" s="52" t="s">
        <v>311</v>
      </c>
      <c r="C78" s="52" t="s">
        <v>229</v>
      </c>
      <c r="D78" s="57">
        <v>3.7499999999999999E-3</v>
      </c>
      <c r="E78" s="68">
        <v>1</v>
      </c>
      <c r="F78" s="69" t="s">
        <v>402</v>
      </c>
      <c r="G78" s="58">
        <v>2936</v>
      </c>
      <c r="H78" s="59">
        <f t="shared" si="1"/>
        <v>3493.8399999999997</v>
      </c>
    </row>
    <row r="79" spans="1:10" x14ac:dyDescent="0.35">
      <c r="A79" s="52" t="s">
        <v>220</v>
      </c>
      <c r="B79" s="52" t="s">
        <v>312</v>
      </c>
      <c r="C79" s="52" t="s">
        <v>223</v>
      </c>
      <c r="D79" s="57">
        <v>0.14679999999999999</v>
      </c>
      <c r="E79" s="68">
        <v>400</v>
      </c>
      <c r="F79" s="69" t="s">
        <v>895</v>
      </c>
      <c r="G79" s="58">
        <v>1840</v>
      </c>
      <c r="H79" s="59">
        <f t="shared" si="1"/>
        <v>2189.6</v>
      </c>
      <c r="J79" s="50"/>
    </row>
    <row r="80" spans="1:10" x14ac:dyDescent="0.35">
      <c r="A80" s="52" t="s">
        <v>220</v>
      </c>
      <c r="B80" s="52" t="s">
        <v>313</v>
      </c>
      <c r="C80" s="52" t="s">
        <v>229</v>
      </c>
      <c r="D80" s="57">
        <v>0.44574999999999998</v>
      </c>
      <c r="E80" s="68">
        <v>1</v>
      </c>
      <c r="F80" s="69" t="s">
        <v>314</v>
      </c>
      <c r="G80" s="58">
        <v>3754</v>
      </c>
      <c r="H80" s="59">
        <f t="shared" si="1"/>
        <v>4467.26</v>
      </c>
    </row>
    <row r="81" spans="1:11" x14ac:dyDescent="0.35">
      <c r="A81" s="52" t="s">
        <v>220</v>
      </c>
      <c r="B81" s="52" t="s">
        <v>315</v>
      </c>
      <c r="C81" s="52" t="s">
        <v>229</v>
      </c>
      <c r="D81" s="57">
        <v>0.11890000000000001</v>
      </c>
      <c r="E81" s="68">
        <v>1</v>
      </c>
      <c r="F81" s="69" t="s">
        <v>402</v>
      </c>
      <c r="G81" s="58">
        <v>3810</v>
      </c>
      <c r="H81" s="59">
        <f t="shared" si="1"/>
        <v>4533.8999999999996</v>
      </c>
    </row>
    <row r="82" spans="1:11" x14ac:dyDescent="0.35">
      <c r="A82" s="52" t="s">
        <v>220</v>
      </c>
      <c r="B82" s="52" t="s">
        <v>316</v>
      </c>
      <c r="C82" s="52" t="s">
        <v>317</v>
      </c>
      <c r="D82" s="57">
        <v>5.0000000000000001E-4</v>
      </c>
      <c r="E82" s="68">
        <v>100</v>
      </c>
      <c r="F82" s="69" t="s">
        <v>522</v>
      </c>
      <c r="G82" s="58">
        <v>2513</v>
      </c>
      <c r="H82" s="59">
        <f t="shared" si="1"/>
        <v>2990.47</v>
      </c>
      <c r="K82" s="50"/>
    </row>
    <row r="83" spans="1:11" x14ac:dyDescent="0.35">
      <c r="A83" s="52" t="s">
        <v>220</v>
      </c>
      <c r="B83" s="52" t="s">
        <v>318</v>
      </c>
      <c r="C83" s="52" t="s">
        <v>319</v>
      </c>
      <c r="D83" s="57">
        <v>16</v>
      </c>
      <c r="E83" s="68">
        <v>100</v>
      </c>
      <c r="F83" s="69" t="s">
        <v>259</v>
      </c>
      <c r="G83" s="58">
        <v>6990</v>
      </c>
      <c r="H83" s="59">
        <f t="shared" si="1"/>
        <v>8318.1</v>
      </c>
    </row>
    <row r="84" spans="1:11" x14ac:dyDescent="0.35">
      <c r="A84" s="52" t="s">
        <v>220</v>
      </c>
      <c r="B84" s="52" t="s">
        <v>320</v>
      </c>
      <c r="C84" s="52" t="s">
        <v>229</v>
      </c>
      <c r="D84" s="57">
        <v>2.4999999999999996E-3</v>
      </c>
      <c r="E84" s="68">
        <v>1</v>
      </c>
      <c r="F84" s="69" t="s">
        <v>402</v>
      </c>
      <c r="G84" s="58">
        <v>7212</v>
      </c>
      <c r="H84" s="59">
        <f t="shared" si="1"/>
        <v>8582.2799999999988</v>
      </c>
    </row>
    <row r="85" spans="1:11" x14ac:dyDescent="0.35">
      <c r="A85" s="52" t="s">
        <v>220</v>
      </c>
      <c r="B85" s="52" t="s">
        <v>321</v>
      </c>
      <c r="C85" s="52" t="s">
        <v>229</v>
      </c>
      <c r="D85" s="57">
        <v>2.5000000000000001E-3</v>
      </c>
      <c r="E85" s="68">
        <v>250</v>
      </c>
      <c r="F85" s="69" t="s">
        <v>522</v>
      </c>
      <c r="G85" s="58">
        <v>1767</v>
      </c>
      <c r="H85" s="59">
        <f t="shared" si="1"/>
        <v>2102.73</v>
      </c>
    </row>
    <row r="86" spans="1:11" x14ac:dyDescent="0.35">
      <c r="A86" s="52" t="s">
        <v>220</v>
      </c>
      <c r="B86" s="52" t="s">
        <v>322</v>
      </c>
      <c r="C86" s="52" t="s">
        <v>242</v>
      </c>
      <c r="D86" s="57">
        <v>0.25787500000000002</v>
      </c>
      <c r="E86" s="68">
        <v>650</v>
      </c>
      <c r="F86" s="69" t="s">
        <v>522</v>
      </c>
      <c r="G86" s="58">
        <v>7020</v>
      </c>
      <c r="H86" s="59">
        <f t="shared" si="1"/>
        <v>8353.7999999999993</v>
      </c>
    </row>
    <row r="87" spans="1:11" x14ac:dyDescent="0.35">
      <c r="A87" s="52" t="s">
        <v>220</v>
      </c>
      <c r="B87" s="52" t="s">
        <v>323</v>
      </c>
      <c r="C87" s="52" t="s">
        <v>229</v>
      </c>
      <c r="D87" s="57">
        <v>7.0000000000000007E-2</v>
      </c>
      <c r="E87" s="68">
        <v>3</v>
      </c>
      <c r="F87" s="69" t="s">
        <v>402</v>
      </c>
      <c r="G87" s="58">
        <v>5923</v>
      </c>
      <c r="H87" s="59">
        <f t="shared" si="1"/>
        <v>7048.37</v>
      </c>
    </row>
    <row r="88" spans="1:11" x14ac:dyDescent="0.35">
      <c r="A88" s="52" t="s">
        <v>220</v>
      </c>
      <c r="B88" s="52" t="s">
        <v>324</v>
      </c>
      <c r="C88" s="52" t="s">
        <v>229</v>
      </c>
      <c r="D88" s="57">
        <v>0.1</v>
      </c>
      <c r="E88" s="68">
        <v>180</v>
      </c>
      <c r="F88" s="69" t="s">
        <v>895</v>
      </c>
      <c r="G88" s="58">
        <v>1954</v>
      </c>
      <c r="H88" s="59">
        <f t="shared" si="1"/>
        <v>2325.2599999999998</v>
      </c>
    </row>
    <row r="89" spans="1:11" x14ac:dyDescent="0.35">
      <c r="A89" s="52" t="s">
        <v>220</v>
      </c>
      <c r="B89" s="52" t="s">
        <v>325</v>
      </c>
      <c r="C89" s="52" t="s">
        <v>242</v>
      </c>
      <c r="D89" s="57">
        <v>9.2499999999999995E-3</v>
      </c>
      <c r="E89" s="68">
        <v>1</v>
      </c>
      <c r="F89" s="69" t="s">
        <v>224</v>
      </c>
      <c r="G89" s="58">
        <v>14100</v>
      </c>
      <c r="H89" s="59">
        <f t="shared" si="1"/>
        <v>16779</v>
      </c>
    </row>
    <row r="90" spans="1:11" x14ac:dyDescent="0.35">
      <c r="A90" s="52" t="s">
        <v>220</v>
      </c>
      <c r="B90" s="52" t="s">
        <v>326</v>
      </c>
      <c r="C90" s="52" t="s">
        <v>242</v>
      </c>
      <c r="D90" s="57">
        <v>1.0999999999999999E-2</v>
      </c>
      <c r="E90" s="68">
        <v>1</v>
      </c>
      <c r="F90" s="69" t="s">
        <v>224</v>
      </c>
      <c r="G90" s="58">
        <v>14100</v>
      </c>
      <c r="H90" s="59">
        <f t="shared" si="1"/>
        <v>16779</v>
      </c>
    </row>
    <row r="91" spans="1:11" x14ac:dyDescent="0.35">
      <c r="A91" s="52" t="s">
        <v>220</v>
      </c>
      <c r="B91" s="52" t="s">
        <v>327</v>
      </c>
      <c r="C91" s="52" t="s">
        <v>242</v>
      </c>
      <c r="D91" s="57">
        <v>8.0000000000000002E-3</v>
      </c>
      <c r="E91" s="68">
        <v>1</v>
      </c>
      <c r="F91" s="69" t="s">
        <v>222</v>
      </c>
      <c r="G91" s="58">
        <v>14100</v>
      </c>
      <c r="H91" s="59">
        <f t="shared" si="1"/>
        <v>16779</v>
      </c>
    </row>
    <row r="92" spans="1:11" x14ac:dyDescent="0.35">
      <c r="A92" s="52" t="s">
        <v>220</v>
      </c>
      <c r="B92" s="52" t="s">
        <v>328</v>
      </c>
      <c r="C92" s="52" t="s">
        <v>242</v>
      </c>
      <c r="D92" s="57">
        <v>1.0999999999999999E-2</v>
      </c>
      <c r="E92" s="68">
        <v>1</v>
      </c>
      <c r="F92" s="69" t="s">
        <v>222</v>
      </c>
      <c r="G92" s="58">
        <v>14100</v>
      </c>
      <c r="H92" s="59">
        <f t="shared" si="1"/>
        <v>16779</v>
      </c>
    </row>
    <row r="93" spans="1:11" x14ac:dyDescent="0.35">
      <c r="A93" s="52" t="s">
        <v>220</v>
      </c>
      <c r="B93" s="52" t="s">
        <v>329</v>
      </c>
      <c r="C93" s="52" t="s">
        <v>242</v>
      </c>
      <c r="D93" s="57">
        <v>0.20797500000000005</v>
      </c>
      <c r="E93" s="68">
        <v>1</v>
      </c>
      <c r="F93" s="69" t="s">
        <v>222</v>
      </c>
      <c r="G93" s="58">
        <v>19000</v>
      </c>
      <c r="H93" s="59">
        <f t="shared" si="1"/>
        <v>22610</v>
      </c>
    </row>
    <row r="94" spans="1:11" x14ac:dyDescent="0.35">
      <c r="A94" s="52" t="s">
        <v>220</v>
      </c>
      <c r="B94" s="52" t="s">
        <v>330</v>
      </c>
      <c r="C94" s="52" t="s">
        <v>246</v>
      </c>
      <c r="D94" s="57">
        <v>5.0000000000000001E-3</v>
      </c>
      <c r="E94" s="68">
        <v>1</v>
      </c>
      <c r="F94" s="69" t="s">
        <v>522</v>
      </c>
      <c r="G94" s="58">
        <v>43</v>
      </c>
      <c r="H94" s="59">
        <f t="shared" si="1"/>
        <v>51.169999999999995</v>
      </c>
    </row>
    <row r="95" spans="1:11" x14ac:dyDescent="0.35">
      <c r="A95" s="52" t="s">
        <v>220</v>
      </c>
      <c r="B95" s="52" t="s">
        <v>331</v>
      </c>
      <c r="C95" s="52" t="s">
        <v>232</v>
      </c>
      <c r="D95" s="57">
        <v>1.3749999999999999E-3</v>
      </c>
      <c r="E95" s="68">
        <v>7</v>
      </c>
      <c r="F95" s="69" t="s">
        <v>522</v>
      </c>
      <c r="G95" s="58">
        <v>2513</v>
      </c>
      <c r="H95" s="59">
        <f t="shared" si="1"/>
        <v>2990.47</v>
      </c>
      <c r="J95" s="50"/>
    </row>
    <row r="96" spans="1:11" x14ac:dyDescent="0.35">
      <c r="A96" s="52" t="s">
        <v>220</v>
      </c>
      <c r="B96" s="52" t="s">
        <v>332</v>
      </c>
      <c r="C96" s="52" t="s">
        <v>232</v>
      </c>
      <c r="D96" s="57">
        <v>2.6250000000000002E-3</v>
      </c>
      <c r="E96" s="68">
        <v>300</v>
      </c>
      <c r="F96" s="69" t="s">
        <v>895</v>
      </c>
      <c r="G96" s="58">
        <v>21840</v>
      </c>
      <c r="H96" s="59">
        <f t="shared" si="1"/>
        <v>25989.599999999999</v>
      </c>
      <c r="J96" s="50"/>
    </row>
    <row r="97" spans="1:10" x14ac:dyDescent="0.35">
      <c r="A97" s="52" t="s">
        <v>220</v>
      </c>
      <c r="B97" s="52" t="s">
        <v>333</v>
      </c>
      <c r="C97" s="52" t="s">
        <v>232</v>
      </c>
      <c r="D97" s="57">
        <v>0.02</v>
      </c>
      <c r="E97" s="68">
        <v>400</v>
      </c>
      <c r="F97" s="69" t="s">
        <v>522</v>
      </c>
      <c r="G97" s="58">
        <v>882</v>
      </c>
      <c r="H97" s="59">
        <f t="shared" si="1"/>
        <v>1049.58</v>
      </c>
      <c r="J97" s="50"/>
    </row>
    <row r="98" spans="1:10" x14ac:dyDescent="0.35">
      <c r="A98" s="52" t="s">
        <v>220</v>
      </c>
      <c r="B98" s="52" t="s">
        <v>334</v>
      </c>
      <c r="C98" s="52" t="s">
        <v>232</v>
      </c>
      <c r="D98" s="57">
        <v>0.1</v>
      </c>
      <c r="E98" s="68">
        <v>400</v>
      </c>
      <c r="F98" s="69" t="s">
        <v>522</v>
      </c>
      <c r="G98" s="58">
        <v>882</v>
      </c>
      <c r="H98" s="59">
        <f t="shared" si="1"/>
        <v>1049.58</v>
      </c>
      <c r="J98" s="50"/>
    </row>
    <row r="99" spans="1:10" x14ac:dyDescent="0.35">
      <c r="A99" s="52" t="s">
        <v>220</v>
      </c>
      <c r="B99" s="52" t="s">
        <v>335</v>
      </c>
      <c r="C99" s="52" t="s">
        <v>242</v>
      </c>
      <c r="D99" s="57">
        <v>7.1499999999999994E-2</v>
      </c>
      <c r="E99" s="68">
        <v>1</v>
      </c>
      <c r="F99" s="69" t="s">
        <v>402</v>
      </c>
      <c r="G99" s="58">
        <v>14500</v>
      </c>
      <c r="H99" s="59">
        <f t="shared" si="1"/>
        <v>17255</v>
      </c>
    </row>
    <row r="100" spans="1:10" x14ac:dyDescent="0.35">
      <c r="A100" s="52" t="s">
        <v>220</v>
      </c>
      <c r="B100" s="52" t="s">
        <v>336</v>
      </c>
      <c r="C100" s="52" t="s">
        <v>337</v>
      </c>
      <c r="D100" s="57">
        <v>1.6E-2</v>
      </c>
      <c r="E100" s="68">
        <v>500</v>
      </c>
      <c r="F100" s="69" t="s">
        <v>522</v>
      </c>
      <c r="G100" s="58">
        <v>110800</v>
      </c>
      <c r="H100" s="59">
        <f t="shared" si="1"/>
        <v>131852</v>
      </c>
    </row>
    <row r="101" spans="1:10" x14ac:dyDescent="0.35">
      <c r="A101" s="52" t="s">
        <v>220</v>
      </c>
      <c r="B101" s="52" t="s">
        <v>338</v>
      </c>
      <c r="C101" s="52" t="s">
        <v>232</v>
      </c>
      <c r="D101" s="57">
        <v>0.03</v>
      </c>
      <c r="E101" s="68">
        <v>170</v>
      </c>
      <c r="F101" s="69" t="s">
        <v>522</v>
      </c>
      <c r="G101" s="58">
        <v>2092</v>
      </c>
      <c r="H101" s="59">
        <f t="shared" si="1"/>
        <v>2489.48</v>
      </c>
      <c r="J101" s="50"/>
    </row>
    <row r="102" spans="1:10" x14ac:dyDescent="0.35">
      <c r="A102" s="52" t="s">
        <v>220</v>
      </c>
      <c r="B102" s="52" t="s">
        <v>339</v>
      </c>
      <c r="C102" s="52" t="s">
        <v>232</v>
      </c>
      <c r="D102" s="57">
        <v>3.2000000000000001E-2</v>
      </c>
      <c r="E102" s="68">
        <v>120</v>
      </c>
      <c r="F102" s="69" t="s">
        <v>522</v>
      </c>
      <c r="G102" s="58">
        <v>798</v>
      </c>
      <c r="H102" s="59">
        <f t="shared" si="1"/>
        <v>949.62</v>
      </c>
      <c r="J102" s="50"/>
    </row>
    <row r="103" spans="1:10" x14ac:dyDescent="0.35">
      <c r="A103" s="52" t="s">
        <v>220</v>
      </c>
      <c r="B103" s="52" t="s">
        <v>340</v>
      </c>
      <c r="C103" s="52" t="s">
        <v>232</v>
      </c>
      <c r="D103" s="57">
        <v>2</v>
      </c>
      <c r="E103" s="68">
        <v>400</v>
      </c>
      <c r="F103" s="69" t="s">
        <v>522</v>
      </c>
      <c r="G103" s="58">
        <v>2521</v>
      </c>
      <c r="H103" s="59">
        <f t="shared" si="1"/>
        <v>2999.99</v>
      </c>
      <c r="J103" s="50"/>
    </row>
    <row r="104" spans="1:10" x14ac:dyDescent="0.35">
      <c r="A104" s="52" t="s">
        <v>220</v>
      </c>
      <c r="B104" s="52" t="s">
        <v>341</v>
      </c>
      <c r="C104" s="52" t="s">
        <v>232</v>
      </c>
      <c r="D104" s="57">
        <v>0.2</v>
      </c>
      <c r="E104" s="68">
        <v>250</v>
      </c>
      <c r="F104" s="69" t="s">
        <v>522</v>
      </c>
      <c r="G104" s="58">
        <v>2176</v>
      </c>
      <c r="H104" s="59">
        <f t="shared" si="1"/>
        <v>2589.44</v>
      </c>
      <c r="J104" s="50"/>
    </row>
    <row r="105" spans="1:10" x14ac:dyDescent="0.35">
      <c r="A105" s="52" t="s">
        <v>220</v>
      </c>
      <c r="B105" s="52" t="s">
        <v>342</v>
      </c>
      <c r="C105" s="52" t="s">
        <v>229</v>
      </c>
      <c r="D105" s="57">
        <v>0.13375000000000001</v>
      </c>
      <c r="E105" s="68">
        <v>1</v>
      </c>
      <c r="F105" s="69" t="s">
        <v>402</v>
      </c>
      <c r="G105" s="58">
        <v>1745</v>
      </c>
      <c r="H105" s="59">
        <f t="shared" si="1"/>
        <v>2076.5499999999997</v>
      </c>
    </row>
    <row r="106" spans="1:10" x14ac:dyDescent="0.35">
      <c r="A106" s="52" t="s">
        <v>220</v>
      </c>
      <c r="B106" s="52" t="s">
        <v>343</v>
      </c>
      <c r="C106" s="52" t="s">
        <v>229</v>
      </c>
      <c r="D106" s="57">
        <v>9.0000000000000011E-2</v>
      </c>
      <c r="E106" s="68">
        <v>380</v>
      </c>
      <c r="F106" s="69" t="s">
        <v>522</v>
      </c>
      <c r="G106" s="58">
        <v>1315</v>
      </c>
      <c r="H106" s="59">
        <f t="shared" si="1"/>
        <v>1564.85</v>
      </c>
    </row>
    <row r="107" spans="1:10" x14ac:dyDescent="0.35">
      <c r="A107" s="52" t="s">
        <v>220</v>
      </c>
      <c r="B107" s="52" t="s">
        <v>344</v>
      </c>
      <c r="C107" s="52" t="s">
        <v>242</v>
      </c>
      <c r="D107" s="57">
        <v>8.7500000000000002E-4</v>
      </c>
      <c r="E107" s="68">
        <v>500</v>
      </c>
      <c r="F107" s="69" t="s">
        <v>522</v>
      </c>
      <c r="G107" s="58">
        <v>24300</v>
      </c>
      <c r="H107" s="59">
        <f t="shared" si="1"/>
        <v>28917</v>
      </c>
    </row>
    <row r="108" spans="1:10" x14ac:dyDescent="0.35">
      <c r="A108" s="52" t="s">
        <v>220</v>
      </c>
      <c r="B108" s="52" t="s">
        <v>345</v>
      </c>
      <c r="C108" s="52" t="s">
        <v>242</v>
      </c>
      <c r="D108" s="57">
        <v>0.12725</v>
      </c>
      <c r="E108" s="68">
        <v>30</v>
      </c>
      <c r="F108" s="69" t="s">
        <v>522</v>
      </c>
      <c r="G108" s="58">
        <v>930</v>
      </c>
      <c r="H108" s="59">
        <f t="shared" si="1"/>
        <v>1106.7</v>
      </c>
    </row>
    <row r="109" spans="1:10" x14ac:dyDescent="0.35">
      <c r="A109" s="52" t="s">
        <v>220</v>
      </c>
      <c r="B109" s="52" t="s">
        <v>346</v>
      </c>
      <c r="C109" s="52" t="s">
        <v>242</v>
      </c>
      <c r="D109" s="57">
        <v>1.25E-3</v>
      </c>
      <c r="E109" s="68">
        <v>1.3</v>
      </c>
      <c r="F109" s="69" t="s">
        <v>402</v>
      </c>
      <c r="G109" s="58">
        <v>15660</v>
      </c>
      <c r="H109" s="59">
        <f t="shared" si="1"/>
        <v>18635.399999999998</v>
      </c>
    </row>
    <row r="110" spans="1:10" x14ac:dyDescent="0.35">
      <c r="A110" s="52" t="s">
        <v>220</v>
      </c>
      <c r="B110" s="52" t="s">
        <v>347</v>
      </c>
      <c r="C110" s="52" t="s">
        <v>242</v>
      </c>
      <c r="D110" s="57">
        <v>1.25E-3</v>
      </c>
      <c r="E110" s="68">
        <v>500</v>
      </c>
      <c r="F110" s="69" t="s">
        <v>522</v>
      </c>
      <c r="G110" s="58">
        <v>17280</v>
      </c>
      <c r="H110" s="59">
        <f t="shared" si="1"/>
        <v>20563.2</v>
      </c>
    </row>
    <row r="111" spans="1:10" x14ac:dyDescent="0.35">
      <c r="A111" s="52" t="s">
        <v>220</v>
      </c>
      <c r="B111" s="52" t="s">
        <v>348</v>
      </c>
      <c r="C111" s="52" t="s">
        <v>242</v>
      </c>
      <c r="D111" s="57">
        <v>1.3874374999999999</v>
      </c>
      <c r="E111" s="68">
        <v>1.5</v>
      </c>
      <c r="F111" s="69" t="s">
        <v>402</v>
      </c>
      <c r="G111" s="58">
        <v>13050</v>
      </c>
      <c r="H111" s="59">
        <f t="shared" si="1"/>
        <v>15529.5</v>
      </c>
    </row>
    <row r="112" spans="1:10" x14ac:dyDescent="0.35">
      <c r="A112" s="52" t="s">
        <v>220</v>
      </c>
      <c r="B112" s="52" t="s">
        <v>349</v>
      </c>
      <c r="C112" s="52" t="s">
        <v>242</v>
      </c>
      <c r="D112" s="57">
        <v>9.3749999999999997E-3</v>
      </c>
      <c r="E112" s="68">
        <v>500</v>
      </c>
      <c r="F112" s="69" t="s">
        <v>522</v>
      </c>
      <c r="G112" s="58">
        <v>7830</v>
      </c>
      <c r="H112" s="59">
        <f t="shared" si="1"/>
        <v>9317.6999999999989</v>
      </c>
    </row>
    <row r="113" spans="1:10" x14ac:dyDescent="0.35">
      <c r="A113" s="52" t="s">
        <v>220</v>
      </c>
      <c r="B113" s="52" t="s">
        <v>350</v>
      </c>
      <c r="C113" s="52" t="s">
        <v>242</v>
      </c>
      <c r="D113" s="57">
        <v>6.2500000000000001E-4</v>
      </c>
      <c r="E113" s="68">
        <v>500</v>
      </c>
      <c r="F113" s="69" t="s">
        <v>522</v>
      </c>
      <c r="G113" s="58">
        <v>114210</v>
      </c>
      <c r="H113" s="59">
        <f t="shared" si="1"/>
        <v>135909.9</v>
      </c>
    </row>
    <row r="114" spans="1:10" x14ac:dyDescent="0.35">
      <c r="A114" s="52" t="s">
        <v>220</v>
      </c>
      <c r="B114" s="52" t="s">
        <v>351</v>
      </c>
      <c r="C114" s="52" t="s">
        <v>242</v>
      </c>
      <c r="D114" s="57">
        <v>1E-3</v>
      </c>
      <c r="E114" s="68">
        <v>600</v>
      </c>
      <c r="F114" s="69" t="s">
        <v>522</v>
      </c>
      <c r="G114" s="58">
        <v>21850</v>
      </c>
      <c r="H114" s="59">
        <f t="shared" si="1"/>
        <v>26001.5</v>
      </c>
    </row>
    <row r="115" spans="1:10" x14ac:dyDescent="0.35">
      <c r="A115" s="52" t="s">
        <v>220</v>
      </c>
      <c r="B115" s="52" t="s">
        <v>352</v>
      </c>
      <c r="C115" s="52" t="s">
        <v>242</v>
      </c>
      <c r="D115" s="57">
        <v>2.5000000000000001E-3</v>
      </c>
      <c r="E115" s="68">
        <v>1</v>
      </c>
      <c r="F115" s="69" t="s">
        <v>402</v>
      </c>
      <c r="G115" s="58">
        <v>36900</v>
      </c>
      <c r="H115" s="59">
        <f t="shared" si="1"/>
        <v>43911</v>
      </c>
    </row>
    <row r="116" spans="1:10" x14ac:dyDescent="0.35">
      <c r="A116" s="52" t="s">
        <v>220</v>
      </c>
      <c r="B116" s="52" t="s">
        <v>353</v>
      </c>
      <c r="C116" s="52" t="s">
        <v>246</v>
      </c>
      <c r="D116" s="57">
        <v>0.2</v>
      </c>
      <c r="E116" s="68">
        <v>1</v>
      </c>
      <c r="F116" s="69" t="s">
        <v>402</v>
      </c>
      <c r="G116" s="58">
        <v>9286</v>
      </c>
      <c r="H116" s="59">
        <f t="shared" si="1"/>
        <v>11050.34</v>
      </c>
    </row>
    <row r="117" spans="1:10" x14ac:dyDescent="0.35">
      <c r="A117" s="52" t="s">
        <v>220</v>
      </c>
      <c r="B117" s="52" t="s">
        <v>354</v>
      </c>
      <c r="C117" s="52" t="s">
        <v>229</v>
      </c>
      <c r="D117" s="57">
        <v>9.1256250000000048</v>
      </c>
      <c r="E117" s="68">
        <v>1</v>
      </c>
      <c r="F117" s="69" t="s">
        <v>402</v>
      </c>
      <c r="G117" s="58">
        <v>6102</v>
      </c>
      <c r="H117" s="59">
        <f t="shared" si="1"/>
        <v>7261.38</v>
      </c>
    </row>
    <row r="118" spans="1:10" x14ac:dyDescent="0.35">
      <c r="A118" s="52" t="s">
        <v>220</v>
      </c>
      <c r="B118" s="52" t="s">
        <v>355</v>
      </c>
      <c r="C118" s="52" t="s">
        <v>232</v>
      </c>
      <c r="D118" s="57">
        <v>0.54050000000000009</v>
      </c>
      <c r="E118" s="68">
        <v>500</v>
      </c>
      <c r="F118" s="69" t="s">
        <v>522</v>
      </c>
      <c r="G118" s="58">
        <v>7134</v>
      </c>
      <c r="H118" s="59">
        <f t="shared" si="1"/>
        <v>8489.4599999999991</v>
      </c>
      <c r="J118" s="50"/>
    </row>
    <row r="119" spans="1:10" x14ac:dyDescent="0.35">
      <c r="A119" s="52" t="s">
        <v>220</v>
      </c>
      <c r="B119" s="52" t="s">
        <v>356</v>
      </c>
      <c r="C119" s="52" t="s">
        <v>232</v>
      </c>
      <c r="D119" s="57">
        <v>0.06</v>
      </c>
      <c r="E119" s="68">
        <v>400</v>
      </c>
      <c r="F119" s="69" t="s">
        <v>522</v>
      </c>
      <c r="G119" s="58">
        <v>2008</v>
      </c>
      <c r="H119" s="59">
        <f t="shared" si="1"/>
        <v>2389.52</v>
      </c>
      <c r="J119" s="50"/>
    </row>
    <row r="120" spans="1:10" x14ac:dyDescent="0.35">
      <c r="A120" s="52" t="s">
        <v>220</v>
      </c>
      <c r="B120" s="52" t="s">
        <v>357</v>
      </c>
      <c r="C120" s="52" t="s">
        <v>232</v>
      </c>
      <c r="D120" s="57">
        <v>2.8750000000000001E-2</v>
      </c>
      <c r="E120" s="68">
        <v>500</v>
      </c>
      <c r="F120" s="69" t="s">
        <v>522</v>
      </c>
      <c r="G120" s="58">
        <v>1000</v>
      </c>
      <c r="H120" s="59">
        <f t="shared" si="1"/>
        <v>1190</v>
      </c>
      <c r="J120" s="50"/>
    </row>
    <row r="121" spans="1:10" x14ac:dyDescent="0.35">
      <c r="A121" s="52" t="s">
        <v>220</v>
      </c>
      <c r="B121" s="52" t="s">
        <v>358</v>
      </c>
      <c r="C121" s="52" t="s">
        <v>232</v>
      </c>
      <c r="D121" s="57">
        <v>0.09</v>
      </c>
      <c r="E121" s="68">
        <v>1</v>
      </c>
      <c r="F121" s="69" t="s">
        <v>402</v>
      </c>
      <c r="G121" s="58">
        <v>1891</v>
      </c>
      <c r="H121" s="59">
        <f t="shared" si="1"/>
        <v>2250.29</v>
      </c>
      <c r="J121" s="50"/>
    </row>
    <row r="122" spans="1:10" x14ac:dyDescent="0.35">
      <c r="A122" s="52" t="s">
        <v>220</v>
      </c>
      <c r="B122" s="52" t="s">
        <v>359</v>
      </c>
      <c r="C122" s="52" t="s">
        <v>229</v>
      </c>
      <c r="D122" s="57">
        <v>0.1</v>
      </c>
      <c r="E122" s="68">
        <v>1</v>
      </c>
      <c r="F122" s="69" t="s">
        <v>402</v>
      </c>
      <c r="G122" s="58">
        <v>1454</v>
      </c>
      <c r="H122" s="59">
        <f t="shared" si="1"/>
        <v>1730.26</v>
      </c>
    </row>
    <row r="123" spans="1:10" x14ac:dyDescent="0.35">
      <c r="A123" s="52" t="s">
        <v>220</v>
      </c>
      <c r="B123" s="52" t="s">
        <v>360</v>
      </c>
      <c r="C123" s="52" t="s">
        <v>246</v>
      </c>
      <c r="D123" s="57">
        <v>1.2500000000000001E-2</v>
      </c>
      <c r="E123" s="68">
        <v>1</v>
      </c>
      <c r="F123" s="69" t="s">
        <v>402</v>
      </c>
      <c r="G123" s="58">
        <v>2403</v>
      </c>
      <c r="H123" s="59">
        <f t="shared" si="1"/>
        <v>2859.5699999999997</v>
      </c>
    </row>
    <row r="124" spans="1:10" x14ac:dyDescent="0.35">
      <c r="A124" s="52" t="s">
        <v>220</v>
      </c>
      <c r="B124" s="52" t="s">
        <v>361</v>
      </c>
      <c r="C124" s="52" t="s">
        <v>232</v>
      </c>
      <c r="D124" s="57">
        <v>0.13500000000000001</v>
      </c>
      <c r="E124" s="68">
        <v>1</v>
      </c>
      <c r="F124" s="69" t="s">
        <v>402</v>
      </c>
      <c r="G124" s="58">
        <v>1303</v>
      </c>
      <c r="H124" s="59">
        <f t="shared" si="1"/>
        <v>1550.57</v>
      </c>
      <c r="J124" s="50"/>
    </row>
    <row r="125" spans="1:10" x14ac:dyDescent="0.35">
      <c r="A125" s="52" t="s">
        <v>220</v>
      </c>
      <c r="B125" s="52" t="s">
        <v>362</v>
      </c>
      <c r="C125" s="52" t="s">
        <v>246</v>
      </c>
      <c r="D125" s="57">
        <v>8.2496875000000003</v>
      </c>
      <c r="E125" s="68">
        <v>5</v>
      </c>
      <c r="F125" s="69" t="s">
        <v>402</v>
      </c>
      <c r="G125" s="58">
        <v>10258</v>
      </c>
      <c r="H125" s="59">
        <f t="shared" si="1"/>
        <v>12207.019999999999</v>
      </c>
    </row>
    <row r="126" spans="1:10" x14ac:dyDescent="0.35">
      <c r="A126" s="52" t="s">
        <v>220</v>
      </c>
      <c r="B126" s="52" t="s">
        <v>363</v>
      </c>
      <c r="C126" s="52" t="s">
        <v>246</v>
      </c>
      <c r="D126" s="57">
        <v>0.05</v>
      </c>
      <c r="E126" s="68">
        <v>1</v>
      </c>
      <c r="F126" s="69" t="s">
        <v>522</v>
      </c>
      <c r="G126" s="58">
        <v>18</v>
      </c>
      <c r="H126" s="59">
        <f t="shared" si="1"/>
        <v>21.419999999999998</v>
      </c>
    </row>
    <row r="127" spans="1:10" x14ac:dyDescent="0.35">
      <c r="A127" s="52" t="s">
        <v>220</v>
      </c>
      <c r="B127" s="52" t="s">
        <v>364</v>
      </c>
      <c r="C127" s="52" t="s">
        <v>246</v>
      </c>
      <c r="D127" s="57">
        <v>3.0000000000000001E-3</v>
      </c>
      <c r="E127" s="68">
        <v>1</v>
      </c>
      <c r="F127" s="69" t="s">
        <v>224</v>
      </c>
      <c r="G127" s="58">
        <v>5243</v>
      </c>
      <c r="H127" s="59">
        <f t="shared" si="1"/>
        <v>6239.17</v>
      </c>
    </row>
    <row r="128" spans="1:10" x14ac:dyDescent="0.35">
      <c r="A128" s="52" t="s">
        <v>220</v>
      </c>
      <c r="B128" s="52" t="s">
        <v>365</v>
      </c>
      <c r="C128" s="52" t="s">
        <v>242</v>
      </c>
      <c r="D128" s="57">
        <v>5.6124999999999994E-2</v>
      </c>
      <c r="E128" s="68">
        <v>900</v>
      </c>
      <c r="F128" s="69" t="s">
        <v>522</v>
      </c>
      <c r="G128" s="58">
        <v>11200</v>
      </c>
      <c r="H128" s="59">
        <f t="shared" si="1"/>
        <v>13328</v>
      </c>
    </row>
    <row r="129" spans="1:10" x14ac:dyDescent="0.35">
      <c r="A129" s="52" t="s">
        <v>220</v>
      </c>
      <c r="B129" s="52" t="s">
        <v>366</v>
      </c>
      <c r="C129" s="52" t="s">
        <v>246</v>
      </c>
      <c r="D129" s="57">
        <v>4.8125000000000001E-2</v>
      </c>
      <c r="E129" s="68">
        <v>700</v>
      </c>
      <c r="F129" s="69" t="s">
        <v>895</v>
      </c>
      <c r="G129" s="58">
        <v>3277</v>
      </c>
      <c r="H129" s="59">
        <f t="shared" si="1"/>
        <v>3899.6299999999997</v>
      </c>
    </row>
    <row r="130" spans="1:10" x14ac:dyDescent="0.35">
      <c r="A130" s="52" t="s">
        <v>220</v>
      </c>
      <c r="B130" s="52" t="s">
        <v>367</v>
      </c>
      <c r="C130" s="52" t="s">
        <v>229</v>
      </c>
      <c r="D130" s="57">
        <v>1.2500000000000001E-2</v>
      </c>
      <c r="E130" s="68">
        <v>1</v>
      </c>
      <c r="F130" s="69" t="s">
        <v>402</v>
      </c>
      <c r="G130" s="58">
        <v>2782</v>
      </c>
      <c r="H130" s="59">
        <f t="shared" si="1"/>
        <v>3310.58</v>
      </c>
    </row>
    <row r="131" spans="1:10" x14ac:dyDescent="0.35">
      <c r="A131" s="52" t="s">
        <v>220</v>
      </c>
      <c r="B131" s="52" t="s">
        <v>368</v>
      </c>
      <c r="C131" s="52" t="s">
        <v>232</v>
      </c>
      <c r="D131" s="57">
        <v>4.5624999999999997E-3</v>
      </c>
      <c r="E131" s="68">
        <v>15</v>
      </c>
      <c r="F131" s="69" t="s">
        <v>522</v>
      </c>
      <c r="G131" s="58">
        <v>294</v>
      </c>
      <c r="H131" s="59">
        <f t="shared" ref="H131:H193" si="2">G131*1.19</f>
        <v>349.85999999999996</v>
      </c>
      <c r="J131" s="50"/>
    </row>
    <row r="132" spans="1:10" x14ac:dyDescent="0.35">
      <c r="A132" s="52" t="s">
        <v>220</v>
      </c>
      <c r="B132" s="52" t="s">
        <v>369</v>
      </c>
      <c r="C132" s="52" t="s">
        <v>229</v>
      </c>
      <c r="D132" s="57">
        <v>0.11749999999999999</v>
      </c>
      <c r="E132" s="68">
        <v>1</v>
      </c>
      <c r="F132" s="69" t="s">
        <v>402</v>
      </c>
      <c r="G132" s="58">
        <v>4185</v>
      </c>
      <c r="H132" s="59">
        <f t="shared" si="2"/>
        <v>4980.1499999999996</v>
      </c>
    </row>
    <row r="133" spans="1:10" x14ac:dyDescent="0.35">
      <c r="A133" s="52" t="s">
        <v>220</v>
      </c>
      <c r="B133" s="52" t="s">
        <v>370</v>
      </c>
      <c r="C133" s="52" t="s">
        <v>232</v>
      </c>
      <c r="D133" s="57">
        <v>0.35662500000000003</v>
      </c>
      <c r="E133" s="68">
        <v>5</v>
      </c>
      <c r="F133" s="69" t="s">
        <v>522</v>
      </c>
      <c r="G133" s="58">
        <v>437</v>
      </c>
      <c r="H133" s="59">
        <f t="shared" si="2"/>
        <v>520.03</v>
      </c>
      <c r="J133" s="50"/>
    </row>
    <row r="134" spans="1:10" x14ac:dyDescent="0.35">
      <c r="A134" s="52" t="s">
        <v>220</v>
      </c>
      <c r="B134" s="52" t="s">
        <v>371</v>
      </c>
      <c r="C134" s="52" t="s">
        <v>242</v>
      </c>
      <c r="D134" s="57">
        <v>2.5000000000000001E-4</v>
      </c>
      <c r="E134" s="68">
        <v>1</v>
      </c>
      <c r="F134" s="69" t="s">
        <v>402</v>
      </c>
      <c r="G134" s="58">
        <v>31500</v>
      </c>
      <c r="H134" s="59">
        <f t="shared" si="2"/>
        <v>37485</v>
      </c>
    </row>
    <row r="135" spans="1:10" x14ac:dyDescent="0.35">
      <c r="A135" s="52" t="s">
        <v>220</v>
      </c>
      <c r="B135" s="52" t="s">
        <v>372</v>
      </c>
      <c r="C135" s="52" t="s">
        <v>246</v>
      </c>
      <c r="D135" s="57">
        <v>3.1250000000000002E-3</v>
      </c>
      <c r="E135" s="68">
        <v>1</v>
      </c>
      <c r="F135" s="69" t="s">
        <v>522</v>
      </c>
      <c r="G135" s="58">
        <v>15</v>
      </c>
      <c r="H135" s="59">
        <f t="shared" si="2"/>
        <v>17.849999999999998</v>
      </c>
    </row>
    <row r="136" spans="1:10" x14ac:dyDescent="0.35">
      <c r="A136" s="52" t="s">
        <v>220</v>
      </c>
      <c r="B136" s="52" t="s">
        <v>373</v>
      </c>
      <c r="C136" s="52" t="s">
        <v>232</v>
      </c>
      <c r="D136" s="57">
        <v>0.28350000000000003</v>
      </c>
      <c r="E136" s="68">
        <v>38</v>
      </c>
      <c r="F136" s="69" t="s">
        <v>522</v>
      </c>
      <c r="G136" s="58">
        <v>437</v>
      </c>
      <c r="H136" s="59">
        <f t="shared" si="2"/>
        <v>520.03</v>
      </c>
      <c r="J136" s="50"/>
    </row>
    <row r="137" spans="1:10" x14ac:dyDescent="0.35">
      <c r="A137" s="52" t="s">
        <v>220</v>
      </c>
      <c r="B137" s="52" t="s">
        <v>374</v>
      </c>
      <c r="C137" s="52" t="s">
        <v>229</v>
      </c>
      <c r="D137" s="57">
        <v>0.02</v>
      </c>
      <c r="E137" s="68">
        <v>500</v>
      </c>
      <c r="F137" s="69" t="s">
        <v>522</v>
      </c>
      <c r="G137" s="58">
        <v>2259</v>
      </c>
      <c r="H137" s="59">
        <f t="shared" si="2"/>
        <v>2688.21</v>
      </c>
    </row>
    <row r="138" spans="1:10" x14ac:dyDescent="0.35">
      <c r="A138" s="52" t="s">
        <v>220</v>
      </c>
      <c r="B138" s="52" t="s">
        <v>375</v>
      </c>
      <c r="C138" s="52" t="s">
        <v>229</v>
      </c>
      <c r="D138" s="57">
        <v>0.91996250000000013</v>
      </c>
      <c r="E138" s="68">
        <v>1</v>
      </c>
      <c r="F138" s="69" t="s">
        <v>402</v>
      </c>
      <c r="G138" s="58">
        <v>2047</v>
      </c>
      <c r="H138" s="59">
        <f t="shared" si="2"/>
        <v>2435.9299999999998</v>
      </c>
    </row>
    <row r="139" spans="1:10" x14ac:dyDescent="0.35">
      <c r="A139" s="52" t="s">
        <v>220</v>
      </c>
      <c r="B139" s="52" t="s">
        <v>376</v>
      </c>
      <c r="C139" s="52" t="s">
        <v>246</v>
      </c>
      <c r="D139" s="57">
        <v>1.2500000000000001E-2</v>
      </c>
      <c r="E139" s="68">
        <v>1</v>
      </c>
      <c r="F139" s="69" t="s">
        <v>402</v>
      </c>
      <c r="G139" s="58">
        <v>4370</v>
      </c>
      <c r="H139" s="59">
        <f t="shared" si="2"/>
        <v>5200.3</v>
      </c>
    </row>
    <row r="140" spans="1:10" x14ac:dyDescent="0.35">
      <c r="A140" s="52" t="s">
        <v>220</v>
      </c>
      <c r="B140" s="52" t="s">
        <v>377</v>
      </c>
      <c r="C140" s="52" t="s">
        <v>242</v>
      </c>
      <c r="D140" s="57">
        <v>1.43E-2</v>
      </c>
      <c r="E140" s="68">
        <v>500</v>
      </c>
      <c r="F140" s="69" t="s">
        <v>522</v>
      </c>
      <c r="G140" s="58">
        <v>7470</v>
      </c>
      <c r="H140" s="59">
        <f t="shared" si="2"/>
        <v>8889.2999999999993</v>
      </c>
    </row>
    <row r="141" spans="1:10" x14ac:dyDescent="0.35">
      <c r="A141" s="52" t="s">
        <v>220</v>
      </c>
      <c r="B141" s="52" t="s">
        <v>378</v>
      </c>
      <c r="C141" s="52" t="s">
        <v>232</v>
      </c>
      <c r="D141" s="57">
        <v>1.6E-2</v>
      </c>
      <c r="E141" s="68">
        <v>230</v>
      </c>
      <c r="F141" s="69" t="s">
        <v>522</v>
      </c>
      <c r="G141" s="58">
        <v>1672</v>
      </c>
      <c r="H141" s="59">
        <f t="shared" si="2"/>
        <v>1989.6799999999998</v>
      </c>
      <c r="J141" s="50"/>
    </row>
    <row r="142" spans="1:10" x14ac:dyDescent="0.35">
      <c r="A142" s="52" t="s">
        <v>220</v>
      </c>
      <c r="B142" s="52" t="s">
        <v>379</v>
      </c>
      <c r="C142" s="52" t="s">
        <v>246</v>
      </c>
      <c r="D142" s="57">
        <v>0.11000000000000001</v>
      </c>
      <c r="E142" s="68">
        <v>1</v>
      </c>
      <c r="F142" s="69" t="s">
        <v>402</v>
      </c>
      <c r="G142" s="58">
        <v>4698</v>
      </c>
      <c r="H142" s="59">
        <f t="shared" si="2"/>
        <v>5590.62</v>
      </c>
    </row>
    <row r="143" spans="1:10" x14ac:dyDescent="0.35">
      <c r="A143" s="52" t="s">
        <v>220</v>
      </c>
      <c r="B143" s="52" t="s">
        <v>380</v>
      </c>
      <c r="C143" s="52" t="s">
        <v>232</v>
      </c>
      <c r="D143" s="57">
        <v>0.33</v>
      </c>
      <c r="E143" s="68">
        <v>700</v>
      </c>
      <c r="F143" s="69" t="s">
        <v>522</v>
      </c>
      <c r="G143" s="58">
        <v>2765</v>
      </c>
      <c r="H143" s="59">
        <f t="shared" si="2"/>
        <v>3290.35</v>
      </c>
      <c r="J143" s="50"/>
    </row>
    <row r="144" spans="1:10" x14ac:dyDescent="0.35">
      <c r="A144" s="52" t="s">
        <v>220</v>
      </c>
      <c r="B144" s="52" t="s">
        <v>381</v>
      </c>
      <c r="C144" s="52" t="s">
        <v>229</v>
      </c>
      <c r="D144" s="57">
        <v>0.4811875000000001</v>
      </c>
      <c r="E144" s="68">
        <v>1</v>
      </c>
      <c r="F144" s="69" t="s">
        <v>402</v>
      </c>
      <c r="G144" s="58">
        <v>2763</v>
      </c>
      <c r="H144" s="59">
        <f t="shared" si="2"/>
        <v>3287.97</v>
      </c>
    </row>
    <row r="145" spans="1:10" x14ac:dyDescent="0.35">
      <c r="A145" s="52" t="s">
        <v>220</v>
      </c>
      <c r="B145" s="52" t="s">
        <v>382</v>
      </c>
      <c r="C145" s="52" t="s">
        <v>229</v>
      </c>
      <c r="D145" s="57">
        <v>0.09</v>
      </c>
      <c r="E145" s="68">
        <v>460</v>
      </c>
      <c r="F145" s="69" t="s">
        <v>522</v>
      </c>
      <c r="G145" s="58">
        <v>4092</v>
      </c>
      <c r="H145" s="59">
        <f t="shared" si="2"/>
        <v>4869.4799999999996</v>
      </c>
    </row>
    <row r="146" spans="1:10" x14ac:dyDescent="0.35">
      <c r="A146" s="52" t="s">
        <v>220</v>
      </c>
      <c r="B146" s="52" t="s">
        <v>383</v>
      </c>
      <c r="C146" s="52" t="s">
        <v>246</v>
      </c>
      <c r="D146" s="57">
        <v>0.64600000000000002</v>
      </c>
      <c r="E146" s="68">
        <v>5</v>
      </c>
      <c r="F146" s="69" t="s">
        <v>402</v>
      </c>
      <c r="G146" s="58">
        <v>80939</v>
      </c>
      <c r="H146" s="59">
        <f t="shared" si="2"/>
        <v>96317.409999999989</v>
      </c>
    </row>
    <row r="147" spans="1:10" x14ac:dyDescent="0.35">
      <c r="A147" s="52" t="s">
        <v>220</v>
      </c>
      <c r="B147" s="52" t="s">
        <v>384</v>
      </c>
      <c r="C147" s="52" t="s">
        <v>242</v>
      </c>
      <c r="D147" s="57">
        <v>1.6E-2</v>
      </c>
      <c r="E147" s="68">
        <v>200</v>
      </c>
      <c r="F147" s="69" t="s">
        <v>522</v>
      </c>
      <c r="G147" s="58">
        <v>43380</v>
      </c>
      <c r="H147" s="59">
        <f t="shared" si="2"/>
        <v>51622.2</v>
      </c>
    </row>
    <row r="148" spans="1:10" x14ac:dyDescent="0.35">
      <c r="A148" s="52" t="s">
        <v>220</v>
      </c>
      <c r="B148" s="52" t="s">
        <v>385</v>
      </c>
      <c r="C148" s="52" t="s">
        <v>229</v>
      </c>
      <c r="D148" s="57">
        <v>0.24000000000000002</v>
      </c>
      <c r="E148" s="68">
        <v>1.8</v>
      </c>
      <c r="F148" s="69" t="s">
        <v>402</v>
      </c>
      <c r="G148" s="58">
        <v>8605</v>
      </c>
      <c r="H148" s="59">
        <f t="shared" si="2"/>
        <v>10239.949999999999</v>
      </c>
    </row>
    <row r="149" spans="1:10" x14ac:dyDescent="0.35">
      <c r="A149" s="52" t="s">
        <v>220</v>
      </c>
      <c r="B149" s="52" t="s">
        <v>386</v>
      </c>
      <c r="C149" s="52" t="s">
        <v>229</v>
      </c>
      <c r="D149" s="57">
        <v>7.375000000000001E-2</v>
      </c>
      <c r="E149" s="68">
        <v>1.94</v>
      </c>
      <c r="F149" s="69" t="s">
        <v>402</v>
      </c>
      <c r="G149" s="58">
        <v>6080</v>
      </c>
      <c r="H149" s="59">
        <f t="shared" si="2"/>
        <v>7235.2</v>
      </c>
    </row>
    <row r="150" spans="1:10" x14ac:dyDescent="0.35">
      <c r="A150" s="52" t="s">
        <v>220</v>
      </c>
      <c r="B150" s="52" t="s">
        <v>387</v>
      </c>
      <c r="C150" s="52" t="s">
        <v>229</v>
      </c>
      <c r="D150" s="57">
        <v>2.2187500000000006E-2</v>
      </c>
      <c r="E150" s="68">
        <v>1</v>
      </c>
      <c r="F150" s="69" t="s">
        <v>402</v>
      </c>
      <c r="G150" s="58">
        <v>6610</v>
      </c>
      <c r="H150" s="59">
        <f t="shared" si="2"/>
        <v>7865.9</v>
      </c>
    </row>
    <row r="151" spans="1:10" x14ac:dyDescent="0.35">
      <c r="A151" s="52" t="s">
        <v>220</v>
      </c>
      <c r="B151" s="52" t="s">
        <v>388</v>
      </c>
      <c r="C151" s="52" t="s">
        <v>229</v>
      </c>
      <c r="D151" s="57">
        <v>0.21200000000000002</v>
      </c>
      <c r="E151" s="68">
        <v>1</v>
      </c>
      <c r="F151" s="69" t="s">
        <v>402</v>
      </c>
      <c r="G151" s="58">
        <v>2766</v>
      </c>
      <c r="H151" s="59">
        <f t="shared" si="2"/>
        <v>3291.54</v>
      </c>
    </row>
    <row r="152" spans="1:10" x14ac:dyDescent="0.35">
      <c r="A152" s="52" t="s">
        <v>220</v>
      </c>
      <c r="B152" s="52" t="s">
        <v>389</v>
      </c>
      <c r="C152" s="52" t="s">
        <v>229</v>
      </c>
      <c r="D152" s="57">
        <v>0.38499999999999995</v>
      </c>
      <c r="E152" s="68">
        <v>1</v>
      </c>
      <c r="F152" s="69" t="s">
        <v>402</v>
      </c>
      <c r="G152" s="58">
        <v>3459</v>
      </c>
      <c r="H152" s="59">
        <f t="shared" si="2"/>
        <v>4116.21</v>
      </c>
    </row>
    <row r="153" spans="1:10" x14ac:dyDescent="0.35">
      <c r="A153" s="52" t="s">
        <v>220</v>
      </c>
      <c r="B153" s="52" t="s">
        <v>390</v>
      </c>
      <c r="C153" s="52" t="s">
        <v>229</v>
      </c>
      <c r="D153" s="57">
        <v>0.2</v>
      </c>
      <c r="E153" s="68">
        <v>1</v>
      </c>
      <c r="F153" s="69" t="s">
        <v>402</v>
      </c>
      <c r="G153" s="58">
        <v>2822</v>
      </c>
      <c r="H153" s="59">
        <f t="shared" si="2"/>
        <v>3358.18</v>
      </c>
    </row>
    <row r="154" spans="1:10" x14ac:dyDescent="0.35">
      <c r="A154" s="52" t="s">
        <v>220</v>
      </c>
      <c r="B154" s="52" t="s">
        <v>391</v>
      </c>
      <c r="C154" s="52" t="s">
        <v>246</v>
      </c>
      <c r="D154" s="57">
        <v>0.1</v>
      </c>
      <c r="E154" s="68">
        <v>1</v>
      </c>
      <c r="F154" s="69" t="s">
        <v>259</v>
      </c>
      <c r="G154" s="58">
        <v>7538</v>
      </c>
      <c r="H154" s="59">
        <f t="shared" si="2"/>
        <v>8970.2199999999993</v>
      </c>
    </row>
    <row r="155" spans="1:10" x14ac:dyDescent="0.35">
      <c r="A155" s="52" t="s">
        <v>220</v>
      </c>
      <c r="B155" s="52" t="s">
        <v>393</v>
      </c>
      <c r="C155" s="52" t="s">
        <v>229</v>
      </c>
      <c r="D155" s="57">
        <v>0.43050000000000005</v>
      </c>
      <c r="E155" s="68">
        <v>1</v>
      </c>
      <c r="F155" s="69" t="s">
        <v>402</v>
      </c>
      <c r="G155" s="58">
        <v>4657</v>
      </c>
      <c r="H155" s="59">
        <f t="shared" si="2"/>
        <v>5541.83</v>
      </c>
    </row>
    <row r="156" spans="1:10" x14ac:dyDescent="0.35">
      <c r="A156" s="52" t="s">
        <v>220</v>
      </c>
      <c r="B156" s="52" t="s">
        <v>394</v>
      </c>
      <c r="C156" s="52" t="s">
        <v>229</v>
      </c>
      <c r="D156" s="57">
        <v>3.7499999999999999E-3</v>
      </c>
      <c r="E156" s="68">
        <v>240</v>
      </c>
      <c r="F156" s="69" t="s">
        <v>522</v>
      </c>
      <c r="G156" s="58">
        <v>4335</v>
      </c>
      <c r="H156" s="59">
        <f t="shared" si="2"/>
        <v>5158.6499999999996</v>
      </c>
    </row>
    <row r="157" spans="1:10" x14ac:dyDescent="0.35">
      <c r="A157" s="52" t="s">
        <v>220</v>
      </c>
      <c r="B157" s="52" t="s">
        <v>395</v>
      </c>
      <c r="C157" s="52" t="s">
        <v>229</v>
      </c>
      <c r="D157" s="57">
        <v>5.0000000000000001E-3</v>
      </c>
      <c r="E157" s="68">
        <v>250</v>
      </c>
      <c r="F157" s="69" t="s">
        <v>522</v>
      </c>
      <c r="G157" s="58">
        <v>1834</v>
      </c>
      <c r="H157" s="59">
        <f t="shared" si="2"/>
        <v>2182.46</v>
      </c>
    </row>
    <row r="158" spans="1:10" x14ac:dyDescent="0.35">
      <c r="A158" s="52" t="s">
        <v>220</v>
      </c>
      <c r="B158" s="52" t="s">
        <v>396</v>
      </c>
      <c r="C158" s="52" t="s">
        <v>229</v>
      </c>
      <c r="D158" s="57">
        <v>5.0000000000000001E-3</v>
      </c>
      <c r="E158" s="68">
        <v>250</v>
      </c>
      <c r="F158" s="69" t="s">
        <v>522</v>
      </c>
      <c r="G158" s="58">
        <v>1834</v>
      </c>
      <c r="H158" s="59">
        <f t="shared" si="2"/>
        <v>2182.46</v>
      </c>
    </row>
    <row r="159" spans="1:10" x14ac:dyDescent="0.35">
      <c r="A159" s="52" t="s">
        <v>220</v>
      </c>
      <c r="B159" s="52" t="s">
        <v>397</v>
      </c>
      <c r="C159" s="52" t="s">
        <v>229</v>
      </c>
      <c r="D159" s="57">
        <v>0.10562499999999998</v>
      </c>
      <c r="E159" s="68">
        <v>1</v>
      </c>
      <c r="F159" s="69" t="s">
        <v>402</v>
      </c>
      <c r="G159" s="58">
        <v>1060</v>
      </c>
      <c r="H159" s="59">
        <f t="shared" si="2"/>
        <v>1261.3999999999999</v>
      </c>
    </row>
    <row r="160" spans="1:10" x14ac:dyDescent="0.35">
      <c r="A160" s="52" t="s">
        <v>220</v>
      </c>
      <c r="B160" s="52" t="s">
        <v>398</v>
      </c>
      <c r="C160" s="52" t="s">
        <v>232</v>
      </c>
      <c r="D160" s="57">
        <v>4.2062500000000003E-2</v>
      </c>
      <c r="E160" s="68">
        <v>215</v>
      </c>
      <c r="F160" s="69" t="s">
        <v>522</v>
      </c>
      <c r="G160" s="58">
        <v>3857</v>
      </c>
      <c r="H160" s="59">
        <f t="shared" si="2"/>
        <v>4589.83</v>
      </c>
      <c r="J160" s="50"/>
    </row>
    <row r="161" spans="1:10" x14ac:dyDescent="0.35">
      <c r="A161" s="52" t="s">
        <v>220</v>
      </c>
      <c r="B161" s="52" t="s">
        <v>399</v>
      </c>
      <c r="C161" s="52" t="s">
        <v>232</v>
      </c>
      <c r="D161" s="57">
        <v>1.55E-2</v>
      </c>
      <c r="E161" s="68">
        <v>210</v>
      </c>
      <c r="F161" s="69" t="s">
        <v>522</v>
      </c>
      <c r="G161" s="58">
        <v>3857</v>
      </c>
      <c r="H161" s="59">
        <f t="shared" si="2"/>
        <v>4589.83</v>
      </c>
      <c r="J161" s="50"/>
    </row>
    <row r="162" spans="1:10" x14ac:dyDescent="0.35">
      <c r="A162" s="52" t="s">
        <v>220</v>
      </c>
      <c r="B162" s="52" t="s">
        <v>400</v>
      </c>
      <c r="C162" s="52" t="s">
        <v>232</v>
      </c>
      <c r="D162" s="57">
        <v>0.05</v>
      </c>
      <c r="E162" s="68">
        <v>1</v>
      </c>
      <c r="F162" s="69" t="s">
        <v>402</v>
      </c>
      <c r="G162" s="58">
        <v>2311</v>
      </c>
      <c r="H162" s="59">
        <f t="shared" si="2"/>
        <v>2750.0899999999997</v>
      </c>
      <c r="J162" s="50"/>
    </row>
    <row r="163" spans="1:10" x14ac:dyDescent="0.35">
      <c r="A163" s="52" t="s">
        <v>220</v>
      </c>
      <c r="B163" s="52" t="s">
        <v>401</v>
      </c>
      <c r="C163" s="52" t="s">
        <v>337</v>
      </c>
      <c r="D163" s="57">
        <v>0.22800000000000001</v>
      </c>
      <c r="E163" s="68">
        <v>1</v>
      </c>
      <c r="F163" s="69" t="s">
        <v>402</v>
      </c>
      <c r="G163" s="58">
        <v>11600</v>
      </c>
      <c r="H163" s="59">
        <f t="shared" si="2"/>
        <v>13804</v>
      </c>
    </row>
    <row r="164" spans="1:10" x14ac:dyDescent="0.35">
      <c r="A164" s="52" t="s">
        <v>220</v>
      </c>
      <c r="B164" s="52" t="s">
        <v>403</v>
      </c>
      <c r="C164" s="52" t="s">
        <v>229</v>
      </c>
      <c r="D164" s="57">
        <v>3.125E-2</v>
      </c>
      <c r="E164" s="68">
        <v>1</v>
      </c>
      <c r="F164" s="69" t="s">
        <v>402</v>
      </c>
      <c r="G164" s="58">
        <v>13590</v>
      </c>
      <c r="H164" s="59">
        <f t="shared" si="2"/>
        <v>16172.099999999999</v>
      </c>
    </row>
    <row r="165" spans="1:10" x14ac:dyDescent="0.35">
      <c r="A165" s="52" t="s">
        <v>220</v>
      </c>
      <c r="B165" s="52" t="s">
        <v>404</v>
      </c>
      <c r="C165" s="52" t="s">
        <v>232</v>
      </c>
      <c r="D165" s="57">
        <v>1.60625E-2</v>
      </c>
      <c r="E165" s="68">
        <v>4</v>
      </c>
      <c r="F165" s="69" t="s">
        <v>522</v>
      </c>
      <c r="G165" s="58">
        <v>479</v>
      </c>
      <c r="H165" s="59">
        <f t="shared" si="2"/>
        <v>570.01</v>
      </c>
      <c r="J165" s="50"/>
    </row>
    <row r="166" spans="1:10" x14ac:dyDescent="0.35">
      <c r="A166" s="52" t="s">
        <v>220</v>
      </c>
      <c r="B166" s="52" t="s">
        <v>405</v>
      </c>
      <c r="C166" s="52" t="s">
        <v>229</v>
      </c>
      <c r="D166" s="57">
        <v>1.5187500000000001E-2</v>
      </c>
      <c r="E166" s="68">
        <v>100</v>
      </c>
      <c r="F166" s="69" t="s">
        <v>522</v>
      </c>
      <c r="G166" s="58">
        <v>3091</v>
      </c>
      <c r="H166" s="59">
        <f t="shared" si="2"/>
        <v>3678.29</v>
      </c>
    </row>
    <row r="167" spans="1:10" x14ac:dyDescent="0.35">
      <c r="A167" s="52" t="s">
        <v>220</v>
      </c>
      <c r="B167" s="52" t="s">
        <v>406</v>
      </c>
      <c r="C167" s="52" t="s">
        <v>246</v>
      </c>
      <c r="D167" s="57">
        <v>4.1875000000000002E-2</v>
      </c>
      <c r="E167" s="68">
        <v>1</v>
      </c>
      <c r="F167" s="69" t="s">
        <v>402</v>
      </c>
      <c r="G167" s="58">
        <v>10925</v>
      </c>
      <c r="H167" s="59">
        <f t="shared" si="2"/>
        <v>13000.75</v>
      </c>
    </row>
    <row r="168" spans="1:10" x14ac:dyDescent="0.35">
      <c r="A168" s="52" t="s">
        <v>220</v>
      </c>
      <c r="B168" s="52" t="s">
        <v>407</v>
      </c>
      <c r="C168" s="52" t="s">
        <v>246</v>
      </c>
      <c r="D168" s="57">
        <v>2.5437500000000002E-2</v>
      </c>
      <c r="E168" s="68">
        <v>1</v>
      </c>
      <c r="F168" s="69" t="s">
        <v>402</v>
      </c>
      <c r="G168" s="58">
        <v>7648</v>
      </c>
      <c r="H168" s="59">
        <f t="shared" si="2"/>
        <v>9101.119999999999</v>
      </c>
    </row>
    <row r="169" spans="1:10" x14ac:dyDescent="0.35">
      <c r="A169" s="52" t="s">
        <v>220</v>
      </c>
      <c r="B169" s="52" t="s">
        <v>408</v>
      </c>
      <c r="C169" s="52" t="s">
        <v>232</v>
      </c>
      <c r="D169" s="57">
        <v>1</v>
      </c>
      <c r="E169" s="68">
        <v>8</v>
      </c>
      <c r="F169" s="69" t="s">
        <v>259</v>
      </c>
      <c r="G169" s="58">
        <v>2261</v>
      </c>
      <c r="H169" s="59">
        <f t="shared" si="2"/>
        <v>2690.5899999999997</v>
      </c>
      <c r="J169" s="50"/>
    </row>
    <row r="170" spans="1:10" x14ac:dyDescent="0.35">
      <c r="A170" s="52" t="s">
        <v>220</v>
      </c>
      <c r="B170" s="52" t="s">
        <v>409</v>
      </c>
      <c r="C170" s="52" t="s">
        <v>229</v>
      </c>
      <c r="D170" s="57">
        <v>0.44700000000000001</v>
      </c>
      <c r="E170" s="68">
        <v>1</v>
      </c>
      <c r="F170" s="69" t="s">
        <v>402</v>
      </c>
      <c r="G170" s="58">
        <v>2171</v>
      </c>
      <c r="H170" s="59">
        <f t="shared" si="2"/>
        <v>2583.4899999999998</v>
      </c>
    </row>
    <row r="171" spans="1:10" x14ac:dyDescent="0.35">
      <c r="A171" s="52" t="s">
        <v>220</v>
      </c>
      <c r="B171" s="52" t="s">
        <v>410</v>
      </c>
      <c r="C171" s="52" t="s">
        <v>232</v>
      </c>
      <c r="D171" s="57">
        <v>0.02</v>
      </c>
      <c r="E171" s="68">
        <v>200</v>
      </c>
      <c r="F171" s="69" t="s">
        <v>522</v>
      </c>
      <c r="G171" s="58">
        <v>4445</v>
      </c>
      <c r="H171" s="59">
        <f t="shared" si="2"/>
        <v>5289.55</v>
      </c>
      <c r="J171" s="50"/>
    </row>
    <row r="172" spans="1:10" x14ac:dyDescent="0.35">
      <c r="A172" s="52" t="s">
        <v>220</v>
      </c>
      <c r="B172" s="52" t="s">
        <v>412</v>
      </c>
      <c r="C172" s="52" t="s">
        <v>232</v>
      </c>
      <c r="D172" s="57">
        <v>3.2</v>
      </c>
      <c r="E172" s="68">
        <v>100</v>
      </c>
      <c r="F172" s="69" t="s">
        <v>522</v>
      </c>
      <c r="G172" s="58">
        <v>2345</v>
      </c>
      <c r="H172" s="59">
        <f t="shared" si="2"/>
        <v>2790.5499999999997</v>
      </c>
      <c r="J172" s="50"/>
    </row>
    <row r="173" spans="1:10" x14ac:dyDescent="0.35">
      <c r="A173" s="52" t="s">
        <v>220</v>
      </c>
      <c r="B173" s="52" t="s">
        <v>413</v>
      </c>
      <c r="C173" s="52" t="s">
        <v>229</v>
      </c>
      <c r="D173" s="57">
        <v>1.3562499999999998E-2</v>
      </c>
      <c r="E173" s="68">
        <v>100</v>
      </c>
      <c r="F173" s="69" t="s">
        <v>522</v>
      </c>
      <c r="G173" s="58">
        <v>1155</v>
      </c>
      <c r="H173" s="59">
        <f t="shared" si="2"/>
        <v>1374.45</v>
      </c>
    </row>
    <row r="174" spans="1:10" x14ac:dyDescent="0.35">
      <c r="A174" s="52" t="s">
        <v>220</v>
      </c>
      <c r="B174" s="52" t="s">
        <v>414</v>
      </c>
      <c r="C174" s="52" t="s">
        <v>246</v>
      </c>
      <c r="D174" s="57">
        <v>1.0999999999999999E-2</v>
      </c>
      <c r="E174" s="68">
        <v>1</v>
      </c>
      <c r="F174" s="69" t="s">
        <v>402</v>
      </c>
      <c r="G174" s="58">
        <v>6555</v>
      </c>
      <c r="H174" s="59">
        <f t="shared" si="2"/>
        <v>7800.45</v>
      </c>
    </row>
    <row r="175" spans="1:10" x14ac:dyDescent="0.35">
      <c r="A175" s="52" t="s">
        <v>220</v>
      </c>
      <c r="B175" s="52" t="s">
        <v>415</v>
      </c>
      <c r="C175" s="52" t="s">
        <v>229</v>
      </c>
      <c r="D175" s="57">
        <v>1.7000000000000001E-2</v>
      </c>
      <c r="E175" s="68">
        <v>250</v>
      </c>
      <c r="F175" s="69" t="s">
        <v>522</v>
      </c>
      <c r="G175" s="58">
        <v>2809</v>
      </c>
      <c r="H175" s="59">
        <f t="shared" si="2"/>
        <v>3342.71</v>
      </c>
    </row>
    <row r="176" spans="1:10" x14ac:dyDescent="0.35">
      <c r="A176" s="52" t="s">
        <v>220</v>
      </c>
      <c r="B176" s="52" t="s">
        <v>416</v>
      </c>
      <c r="C176" s="52" t="s">
        <v>246</v>
      </c>
      <c r="D176" s="57">
        <v>2.2499999999999999E-2</v>
      </c>
      <c r="E176" s="68">
        <v>1</v>
      </c>
      <c r="F176" s="69" t="s">
        <v>259</v>
      </c>
      <c r="G176" s="58">
        <v>3812</v>
      </c>
      <c r="H176" s="59">
        <f t="shared" si="2"/>
        <v>4536.28</v>
      </c>
    </row>
    <row r="177" spans="1:10" x14ac:dyDescent="0.35">
      <c r="A177" s="52" t="s">
        <v>220</v>
      </c>
      <c r="B177" s="52" t="s">
        <v>417</v>
      </c>
      <c r="C177" s="52" t="s">
        <v>232</v>
      </c>
      <c r="D177" s="57">
        <v>0.01</v>
      </c>
      <c r="E177" s="68">
        <v>350</v>
      </c>
      <c r="F177" s="69" t="s">
        <v>522</v>
      </c>
      <c r="G177" s="58">
        <v>3101</v>
      </c>
      <c r="H177" s="59">
        <f t="shared" si="2"/>
        <v>3690.19</v>
      </c>
      <c r="J177" s="50"/>
    </row>
    <row r="178" spans="1:10" x14ac:dyDescent="0.35">
      <c r="A178" s="52" t="s">
        <v>220</v>
      </c>
      <c r="B178" s="52" t="s">
        <v>418</v>
      </c>
      <c r="C178" s="52" t="s">
        <v>232</v>
      </c>
      <c r="D178" s="57">
        <v>6.2500000000000003E-3</v>
      </c>
      <c r="E178" s="68">
        <v>600</v>
      </c>
      <c r="F178" s="69" t="s">
        <v>522</v>
      </c>
      <c r="G178" s="58">
        <v>24361</v>
      </c>
      <c r="H178" s="59">
        <f t="shared" si="2"/>
        <v>28989.59</v>
      </c>
      <c r="J178" s="50"/>
    </row>
    <row r="179" spans="1:10" x14ac:dyDescent="0.35">
      <c r="A179" s="52" t="s">
        <v>220</v>
      </c>
      <c r="B179" s="52" t="s">
        <v>419</v>
      </c>
      <c r="C179" s="52" t="s">
        <v>232</v>
      </c>
      <c r="D179" s="57">
        <v>2.0999999999999998E-2</v>
      </c>
      <c r="E179" s="68">
        <v>225</v>
      </c>
      <c r="F179" s="69" t="s">
        <v>522</v>
      </c>
      <c r="G179" s="58">
        <v>4445</v>
      </c>
      <c r="H179" s="59">
        <f t="shared" si="2"/>
        <v>5289.55</v>
      </c>
      <c r="J179" s="50"/>
    </row>
    <row r="180" spans="1:10" x14ac:dyDescent="0.35">
      <c r="A180" s="52" t="s">
        <v>220</v>
      </c>
      <c r="B180" s="52" t="s">
        <v>420</v>
      </c>
      <c r="C180" s="52" t="s">
        <v>242</v>
      </c>
      <c r="D180" s="57">
        <v>3.7650000000000003E-2</v>
      </c>
      <c r="E180" s="68">
        <v>1</v>
      </c>
      <c r="F180" s="69" t="s">
        <v>402</v>
      </c>
      <c r="G180" s="58">
        <v>51522</v>
      </c>
      <c r="H180" s="59">
        <f t="shared" si="2"/>
        <v>61311.18</v>
      </c>
    </row>
    <row r="181" spans="1:10" x14ac:dyDescent="0.35">
      <c r="A181" s="52" t="s">
        <v>220</v>
      </c>
      <c r="B181" s="52" t="s">
        <v>421</v>
      </c>
      <c r="C181" s="52" t="s">
        <v>242</v>
      </c>
      <c r="D181" s="57">
        <v>6.0000000000000001E-3</v>
      </c>
      <c r="E181" s="68">
        <v>500</v>
      </c>
      <c r="F181" s="69" t="s">
        <v>522</v>
      </c>
      <c r="G181" s="58">
        <v>27900</v>
      </c>
      <c r="H181" s="59">
        <f t="shared" si="2"/>
        <v>33201</v>
      </c>
    </row>
    <row r="182" spans="1:10" x14ac:dyDescent="0.35">
      <c r="A182" s="52" t="s">
        <v>220</v>
      </c>
      <c r="B182" s="52" t="s">
        <v>422</v>
      </c>
      <c r="C182" s="52" t="s">
        <v>242</v>
      </c>
      <c r="D182" s="57">
        <v>5.9375000000000001E-3</v>
      </c>
      <c r="E182" s="68">
        <v>500</v>
      </c>
      <c r="F182" s="69" t="s">
        <v>522</v>
      </c>
      <c r="G182" s="58">
        <v>26820</v>
      </c>
      <c r="H182" s="59">
        <f t="shared" si="2"/>
        <v>31915.8</v>
      </c>
    </row>
    <row r="183" spans="1:10" x14ac:dyDescent="0.35">
      <c r="A183" s="52" t="s">
        <v>220</v>
      </c>
      <c r="B183" s="52" t="s">
        <v>423</v>
      </c>
      <c r="C183" s="52" t="s">
        <v>246</v>
      </c>
      <c r="D183" s="57">
        <v>2E-3</v>
      </c>
      <c r="E183" s="68">
        <v>130</v>
      </c>
      <c r="F183" s="69" t="s">
        <v>522</v>
      </c>
      <c r="G183" s="58">
        <v>14180</v>
      </c>
      <c r="H183" s="59">
        <f t="shared" si="2"/>
        <v>16874.2</v>
      </c>
    </row>
    <row r="184" spans="1:10" x14ac:dyDescent="0.35">
      <c r="A184" s="52" t="s">
        <v>220</v>
      </c>
      <c r="B184" s="52" t="s">
        <v>424</v>
      </c>
      <c r="C184" s="52" t="s">
        <v>246</v>
      </c>
      <c r="D184" s="57">
        <v>6.2500000000000003E-3</v>
      </c>
      <c r="E184" s="68">
        <v>1</v>
      </c>
      <c r="F184" s="69" t="s">
        <v>259</v>
      </c>
      <c r="G184" s="58">
        <v>4151</v>
      </c>
      <c r="H184" s="59">
        <f t="shared" si="2"/>
        <v>4939.6899999999996</v>
      </c>
    </row>
    <row r="185" spans="1:10" x14ac:dyDescent="0.35">
      <c r="A185" s="52" t="s">
        <v>220</v>
      </c>
      <c r="B185" s="52" t="s">
        <v>425</v>
      </c>
      <c r="C185" s="52" t="s">
        <v>229</v>
      </c>
      <c r="D185" s="57">
        <v>1E-3</v>
      </c>
      <c r="E185" s="68">
        <v>1</v>
      </c>
      <c r="F185" s="69" t="s">
        <v>402</v>
      </c>
      <c r="G185" s="58">
        <v>26171</v>
      </c>
      <c r="H185" s="59">
        <f t="shared" si="2"/>
        <v>31143.489999999998</v>
      </c>
    </row>
    <row r="186" spans="1:10" x14ac:dyDescent="0.35">
      <c r="A186" s="52" t="s">
        <v>220</v>
      </c>
      <c r="B186" s="52" t="s">
        <v>426</v>
      </c>
      <c r="C186" s="52" t="s">
        <v>246</v>
      </c>
      <c r="D186" s="57">
        <v>5.1250000000000011E-3</v>
      </c>
      <c r="E186" s="68">
        <v>1</v>
      </c>
      <c r="F186" s="69" t="s">
        <v>259</v>
      </c>
      <c r="G186" s="58">
        <v>8728</v>
      </c>
      <c r="H186" s="59">
        <f t="shared" si="2"/>
        <v>10386.32</v>
      </c>
    </row>
    <row r="187" spans="1:10" x14ac:dyDescent="0.35">
      <c r="A187" s="52" t="s">
        <v>220</v>
      </c>
      <c r="B187" s="52" t="s">
        <v>427</v>
      </c>
      <c r="C187" s="52" t="s">
        <v>229</v>
      </c>
      <c r="D187" s="57">
        <v>3.9125000000000021E-2</v>
      </c>
      <c r="E187" s="68">
        <v>1</v>
      </c>
      <c r="F187" s="69" t="s">
        <v>402</v>
      </c>
      <c r="G187" s="58">
        <v>20645</v>
      </c>
      <c r="H187" s="59">
        <f t="shared" si="2"/>
        <v>24567.55</v>
      </c>
    </row>
    <row r="188" spans="1:10" x14ac:dyDescent="0.35">
      <c r="A188" s="52" t="s">
        <v>220</v>
      </c>
      <c r="B188" s="52" t="s">
        <v>428</v>
      </c>
      <c r="C188" s="52" t="s">
        <v>229</v>
      </c>
      <c r="D188" s="57">
        <v>8.1900000000000014E-2</v>
      </c>
      <c r="E188" s="68">
        <v>1</v>
      </c>
      <c r="F188" s="69" t="s">
        <v>402</v>
      </c>
      <c r="G188" s="58">
        <v>17410</v>
      </c>
      <c r="H188" s="59">
        <f t="shared" si="2"/>
        <v>20717.899999999998</v>
      </c>
    </row>
    <row r="189" spans="1:10" x14ac:dyDescent="0.35">
      <c r="A189" s="52" t="s">
        <v>220</v>
      </c>
      <c r="B189" s="52" t="s">
        <v>429</v>
      </c>
      <c r="C189" s="52" t="s">
        <v>232</v>
      </c>
      <c r="D189" s="57">
        <v>0.25</v>
      </c>
      <c r="E189" s="68">
        <v>560</v>
      </c>
      <c r="F189" s="69" t="s">
        <v>522</v>
      </c>
      <c r="G189" s="58">
        <v>1210</v>
      </c>
      <c r="H189" s="59">
        <f t="shared" si="2"/>
        <v>1439.8999999999999</v>
      </c>
      <c r="J189" s="50"/>
    </row>
    <row r="190" spans="1:10" x14ac:dyDescent="0.35">
      <c r="A190" s="52" t="s">
        <v>220</v>
      </c>
      <c r="B190" s="52" t="s">
        <v>430</v>
      </c>
      <c r="C190" s="52" t="s">
        <v>242</v>
      </c>
      <c r="D190" s="57">
        <v>0.01</v>
      </c>
      <c r="E190" s="68">
        <v>1</v>
      </c>
      <c r="F190" s="69" t="s">
        <v>402</v>
      </c>
      <c r="G190" s="58">
        <v>7000</v>
      </c>
      <c r="H190" s="59">
        <f t="shared" si="2"/>
        <v>8330</v>
      </c>
    </row>
    <row r="191" spans="1:10" x14ac:dyDescent="0.35">
      <c r="A191" s="52" t="s">
        <v>220</v>
      </c>
      <c r="B191" s="52" t="s">
        <v>431</v>
      </c>
      <c r="C191" s="52" t="s">
        <v>229</v>
      </c>
      <c r="D191" s="57">
        <v>7.0000000000000007E-2</v>
      </c>
      <c r="E191" s="68">
        <v>1</v>
      </c>
      <c r="F191" s="69" t="s">
        <v>402</v>
      </c>
      <c r="G191" s="58">
        <v>2110</v>
      </c>
      <c r="H191" s="59">
        <f t="shared" si="2"/>
        <v>2510.9</v>
      </c>
    </row>
    <row r="192" spans="1:10" x14ac:dyDescent="0.35">
      <c r="A192" s="52" t="s">
        <v>220</v>
      </c>
      <c r="B192" s="52" t="s">
        <v>432</v>
      </c>
      <c r="C192" s="52" t="s">
        <v>229</v>
      </c>
      <c r="D192" s="57">
        <v>8.2812500000000011E-2</v>
      </c>
      <c r="E192" s="68">
        <v>500</v>
      </c>
      <c r="F192" s="69" t="s">
        <v>522</v>
      </c>
      <c r="G192" s="58">
        <v>1440</v>
      </c>
      <c r="H192" s="59">
        <f t="shared" si="2"/>
        <v>1713.6</v>
      </c>
    </row>
    <row r="193" spans="1:10" x14ac:dyDescent="0.35">
      <c r="A193" s="52" t="s">
        <v>220</v>
      </c>
      <c r="B193" s="52" t="s">
        <v>433</v>
      </c>
      <c r="C193" s="52" t="s">
        <v>242</v>
      </c>
      <c r="D193" s="57">
        <v>2.2499999999999998E-3</v>
      </c>
      <c r="E193" s="68">
        <v>300</v>
      </c>
      <c r="F193" s="69" t="s">
        <v>522</v>
      </c>
      <c r="G193" s="58">
        <v>31410</v>
      </c>
      <c r="H193" s="59">
        <f t="shared" si="2"/>
        <v>37377.9</v>
      </c>
    </row>
    <row r="194" spans="1:10" x14ac:dyDescent="0.35">
      <c r="A194" s="52" t="s">
        <v>220</v>
      </c>
      <c r="B194" s="52" t="s">
        <v>434</v>
      </c>
      <c r="C194" s="52" t="s">
        <v>242</v>
      </c>
      <c r="D194" s="57">
        <v>4.0000000000000001E-3</v>
      </c>
      <c r="E194" s="68">
        <v>600</v>
      </c>
      <c r="F194" s="69" t="s">
        <v>522</v>
      </c>
      <c r="G194" s="58">
        <v>33660</v>
      </c>
      <c r="H194" s="59">
        <f t="shared" ref="H194:H257" si="3">G194*1.19</f>
        <v>40055.4</v>
      </c>
    </row>
    <row r="195" spans="1:10" x14ac:dyDescent="0.35">
      <c r="A195" s="52" t="s">
        <v>220</v>
      </c>
      <c r="B195" s="52" t="s">
        <v>435</v>
      </c>
      <c r="C195" s="52" t="s">
        <v>242</v>
      </c>
      <c r="D195" s="57">
        <v>0.01</v>
      </c>
      <c r="E195" s="68">
        <v>3</v>
      </c>
      <c r="F195" s="69" t="s">
        <v>402</v>
      </c>
      <c r="G195" s="58">
        <v>68040</v>
      </c>
      <c r="H195" s="59">
        <f t="shared" si="3"/>
        <v>80967.599999999991</v>
      </c>
    </row>
    <row r="196" spans="1:10" x14ac:dyDescent="0.35">
      <c r="A196" s="52" t="s">
        <v>220</v>
      </c>
      <c r="B196" s="52" t="s">
        <v>436</v>
      </c>
      <c r="C196" s="52" t="s">
        <v>242</v>
      </c>
      <c r="D196" s="57">
        <v>1.7299999999999999E-2</v>
      </c>
      <c r="E196" s="68">
        <v>500</v>
      </c>
      <c r="F196" s="69" t="s">
        <v>522</v>
      </c>
      <c r="G196" s="58">
        <v>61830</v>
      </c>
      <c r="H196" s="59">
        <f t="shared" si="3"/>
        <v>73577.7</v>
      </c>
    </row>
    <row r="197" spans="1:10" x14ac:dyDescent="0.35">
      <c r="A197" s="52" t="s">
        <v>220</v>
      </c>
      <c r="B197" s="52" t="s">
        <v>437</v>
      </c>
      <c r="C197" s="52" t="s">
        <v>229</v>
      </c>
      <c r="D197" s="57">
        <v>8.0750000000000002E-2</v>
      </c>
      <c r="E197" s="68">
        <v>1</v>
      </c>
      <c r="F197" s="69" t="s">
        <v>402</v>
      </c>
      <c r="G197" s="58">
        <v>5740</v>
      </c>
      <c r="H197" s="59">
        <f t="shared" si="3"/>
        <v>6830.5999999999995</v>
      </c>
    </row>
    <row r="198" spans="1:10" x14ac:dyDescent="0.35">
      <c r="A198" s="52" t="s">
        <v>220</v>
      </c>
      <c r="B198" s="52" t="s">
        <v>438</v>
      </c>
      <c r="C198" s="52" t="s">
        <v>246</v>
      </c>
      <c r="D198" s="57">
        <v>0.105</v>
      </c>
      <c r="E198" s="68">
        <v>1</v>
      </c>
      <c r="F198" s="69" t="s">
        <v>402</v>
      </c>
      <c r="G198" s="58">
        <v>10924</v>
      </c>
      <c r="H198" s="59">
        <f t="shared" si="3"/>
        <v>12999.56</v>
      </c>
    </row>
    <row r="199" spans="1:10" x14ac:dyDescent="0.35">
      <c r="A199" s="52" t="s">
        <v>220</v>
      </c>
      <c r="B199" s="52" t="s">
        <v>439</v>
      </c>
      <c r="C199" s="52" t="s">
        <v>246</v>
      </c>
      <c r="D199" s="57">
        <v>1.2E-2</v>
      </c>
      <c r="E199" s="68">
        <v>1</v>
      </c>
      <c r="F199" s="69" t="s">
        <v>402</v>
      </c>
      <c r="G199" s="58">
        <v>5244</v>
      </c>
      <c r="H199" s="59">
        <f t="shared" si="3"/>
        <v>6240.36</v>
      </c>
    </row>
    <row r="200" spans="1:10" x14ac:dyDescent="0.35">
      <c r="A200" s="52" t="s">
        <v>220</v>
      </c>
      <c r="B200" s="52" t="s">
        <v>440</v>
      </c>
      <c r="C200" s="52" t="s">
        <v>246</v>
      </c>
      <c r="D200" s="57">
        <v>1.2E-2</v>
      </c>
      <c r="E200" s="68">
        <v>1</v>
      </c>
      <c r="F200" s="69" t="s">
        <v>402</v>
      </c>
      <c r="G200" s="58">
        <v>6555</v>
      </c>
      <c r="H200" s="59">
        <f t="shared" si="3"/>
        <v>7800.45</v>
      </c>
    </row>
    <row r="201" spans="1:10" x14ac:dyDescent="0.35">
      <c r="A201" s="52" t="s">
        <v>220</v>
      </c>
      <c r="B201" s="52" t="s">
        <v>441</v>
      </c>
      <c r="C201" s="52" t="s">
        <v>229</v>
      </c>
      <c r="D201" s="57">
        <v>1.2E-2</v>
      </c>
      <c r="E201" s="68">
        <v>11</v>
      </c>
      <c r="F201" s="69" t="s">
        <v>522</v>
      </c>
      <c r="G201" s="58">
        <v>1244</v>
      </c>
      <c r="H201" s="59">
        <f t="shared" si="3"/>
        <v>1480.36</v>
      </c>
    </row>
    <row r="202" spans="1:10" x14ac:dyDescent="0.35">
      <c r="A202" s="52" t="s">
        <v>220</v>
      </c>
      <c r="B202" s="52" t="s">
        <v>442</v>
      </c>
      <c r="C202" s="52" t="s">
        <v>337</v>
      </c>
      <c r="D202" s="57">
        <v>7.5000000000000002E-4</v>
      </c>
      <c r="E202" s="68">
        <v>1</v>
      </c>
      <c r="F202" s="69" t="s">
        <v>402</v>
      </c>
      <c r="G202" s="58">
        <v>5000</v>
      </c>
      <c r="H202" s="59">
        <f t="shared" si="3"/>
        <v>5950</v>
      </c>
    </row>
    <row r="203" spans="1:10" x14ac:dyDescent="0.35">
      <c r="A203" s="52" t="s">
        <v>220</v>
      </c>
      <c r="B203" s="52" t="s">
        <v>443</v>
      </c>
      <c r="C203" s="52" t="s">
        <v>229</v>
      </c>
      <c r="D203" s="57">
        <v>0.14399999999999999</v>
      </c>
      <c r="E203" s="68">
        <v>800</v>
      </c>
      <c r="F203" s="69" t="s">
        <v>522</v>
      </c>
      <c r="G203" s="58">
        <v>1630</v>
      </c>
      <c r="H203" s="59">
        <f t="shared" si="3"/>
        <v>1939.6999999999998</v>
      </c>
    </row>
    <row r="204" spans="1:10" x14ac:dyDescent="0.35">
      <c r="A204" s="52" t="s">
        <v>220</v>
      </c>
      <c r="B204" s="52" t="s">
        <v>444</v>
      </c>
      <c r="C204" s="52" t="s">
        <v>229</v>
      </c>
      <c r="D204" s="57">
        <v>0.30562499999999998</v>
      </c>
      <c r="E204" s="68">
        <v>800</v>
      </c>
      <c r="F204" s="69" t="s">
        <v>522</v>
      </c>
      <c r="G204" s="52">
        <v>1641</v>
      </c>
      <c r="H204" s="59">
        <f t="shared" si="3"/>
        <v>1952.79</v>
      </c>
    </row>
    <row r="205" spans="1:10" x14ac:dyDescent="0.35">
      <c r="A205" s="52" t="s">
        <v>220</v>
      </c>
      <c r="B205" s="52" t="s">
        <v>445</v>
      </c>
      <c r="C205" s="52" t="s">
        <v>229</v>
      </c>
      <c r="D205" s="57">
        <v>0.85950000000000015</v>
      </c>
      <c r="E205" s="68">
        <v>1</v>
      </c>
      <c r="F205" s="69" t="s">
        <v>402</v>
      </c>
      <c r="G205" s="58">
        <v>567</v>
      </c>
      <c r="H205" s="59">
        <f t="shared" si="3"/>
        <v>674.73</v>
      </c>
    </row>
    <row r="206" spans="1:10" x14ac:dyDescent="0.35">
      <c r="A206" s="52" t="s">
        <v>220</v>
      </c>
      <c r="B206" s="52" t="s">
        <v>446</v>
      </c>
      <c r="C206" s="52" t="s">
        <v>229</v>
      </c>
      <c r="D206" s="57">
        <v>7.1250000000000008E-2</v>
      </c>
      <c r="E206" s="68">
        <v>1</v>
      </c>
      <c r="F206" s="69" t="s">
        <v>402</v>
      </c>
      <c r="G206" s="58">
        <v>2229</v>
      </c>
      <c r="H206" s="59">
        <f t="shared" si="3"/>
        <v>2652.5099999999998</v>
      </c>
    </row>
    <row r="207" spans="1:10" x14ac:dyDescent="0.35">
      <c r="A207" s="52" t="s">
        <v>220</v>
      </c>
      <c r="B207" s="52" t="s">
        <v>447</v>
      </c>
      <c r="C207" s="52" t="s">
        <v>232</v>
      </c>
      <c r="D207" s="57">
        <v>1.4999999999999999E-2</v>
      </c>
      <c r="E207" s="68">
        <v>255</v>
      </c>
      <c r="F207" s="69" t="s">
        <v>522</v>
      </c>
      <c r="G207" s="58">
        <v>3941</v>
      </c>
      <c r="H207" s="59">
        <f t="shared" si="3"/>
        <v>4689.79</v>
      </c>
      <c r="J207" s="50"/>
    </row>
    <row r="208" spans="1:10" x14ac:dyDescent="0.35">
      <c r="A208" s="52" t="s">
        <v>220</v>
      </c>
      <c r="B208" s="52" t="s">
        <v>448</v>
      </c>
      <c r="C208" s="52" t="s">
        <v>246</v>
      </c>
      <c r="D208" s="57">
        <v>1.8749999999999999E-2</v>
      </c>
      <c r="E208" s="68">
        <v>1</v>
      </c>
      <c r="F208" s="69" t="s">
        <v>224</v>
      </c>
      <c r="G208" s="58">
        <v>5243</v>
      </c>
      <c r="H208" s="59">
        <f t="shared" si="3"/>
        <v>6239.17</v>
      </c>
    </row>
    <row r="209" spans="1:10" x14ac:dyDescent="0.35">
      <c r="A209" s="52" t="s">
        <v>220</v>
      </c>
      <c r="B209" s="52" t="s">
        <v>449</v>
      </c>
      <c r="C209" s="52" t="s">
        <v>229</v>
      </c>
      <c r="D209" s="57">
        <v>0.32800000000000001</v>
      </c>
      <c r="E209" s="68">
        <v>1</v>
      </c>
      <c r="F209" s="69" t="s">
        <v>222</v>
      </c>
      <c r="G209" s="58">
        <v>2819</v>
      </c>
      <c r="H209" s="59">
        <f t="shared" si="3"/>
        <v>3354.6099999999997</v>
      </c>
    </row>
    <row r="210" spans="1:10" x14ac:dyDescent="0.35">
      <c r="A210" s="52" t="s">
        <v>220</v>
      </c>
      <c r="B210" s="52" t="s">
        <v>450</v>
      </c>
      <c r="C210" s="52" t="s">
        <v>232</v>
      </c>
      <c r="D210" s="57">
        <v>0.1</v>
      </c>
      <c r="E210" s="68">
        <v>200</v>
      </c>
      <c r="F210" s="69" t="s">
        <v>522</v>
      </c>
      <c r="G210" s="58">
        <v>756</v>
      </c>
      <c r="H210" s="59">
        <f t="shared" si="3"/>
        <v>899.64</v>
      </c>
      <c r="J210" s="50"/>
    </row>
    <row r="211" spans="1:10" x14ac:dyDescent="0.35">
      <c r="A211" s="52" t="s">
        <v>220</v>
      </c>
      <c r="B211" s="52" t="s">
        <v>451</v>
      </c>
      <c r="C211" s="52" t="s">
        <v>229</v>
      </c>
      <c r="D211" s="57">
        <v>2.33125E-2</v>
      </c>
      <c r="E211" s="68">
        <v>1</v>
      </c>
      <c r="F211" s="69" t="s">
        <v>222</v>
      </c>
      <c r="G211" s="58">
        <v>4784</v>
      </c>
      <c r="H211" s="59">
        <f t="shared" si="3"/>
        <v>5692.96</v>
      </c>
    </row>
    <row r="212" spans="1:10" x14ac:dyDescent="0.35">
      <c r="A212" s="52" t="s">
        <v>220</v>
      </c>
      <c r="B212" s="52" t="s">
        <v>452</v>
      </c>
      <c r="C212" s="52" t="s">
        <v>246</v>
      </c>
      <c r="D212" s="57">
        <v>6.3E-2</v>
      </c>
      <c r="E212" s="68">
        <v>1</v>
      </c>
      <c r="F212" s="69" t="s">
        <v>402</v>
      </c>
      <c r="G212" s="58">
        <v>8193</v>
      </c>
      <c r="H212" s="59">
        <f t="shared" si="3"/>
        <v>9749.67</v>
      </c>
    </row>
    <row r="213" spans="1:10" x14ac:dyDescent="0.35">
      <c r="A213" s="52" t="s">
        <v>220</v>
      </c>
      <c r="B213" s="52" t="s">
        <v>453</v>
      </c>
      <c r="C213" s="52" t="s">
        <v>246</v>
      </c>
      <c r="D213" s="57">
        <v>2.2499999999999999E-2</v>
      </c>
      <c r="E213" s="68">
        <v>1</v>
      </c>
      <c r="F213" s="69" t="s">
        <v>402</v>
      </c>
      <c r="G213" s="58">
        <v>3933</v>
      </c>
      <c r="H213" s="59">
        <f t="shared" si="3"/>
        <v>4680.2699999999995</v>
      </c>
    </row>
    <row r="214" spans="1:10" x14ac:dyDescent="0.35">
      <c r="A214" s="52" t="s">
        <v>220</v>
      </c>
      <c r="B214" s="52" t="s">
        <v>454</v>
      </c>
      <c r="C214" s="52" t="s">
        <v>246</v>
      </c>
      <c r="D214" s="57">
        <v>4.6249999999999999E-2</v>
      </c>
      <c r="E214" s="68">
        <v>1</v>
      </c>
      <c r="F214" s="69" t="s">
        <v>402</v>
      </c>
      <c r="G214" s="58">
        <v>7647</v>
      </c>
      <c r="H214" s="59">
        <f t="shared" si="3"/>
        <v>9099.93</v>
      </c>
    </row>
    <row r="215" spans="1:10" x14ac:dyDescent="0.35">
      <c r="A215" s="52" t="s">
        <v>220</v>
      </c>
      <c r="B215" s="52" t="s">
        <v>455</v>
      </c>
      <c r="C215" s="52" t="s">
        <v>246</v>
      </c>
      <c r="D215" s="57">
        <v>7.9000000000000008E-3</v>
      </c>
      <c r="E215" s="68">
        <v>1</v>
      </c>
      <c r="F215" s="69" t="s">
        <v>402</v>
      </c>
      <c r="G215" s="58">
        <v>4588</v>
      </c>
      <c r="H215" s="59">
        <f t="shared" si="3"/>
        <v>5459.7199999999993</v>
      </c>
    </row>
    <row r="216" spans="1:10" x14ac:dyDescent="0.35">
      <c r="A216" s="52" t="s">
        <v>220</v>
      </c>
      <c r="B216" s="52" t="s">
        <v>456</v>
      </c>
      <c r="C216" s="52" t="s">
        <v>246</v>
      </c>
      <c r="D216" s="57">
        <v>4.4999999999999998E-2</v>
      </c>
      <c r="E216" s="68">
        <v>1</v>
      </c>
      <c r="F216" s="69" t="s">
        <v>402</v>
      </c>
      <c r="G216" s="58">
        <v>8193</v>
      </c>
      <c r="H216" s="59">
        <f t="shared" si="3"/>
        <v>9749.67</v>
      </c>
    </row>
    <row r="217" spans="1:10" x14ac:dyDescent="0.35">
      <c r="A217" s="52" t="s">
        <v>220</v>
      </c>
      <c r="B217" s="52" t="s">
        <v>457</v>
      </c>
      <c r="C217" s="52" t="s">
        <v>246</v>
      </c>
      <c r="D217" s="57">
        <v>2E-3</v>
      </c>
      <c r="E217" s="68">
        <v>1</v>
      </c>
      <c r="F217" s="69" t="s">
        <v>402</v>
      </c>
      <c r="G217" s="58">
        <v>10706</v>
      </c>
      <c r="H217" s="59">
        <f t="shared" si="3"/>
        <v>12740.14</v>
      </c>
    </row>
    <row r="218" spans="1:10" x14ac:dyDescent="0.35">
      <c r="A218" s="52" t="s">
        <v>220</v>
      </c>
      <c r="B218" s="52" t="s">
        <v>458</v>
      </c>
      <c r="C218" s="52" t="s">
        <v>229</v>
      </c>
      <c r="D218" s="57">
        <v>5.2600000000000001E-2</v>
      </c>
      <c r="E218" s="68">
        <v>1</v>
      </c>
      <c r="F218" s="69" t="s">
        <v>402</v>
      </c>
      <c r="G218" s="58">
        <v>7129</v>
      </c>
      <c r="H218" s="59">
        <f t="shared" si="3"/>
        <v>8483.51</v>
      </c>
    </row>
    <row r="219" spans="1:10" x14ac:dyDescent="0.35">
      <c r="A219" s="52" t="s">
        <v>220</v>
      </c>
      <c r="B219" s="52" t="s">
        <v>459</v>
      </c>
      <c r="C219" s="52" t="s">
        <v>229</v>
      </c>
      <c r="D219" s="57">
        <v>9.1750000000000012E-2</v>
      </c>
      <c r="E219" s="68">
        <v>1</v>
      </c>
      <c r="F219" s="69" t="s">
        <v>402</v>
      </c>
      <c r="G219" s="58">
        <v>7095</v>
      </c>
      <c r="H219" s="59">
        <f t="shared" si="3"/>
        <v>8443.0499999999993</v>
      </c>
    </row>
    <row r="220" spans="1:10" x14ac:dyDescent="0.35">
      <c r="A220" s="52" t="s">
        <v>220</v>
      </c>
      <c r="B220" s="52" t="s">
        <v>460</v>
      </c>
      <c r="C220" s="52" t="s">
        <v>229</v>
      </c>
      <c r="D220" s="57">
        <v>3.5000000000000003E-2</v>
      </c>
      <c r="E220" s="68">
        <v>1</v>
      </c>
      <c r="F220" s="69" t="s">
        <v>402</v>
      </c>
      <c r="G220" s="58">
        <v>2080</v>
      </c>
      <c r="H220" s="59">
        <f t="shared" si="3"/>
        <v>2475.1999999999998</v>
      </c>
    </row>
    <row r="221" spans="1:10" x14ac:dyDescent="0.35">
      <c r="A221" s="52" t="s">
        <v>220</v>
      </c>
      <c r="B221" s="52" t="s">
        <v>461</v>
      </c>
      <c r="C221" s="52" t="s">
        <v>242</v>
      </c>
      <c r="D221" s="57">
        <v>1.6E-2</v>
      </c>
      <c r="E221" s="68">
        <v>750</v>
      </c>
      <c r="F221" s="69" t="s">
        <v>522</v>
      </c>
      <c r="G221" s="58">
        <v>11970</v>
      </c>
      <c r="H221" s="59">
        <f t="shared" si="3"/>
        <v>14244.3</v>
      </c>
    </row>
    <row r="222" spans="1:10" x14ac:dyDescent="0.35">
      <c r="A222" s="52" t="s">
        <v>220</v>
      </c>
      <c r="B222" s="52" t="s">
        <v>462</v>
      </c>
      <c r="C222" s="52" t="s">
        <v>242</v>
      </c>
      <c r="D222" s="57">
        <v>1.875E-4</v>
      </c>
      <c r="E222" s="68">
        <v>250</v>
      </c>
      <c r="F222" s="69" t="s">
        <v>522</v>
      </c>
      <c r="G222" s="58">
        <v>12000</v>
      </c>
      <c r="H222" s="59">
        <f t="shared" si="3"/>
        <v>14280</v>
      </c>
    </row>
    <row r="223" spans="1:10" x14ac:dyDescent="0.35">
      <c r="A223" s="52" t="s">
        <v>220</v>
      </c>
      <c r="B223" s="52" t="s">
        <v>463</v>
      </c>
      <c r="C223" s="52" t="s">
        <v>232</v>
      </c>
      <c r="D223" s="57">
        <v>4.6250000000000006E-3</v>
      </c>
      <c r="E223" s="68">
        <v>142</v>
      </c>
      <c r="F223" s="69" t="s">
        <v>522</v>
      </c>
      <c r="G223" s="58">
        <v>3773</v>
      </c>
      <c r="H223" s="59">
        <f t="shared" si="3"/>
        <v>4489.87</v>
      </c>
      <c r="J223" s="50"/>
    </row>
    <row r="224" spans="1:10" x14ac:dyDescent="0.35">
      <c r="A224" s="52" t="s">
        <v>220</v>
      </c>
      <c r="B224" s="52" t="s">
        <v>464</v>
      </c>
      <c r="C224" s="52" t="s">
        <v>229</v>
      </c>
      <c r="D224" s="57">
        <v>1.7625000000000002E-2</v>
      </c>
      <c r="E224" s="68">
        <v>90</v>
      </c>
      <c r="F224" s="69" t="s">
        <v>522</v>
      </c>
      <c r="G224" s="58">
        <v>5998</v>
      </c>
      <c r="H224" s="59">
        <f t="shared" si="3"/>
        <v>7137.62</v>
      </c>
    </row>
    <row r="225" spans="1:10" x14ac:dyDescent="0.35">
      <c r="A225" s="52" t="s">
        <v>220</v>
      </c>
      <c r="B225" s="52" t="s">
        <v>465</v>
      </c>
      <c r="C225" s="52" t="s">
        <v>246</v>
      </c>
      <c r="D225" s="57">
        <v>2.5000000000000001E-3</v>
      </c>
      <c r="E225" s="68">
        <v>1</v>
      </c>
      <c r="F225" s="69" t="s">
        <v>522</v>
      </c>
      <c r="G225" s="58">
        <v>2</v>
      </c>
      <c r="H225" s="59">
        <f t="shared" si="3"/>
        <v>2.38</v>
      </c>
    </row>
    <row r="226" spans="1:10" x14ac:dyDescent="0.35">
      <c r="A226" s="52" t="s">
        <v>220</v>
      </c>
      <c r="B226" s="52" t="s">
        <v>466</v>
      </c>
      <c r="C226" s="52" t="s">
        <v>229</v>
      </c>
      <c r="D226" s="57">
        <v>2.5</v>
      </c>
      <c r="E226" s="68">
        <v>12</v>
      </c>
      <c r="F226" s="69" t="s">
        <v>259</v>
      </c>
      <c r="G226" s="58">
        <v>1151</v>
      </c>
      <c r="H226" s="59">
        <f t="shared" si="3"/>
        <v>1369.6899999999998</v>
      </c>
    </row>
    <row r="227" spans="1:10" x14ac:dyDescent="0.35">
      <c r="A227" s="52" t="s">
        <v>220</v>
      </c>
      <c r="B227" s="52" t="s">
        <v>467</v>
      </c>
      <c r="C227" s="52" t="s">
        <v>229</v>
      </c>
      <c r="D227" s="57">
        <v>0.2205</v>
      </c>
      <c r="E227" s="68">
        <v>12</v>
      </c>
      <c r="F227" s="69" t="s">
        <v>259</v>
      </c>
      <c r="G227" s="58">
        <v>1151</v>
      </c>
      <c r="H227" s="59">
        <f t="shared" si="3"/>
        <v>1369.6899999999998</v>
      </c>
    </row>
    <row r="228" spans="1:10" x14ac:dyDescent="0.35">
      <c r="A228" s="52" t="s">
        <v>220</v>
      </c>
      <c r="B228" s="52" t="s">
        <v>468</v>
      </c>
      <c r="C228" s="52" t="s">
        <v>242</v>
      </c>
      <c r="D228" s="57">
        <v>7.5000000000000002E-4</v>
      </c>
      <c r="E228" s="68">
        <v>500</v>
      </c>
      <c r="F228" s="69" t="s">
        <v>522</v>
      </c>
      <c r="G228" s="58">
        <v>24300</v>
      </c>
      <c r="H228" s="59">
        <f t="shared" si="3"/>
        <v>28917</v>
      </c>
    </row>
    <row r="229" spans="1:10" x14ac:dyDescent="0.35">
      <c r="A229" s="52" t="s">
        <v>220</v>
      </c>
      <c r="B229" s="52" t="s">
        <v>469</v>
      </c>
      <c r="C229" s="52" t="s">
        <v>246</v>
      </c>
      <c r="D229" s="57">
        <v>4.7125E-2</v>
      </c>
      <c r="E229" s="68">
        <v>1</v>
      </c>
      <c r="F229" s="69" t="s">
        <v>402</v>
      </c>
      <c r="G229" s="58">
        <v>3824</v>
      </c>
      <c r="H229" s="59">
        <f t="shared" si="3"/>
        <v>4550.5599999999995</v>
      </c>
    </row>
    <row r="230" spans="1:10" x14ac:dyDescent="0.35">
      <c r="A230" s="52" t="s">
        <v>220</v>
      </c>
      <c r="B230" s="52" t="s">
        <v>470</v>
      </c>
      <c r="C230" s="52" t="s">
        <v>229</v>
      </c>
      <c r="D230" s="57">
        <v>0.18999999999999997</v>
      </c>
      <c r="E230" s="68">
        <v>1</v>
      </c>
      <c r="F230" s="69" t="s">
        <v>402</v>
      </c>
      <c r="G230" s="58">
        <v>2392</v>
      </c>
      <c r="H230" s="59">
        <f t="shared" si="3"/>
        <v>2846.48</v>
      </c>
    </row>
    <row r="231" spans="1:10" x14ac:dyDescent="0.35">
      <c r="A231" s="52" t="s">
        <v>220</v>
      </c>
      <c r="B231" s="52" t="s">
        <v>471</v>
      </c>
      <c r="C231" s="52" t="s">
        <v>242</v>
      </c>
      <c r="D231" s="57">
        <v>4.6175000000000006</v>
      </c>
      <c r="E231" s="68">
        <v>1</v>
      </c>
      <c r="F231" s="69" t="s">
        <v>259</v>
      </c>
      <c r="G231" s="58">
        <v>62775</v>
      </c>
      <c r="H231" s="59">
        <f t="shared" si="3"/>
        <v>74702.25</v>
      </c>
    </row>
    <row r="232" spans="1:10" x14ac:dyDescent="0.35">
      <c r="A232" s="52" t="s">
        <v>220</v>
      </c>
      <c r="B232" s="52" t="s">
        <v>472</v>
      </c>
      <c r="C232" s="52" t="s">
        <v>229</v>
      </c>
      <c r="D232" s="57">
        <v>0.49906250000000002</v>
      </c>
      <c r="E232" s="68">
        <v>5</v>
      </c>
      <c r="F232" s="69" t="s">
        <v>224</v>
      </c>
      <c r="G232" s="58">
        <v>4272</v>
      </c>
      <c r="H232" s="59">
        <f t="shared" si="3"/>
        <v>5083.6799999999994</v>
      </c>
    </row>
    <row r="233" spans="1:10" x14ac:dyDescent="0.35">
      <c r="A233" s="52" t="s">
        <v>220</v>
      </c>
      <c r="B233" s="52" t="s">
        <v>473</v>
      </c>
      <c r="C233" s="52" t="s">
        <v>246</v>
      </c>
      <c r="D233" s="57">
        <v>1E-3</v>
      </c>
      <c r="E233" s="68">
        <v>1</v>
      </c>
      <c r="F233" s="69" t="s">
        <v>224</v>
      </c>
      <c r="G233" s="58">
        <v>1748</v>
      </c>
      <c r="H233" s="59">
        <f t="shared" si="3"/>
        <v>2080.12</v>
      </c>
    </row>
    <row r="234" spans="1:10" x14ac:dyDescent="0.35">
      <c r="A234" s="52" t="s">
        <v>220</v>
      </c>
      <c r="B234" s="52" t="s">
        <v>474</v>
      </c>
      <c r="C234" s="52" t="s">
        <v>229</v>
      </c>
      <c r="D234" s="57">
        <v>9.8500000000000004E-2</v>
      </c>
      <c r="E234" s="68">
        <v>500</v>
      </c>
      <c r="F234" s="69" t="s">
        <v>895</v>
      </c>
      <c r="G234" s="58">
        <v>2702</v>
      </c>
      <c r="H234" s="59">
        <f t="shared" si="3"/>
        <v>3215.3799999999997</v>
      </c>
    </row>
    <row r="235" spans="1:10" x14ac:dyDescent="0.35">
      <c r="A235" s="52" t="s">
        <v>220</v>
      </c>
      <c r="B235" s="52" t="s">
        <v>475</v>
      </c>
      <c r="C235" s="52" t="s">
        <v>246</v>
      </c>
      <c r="D235" s="57">
        <v>1.11875E-2</v>
      </c>
      <c r="E235" s="68">
        <v>250</v>
      </c>
      <c r="F235" s="69" t="s">
        <v>895</v>
      </c>
      <c r="G235" s="58">
        <v>3266</v>
      </c>
      <c r="H235" s="59">
        <f t="shared" si="3"/>
        <v>3886.54</v>
      </c>
    </row>
    <row r="236" spans="1:10" x14ac:dyDescent="0.35">
      <c r="A236" s="52" t="s">
        <v>220</v>
      </c>
      <c r="B236" s="52" t="s">
        <v>476</v>
      </c>
      <c r="C236" s="52" t="s">
        <v>229</v>
      </c>
      <c r="D236" s="57">
        <v>8.1000000000000016E-2</v>
      </c>
      <c r="E236" s="68">
        <v>5</v>
      </c>
      <c r="F236" s="69" t="s">
        <v>222</v>
      </c>
      <c r="G236" s="58">
        <v>9949</v>
      </c>
      <c r="H236" s="59">
        <f t="shared" si="3"/>
        <v>11839.31</v>
      </c>
    </row>
    <row r="237" spans="1:10" x14ac:dyDescent="0.35">
      <c r="A237" s="52" t="s">
        <v>220</v>
      </c>
      <c r="B237" s="52" t="s">
        <v>477</v>
      </c>
      <c r="C237" s="52" t="s">
        <v>229</v>
      </c>
      <c r="D237" s="57">
        <v>0.28375</v>
      </c>
      <c r="E237" s="68">
        <v>5</v>
      </c>
      <c r="F237" s="69" t="s">
        <v>222</v>
      </c>
      <c r="G237" s="58">
        <v>4435</v>
      </c>
      <c r="H237" s="59">
        <f t="shared" si="3"/>
        <v>5277.65</v>
      </c>
    </row>
    <row r="238" spans="1:10" x14ac:dyDescent="0.35">
      <c r="A238" s="52" t="s">
        <v>220</v>
      </c>
      <c r="B238" s="52" t="s">
        <v>478</v>
      </c>
      <c r="C238" s="52" t="s">
        <v>246</v>
      </c>
      <c r="D238" s="57">
        <v>5.0000000000000001E-3</v>
      </c>
      <c r="E238" s="68">
        <v>1</v>
      </c>
      <c r="F238" s="69" t="s">
        <v>402</v>
      </c>
      <c r="G238" s="58">
        <v>9832</v>
      </c>
      <c r="H238" s="59">
        <f t="shared" si="3"/>
        <v>11700.08</v>
      </c>
    </row>
    <row r="239" spans="1:10" x14ac:dyDescent="0.35">
      <c r="A239" s="52" t="s">
        <v>220</v>
      </c>
      <c r="B239" s="52" t="s">
        <v>479</v>
      </c>
      <c r="C239" s="52" t="s">
        <v>246</v>
      </c>
      <c r="D239" s="57">
        <v>3.6250000000000002E-3</v>
      </c>
      <c r="E239" s="68">
        <v>1.5</v>
      </c>
      <c r="F239" s="69" t="s">
        <v>402</v>
      </c>
      <c r="G239" s="58">
        <v>104655</v>
      </c>
      <c r="H239" s="59">
        <f t="shared" si="3"/>
        <v>124539.45</v>
      </c>
    </row>
    <row r="240" spans="1:10" x14ac:dyDescent="0.35">
      <c r="A240" s="52" t="s">
        <v>480</v>
      </c>
      <c r="B240" s="52" t="s">
        <v>481</v>
      </c>
      <c r="C240" s="52" t="s">
        <v>263</v>
      </c>
      <c r="D240" s="57">
        <v>2.5000000000000001E-3</v>
      </c>
      <c r="E240" s="68">
        <v>300</v>
      </c>
      <c r="F240" s="69" t="s">
        <v>895</v>
      </c>
      <c r="G240" s="58">
        <v>4215</v>
      </c>
      <c r="H240" s="59">
        <f t="shared" si="3"/>
        <v>5015.8499999999995</v>
      </c>
      <c r="J240" s="50"/>
    </row>
    <row r="241" spans="1:10" x14ac:dyDescent="0.35">
      <c r="A241" s="52" t="s">
        <v>480</v>
      </c>
      <c r="B241" s="52" t="s">
        <v>482</v>
      </c>
      <c r="C241" s="52" t="s">
        <v>232</v>
      </c>
      <c r="D241" s="57">
        <v>0.05</v>
      </c>
      <c r="E241" s="68">
        <v>1.6</v>
      </c>
      <c r="F241" s="69" t="s">
        <v>222</v>
      </c>
      <c r="G241" s="58">
        <v>832</v>
      </c>
      <c r="H241" s="59">
        <f t="shared" si="3"/>
        <v>990.07999999999993</v>
      </c>
      <c r="J241" s="50"/>
    </row>
    <row r="242" spans="1:10" x14ac:dyDescent="0.35">
      <c r="A242" s="52" t="s">
        <v>483</v>
      </c>
      <c r="B242" s="52" t="s">
        <v>484</v>
      </c>
      <c r="C242" s="52" t="s">
        <v>246</v>
      </c>
      <c r="D242" s="57">
        <v>3.7499999999999999E-3</v>
      </c>
      <c r="E242" s="68">
        <v>60</v>
      </c>
      <c r="F242" s="69" t="s">
        <v>522</v>
      </c>
      <c r="G242" s="58">
        <v>3605</v>
      </c>
      <c r="H242" s="59">
        <f t="shared" si="3"/>
        <v>4289.95</v>
      </c>
    </row>
    <row r="243" spans="1:10" x14ac:dyDescent="0.35">
      <c r="A243" s="52" t="s">
        <v>485</v>
      </c>
      <c r="B243" s="52" t="s">
        <v>486</v>
      </c>
      <c r="C243" s="52" t="s">
        <v>487</v>
      </c>
      <c r="D243" s="57">
        <v>4.3749999999999997E-2</v>
      </c>
      <c r="E243" s="68">
        <v>2</v>
      </c>
      <c r="F243" s="69" t="s">
        <v>402</v>
      </c>
      <c r="G243" s="58">
        <v>24900</v>
      </c>
      <c r="H243" s="59">
        <f t="shared" si="3"/>
        <v>29631</v>
      </c>
    </row>
    <row r="244" spans="1:10" x14ac:dyDescent="0.35">
      <c r="A244" s="52" t="s">
        <v>485</v>
      </c>
      <c r="B244" s="52" t="s">
        <v>488</v>
      </c>
      <c r="C244" s="52" t="s">
        <v>487</v>
      </c>
      <c r="D244" s="57">
        <v>3</v>
      </c>
      <c r="E244" s="68">
        <v>1</v>
      </c>
      <c r="F244" s="69" t="s">
        <v>259</v>
      </c>
      <c r="G244" s="58">
        <v>340</v>
      </c>
      <c r="H244" s="59">
        <f t="shared" si="3"/>
        <v>404.59999999999997</v>
      </c>
    </row>
    <row r="245" spans="1:10" x14ac:dyDescent="0.35">
      <c r="A245" s="52" t="s">
        <v>485</v>
      </c>
      <c r="B245" s="52" t="s">
        <v>489</v>
      </c>
      <c r="C245" s="52" t="s">
        <v>487</v>
      </c>
      <c r="D245" s="57">
        <v>4</v>
      </c>
      <c r="E245" s="68">
        <v>1</v>
      </c>
      <c r="F245" s="69" t="s">
        <v>259</v>
      </c>
      <c r="G245" s="58">
        <v>180</v>
      </c>
      <c r="H245" s="59">
        <f t="shared" si="3"/>
        <v>214.2</v>
      </c>
    </row>
    <row r="246" spans="1:10" x14ac:dyDescent="0.35">
      <c r="A246" s="52" t="s">
        <v>485</v>
      </c>
      <c r="B246" s="52" t="s">
        <v>490</v>
      </c>
      <c r="C246" s="52" t="s">
        <v>487</v>
      </c>
      <c r="D246" s="57">
        <v>2.75</v>
      </c>
      <c r="E246" s="68">
        <v>100</v>
      </c>
      <c r="F246" s="69" t="s">
        <v>259</v>
      </c>
      <c r="G246" s="58">
        <v>7900</v>
      </c>
      <c r="H246" s="59">
        <f t="shared" si="3"/>
        <v>9401</v>
      </c>
    </row>
    <row r="247" spans="1:10" x14ac:dyDescent="0.35">
      <c r="A247" s="52" t="s">
        <v>485</v>
      </c>
      <c r="B247" s="52" t="s">
        <v>491</v>
      </c>
      <c r="C247" s="52" t="s">
        <v>487</v>
      </c>
      <c r="D247" s="57">
        <v>0.875</v>
      </c>
      <c r="E247" s="68">
        <v>100</v>
      </c>
      <c r="F247" s="69" t="s">
        <v>259</v>
      </c>
      <c r="G247" s="58">
        <v>14900</v>
      </c>
      <c r="H247" s="59">
        <f t="shared" si="3"/>
        <v>17731</v>
      </c>
    </row>
    <row r="248" spans="1:10" x14ac:dyDescent="0.35">
      <c r="A248" s="52" t="s">
        <v>485</v>
      </c>
      <c r="B248" s="52" t="s">
        <v>492</v>
      </c>
      <c r="C248" s="52" t="s">
        <v>487</v>
      </c>
      <c r="D248" s="57">
        <v>4</v>
      </c>
      <c r="E248" s="68">
        <v>100</v>
      </c>
      <c r="F248" s="69" t="s">
        <v>259</v>
      </c>
      <c r="G248" s="58">
        <v>19900</v>
      </c>
      <c r="H248" s="59">
        <f t="shared" si="3"/>
        <v>23681</v>
      </c>
    </row>
    <row r="249" spans="1:10" x14ac:dyDescent="0.35">
      <c r="A249" s="52" t="s">
        <v>485</v>
      </c>
      <c r="B249" s="52" t="s">
        <v>493</v>
      </c>
      <c r="C249" s="52" t="s">
        <v>487</v>
      </c>
      <c r="D249" s="57">
        <v>0.22600000000000001</v>
      </c>
      <c r="E249" s="68">
        <v>100</v>
      </c>
      <c r="F249" s="69" t="s">
        <v>259</v>
      </c>
      <c r="G249" s="58">
        <v>1890</v>
      </c>
      <c r="H249" s="59">
        <f t="shared" si="3"/>
        <v>2249.1</v>
      </c>
    </row>
    <row r="250" spans="1:10" x14ac:dyDescent="0.35">
      <c r="A250" s="52" t="s">
        <v>485</v>
      </c>
      <c r="B250" s="52" t="s">
        <v>494</v>
      </c>
      <c r="C250" s="52" t="s">
        <v>487</v>
      </c>
      <c r="D250" s="57">
        <v>0.1</v>
      </c>
      <c r="E250" s="68">
        <v>50</v>
      </c>
      <c r="F250" s="69" t="s">
        <v>259</v>
      </c>
      <c r="G250" s="58">
        <v>1890</v>
      </c>
      <c r="H250" s="59">
        <f t="shared" si="3"/>
        <v>2249.1</v>
      </c>
    </row>
    <row r="251" spans="1:10" x14ac:dyDescent="0.35">
      <c r="A251" s="52" t="s">
        <v>485</v>
      </c>
      <c r="B251" s="52" t="s">
        <v>495</v>
      </c>
      <c r="C251" s="52" t="s">
        <v>487</v>
      </c>
      <c r="D251" s="57">
        <v>0.5</v>
      </c>
      <c r="E251" s="68">
        <v>1</v>
      </c>
      <c r="F251" s="69" t="s">
        <v>259</v>
      </c>
      <c r="G251" s="58">
        <v>9900</v>
      </c>
      <c r="H251" s="59">
        <f t="shared" si="3"/>
        <v>11781</v>
      </c>
    </row>
    <row r="252" spans="1:10" x14ac:dyDescent="0.35">
      <c r="A252" s="52" t="s">
        <v>485</v>
      </c>
      <c r="B252" s="52" t="s">
        <v>496</v>
      </c>
      <c r="C252" s="52" t="s">
        <v>487</v>
      </c>
      <c r="D252" s="57">
        <v>2.5</v>
      </c>
      <c r="E252" s="68">
        <v>100</v>
      </c>
      <c r="F252" s="69" t="s">
        <v>259</v>
      </c>
      <c r="G252" s="58">
        <v>1890</v>
      </c>
      <c r="H252" s="59">
        <f t="shared" si="3"/>
        <v>2249.1</v>
      </c>
    </row>
    <row r="253" spans="1:10" x14ac:dyDescent="0.35">
      <c r="A253" s="52" t="s">
        <v>485</v>
      </c>
      <c r="B253" s="52" t="s">
        <v>497</v>
      </c>
      <c r="C253" s="52" t="s">
        <v>242</v>
      </c>
      <c r="D253" s="57">
        <v>2</v>
      </c>
      <c r="E253" s="68">
        <v>10</v>
      </c>
      <c r="F253" s="69" t="s">
        <v>259</v>
      </c>
      <c r="G253" s="58">
        <v>6750</v>
      </c>
      <c r="H253" s="59">
        <f t="shared" si="3"/>
        <v>8032.5</v>
      </c>
    </row>
    <row r="254" spans="1:10" x14ac:dyDescent="0.35">
      <c r="A254" s="52" t="s">
        <v>485</v>
      </c>
      <c r="B254" s="52" t="s">
        <v>498</v>
      </c>
      <c r="C254" s="52" t="s">
        <v>487</v>
      </c>
      <c r="D254" s="57">
        <v>1</v>
      </c>
      <c r="E254" s="68">
        <v>50</v>
      </c>
      <c r="F254" s="69" t="s">
        <v>259</v>
      </c>
      <c r="G254" s="58">
        <v>6900</v>
      </c>
      <c r="H254" s="59">
        <f t="shared" si="3"/>
        <v>8211</v>
      </c>
    </row>
    <row r="255" spans="1:10" x14ac:dyDescent="0.35">
      <c r="A255" s="52" t="s">
        <v>485</v>
      </c>
      <c r="B255" s="52" t="s">
        <v>499</v>
      </c>
      <c r="C255" s="52" t="s">
        <v>487</v>
      </c>
      <c r="D255" s="57">
        <v>2</v>
      </c>
      <c r="E255" s="68">
        <v>1</v>
      </c>
      <c r="F255" s="69" t="s">
        <v>259</v>
      </c>
      <c r="G255" s="58">
        <v>890</v>
      </c>
      <c r="H255" s="59">
        <f t="shared" si="3"/>
        <v>1059.0999999999999</v>
      </c>
    </row>
    <row r="256" spans="1:10" x14ac:dyDescent="0.35">
      <c r="A256" s="52" t="s">
        <v>485</v>
      </c>
      <c r="B256" s="52" t="s">
        <v>500</v>
      </c>
      <c r="C256" s="52" t="s">
        <v>487</v>
      </c>
      <c r="D256" s="57">
        <v>1</v>
      </c>
      <c r="E256" s="68">
        <v>1</v>
      </c>
      <c r="F256" s="69" t="s">
        <v>259</v>
      </c>
      <c r="G256" s="58">
        <v>1490</v>
      </c>
      <c r="H256" s="59">
        <f t="shared" si="3"/>
        <v>1773.1</v>
      </c>
    </row>
    <row r="257" spans="1:8" x14ac:dyDescent="0.35">
      <c r="A257" s="52" t="s">
        <v>485</v>
      </c>
      <c r="B257" s="52" t="s">
        <v>501</v>
      </c>
      <c r="C257" s="52" t="s">
        <v>487</v>
      </c>
      <c r="D257" s="57">
        <v>0.2</v>
      </c>
      <c r="E257" s="68">
        <v>1</v>
      </c>
      <c r="F257" s="69" t="s">
        <v>259</v>
      </c>
      <c r="G257" s="58">
        <v>3990</v>
      </c>
      <c r="H257" s="59">
        <f t="shared" si="3"/>
        <v>4748.0999999999995</v>
      </c>
    </row>
    <row r="258" spans="1:8" x14ac:dyDescent="0.35">
      <c r="A258" s="52" t="s">
        <v>485</v>
      </c>
      <c r="B258" s="52" t="s">
        <v>502</v>
      </c>
      <c r="C258" s="52" t="s">
        <v>242</v>
      </c>
      <c r="D258" s="57">
        <v>25</v>
      </c>
      <c r="E258" s="68">
        <v>100</v>
      </c>
      <c r="F258" s="69" t="s">
        <v>259</v>
      </c>
      <c r="G258" s="58">
        <v>12330</v>
      </c>
      <c r="H258" s="59">
        <f t="shared" ref="H258:H321" si="4">G258*1.19</f>
        <v>14672.699999999999</v>
      </c>
    </row>
    <row r="259" spans="1:8" x14ac:dyDescent="0.35">
      <c r="A259" s="52" t="s">
        <v>485</v>
      </c>
      <c r="B259" s="52" t="s">
        <v>503</v>
      </c>
      <c r="C259" s="52" t="s">
        <v>242</v>
      </c>
      <c r="D259" s="57">
        <v>17.5</v>
      </c>
      <c r="E259" s="68">
        <v>100</v>
      </c>
      <c r="F259" s="69" t="s">
        <v>259</v>
      </c>
      <c r="G259" s="58">
        <v>12330</v>
      </c>
      <c r="H259" s="59">
        <f t="shared" si="4"/>
        <v>14672.699999999999</v>
      </c>
    </row>
    <row r="260" spans="1:8" x14ac:dyDescent="0.35">
      <c r="A260" s="52" t="s">
        <v>485</v>
      </c>
      <c r="B260" s="52" t="s">
        <v>504</v>
      </c>
      <c r="C260" s="52" t="s">
        <v>487</v>
      </c>
      <c r="D260" s="57">
        <v>12.5</v>
      </c>
      <c r="E260" s="68">
        <v>1</v>
      </c>
      <c r="F260" s="69" t="s">
        <v>259</v>
      </c>
      <c r="G260" s="58">
        <v>220</v>
      </c>
      <c r="H260" s="59">
        <f t="shared" si="4"/>
        <v>261.8</v>
      </c>
    </row>
    <row r="261" spans="1:8" x14ac:dyDescent="0.35">
      <c r="A261" s="52" t="s">
        <v>485</v>
      </c>
      <c r="B261" s="52" t="s">
        <v>505</v>
      </c>
      <c r="C261" s="52" t="s">
        <v>487</v>
      </c>
      <c r="D261" s="57">
        <v>0.5</v>
      </c>
      <c r="E261" s="68">
        <v>1</v>
      </c>
      <c r="F261" s="69" t="s">
        <v>259</v>
      </c>
      <c r="G261" s="58">
        <v>790</v>
      </c>
      <c r="H261" s="59">
        <f t="shared" si="4"/>
        <v>940.09999999999991</v>
      </c>
    </row>
    <row r="262" spans="1:8" x14ac:dyDescent="0.35">
      <c r="A262" s="52" t="s">
        <v>485</v>
      </c>
      <c r="B262" s="52" t="s">
        <v>506</v>
      </c>
      <c r="C262" s="52" t="s">
        <v>487</v>
      </c>
      <c r="D262" s="57">
        <v>2</v>
      </c>
      <c r="E262" s="68">
        <v>50</v>
      </c>
      <c r="F262" s="69" t="s">
        <v>259</v>
      </c>
      <c r="G262" s="58">
        <v>14900</v>
      </c>
      <c r="H262" s="59">
        <f t="shared" si="4"/>
        <v>17731</v>
      </c>
    </row>
    <row r="263" spans="1:8" x14ac:dyDescent="0.35">
      <c r="A263" s="52" t="s">
        <v>485</v>
      </c>
      <c r="B263" s="52" t="s">
        <v>507</v>
      </c>
      <c r="C263" s="52" t="s">
        <v>487</v>
      </c>
      <c r="D263" s="57">
        <v>0.625</v>
      </c>
      <c r="E263" s="68">
        <v>100</v>
      </c>
      <c r="F263" s="69" t="s">
        <v>259</v>
      </c>
      <c r="G263" s="58">
        <v>490</v>
      </c>
      <c r="H263" s="59">
        <f t="shared" si="4"/>
        <v>583.1</v>
      </c>
    </row>
    <row r="264" spans="1:8" x14ac:dyDescent="0.35">
      <c r="A264" s="52" t="s">
        <v>485</v>
      </c>
      <c r="B264" s="52" t="s">
        <v>508</v>
      </c>
      <c r="C264" s="52" t="s">
        <v>487</v>
      </c>
      <c r="D264" s="57">
        <v>1E-3</v>
      </c>
      <c r="E264" s="68">
        <v>1</v>
      </c>
      <c r="F264" s="69" t="s">
        <v>259</v>
      </c>
      <c r="G264" s="58">
        <v>390</v>
      </c>
      <c r="H264" s="59">
        <f t="shared" si="4"/>
        <v>464.09999999999997</v>
      </c>
    </row>
    <row r="265" spans="1:8" x14ac:dyDescent="0.35">
      <c r="A265" s="52" t="s">
        <v>485</v>
      </c>
      <c r="B265" s="52" t="s">
        <v>509</v>
      </c>
      <c r="C265" s="52" t="s">
        <v>487</v>
      </c>
      <c r="D265" s="57">
        <v>5</v>
      </c>
      <c r="E265" s="68">
        <v>50</v>
      </c>
      <c r="F265" s="69" t="s">
        <v>259</v>
      </c>
      <c r="G265" s="58">
        <v>1890</v>
      </c>
      <c r="H265" s="59">
        <f t="shared" si="4"/>
        <v>2249.1</v>
      </c>
    </row>
    <row r="266" spans="1:8" x14ac:dyDescent="0.35">
      <c r="A266" s="52" t="s">
        <v>485</v>
      </c>
      <c r="B266" s="52" t="s">
        <v>510</v>
      </c>
      <c r="C266" s="52" t="s">
        <v>487</v>
      </c>
      <c r="D266" s="57">
        <v>1</v>
      </c>
      <c r="E266" s="68">
        <v>100</v>
      </c>
      <c r="F266" s="70" t="s">
        <v>259</v>
      </c>
      <c r="G266" s="58">
        <v>6900</v>
      </c>
      <c r="H266" s="59">
        <f t="shared" si="4"/>
        <v>8211</v>
      </c>
    </row>
    <row r="267" spans="1:8" x14ac:dyDescent="0.35">
      <c r="A267" s="52" t="s">
        <v>485</v>
      </c>
      <c r="B267" s="52" t="s">
        <v>511</v>
      </c>
      <c r="C267" s="52" t="s">
        <v>487</v>
      </c>
      <c r="D267" s="57">
        <v>24.5</v>
      </c>
      <c r="E267" s="68">
        <v>10</v>
      </c>
      <c r="F267" s="69" t="s">
        <v>259</v>
      </c>
      <c r="G267" s="58">
        <v>3890</v>
      </c>
      <c r="H267" s="59">
        <f t="shared" si="4"/>
        <v>4629.0999999999995</v>
      </c>
    </row>
    <row r="268" spans="1:8" x14ac:dyDescent="0.35">
      <c r="A268" s="52" t="s">
        <v>485</v>
      </c>
      <c r="B268" s="52" t="s">
        <v>512</v>
      </c>
      <c r="C268" s="52" t="s">
        <v>487</v>
      </c>
      <c r="D268" s="57">
        <v>7.5</v>
      </c>
      <c r="E268" s="68">
        <v>1</v>
      </c>
      <c r="F268" s="69" t="s">
        <v>259</v>
      </c>
      <c r="G268" s="58">
        <v>210</v>
      </c>
      <c r="H268" s="59">
        <f t="shared" si="4"/>
        <v>249.89999999999998</v>
      </c>
    </row>
    <row r="269" spans="1:8" x14ac:dyDescent="0.35">
      <c r="A269" s="52" t="s">
        <v>485</v>
      </c>
      <c r="B269" s="52" t="s">
        <v>513</v>
      </c>
      <c r="C269" s="52" t="s">
        <v>487</v>
      </c>
      <c r="D269" s="57">
        <v>12</v>
      </c>
      <c r="E269" s="68">
        <v>1</v>
      </c>
      <c r="F269" s="69" t="s">
        <v>259</v>
      </c>
      <c r="G269" s="58">
        <v>340</v>
      </c>
      <c r="H269" s="59">
        <f t="shared" si="4"/>
        <v>404.59999999999997</v>
      </c>
    </row>
    <row r="270" spans="1:8" x14ac:dyDescent="0.35">
      <c r="A270" s="52" t="s">
        <v>485</v>
      </c>
      <c r="B270" s="52" t="s">
        <v>514</v>
      </c>
      <c r="C270" s="52" t="s">
        <v>487</v>
      </c>
      <c r="D270" s="57">
        <v>0.13250000000000001</v>
      </c>
      <c r="E270" s="68">
        <v>1</v>
      </c>
      <c r="F270" s="69" t="s">
        <v>259</v>
      </c>
      <c r="G270" s="58">
        <v>2890</v>
      </c>
      <c r="H270" s="59">
        <f t="shared" si="4"/>
        <v>3439.1</v>
      </c>
    </row>
    <row r="271" spans="1:8" x14ac:dyDescent="0.35">
      <c r="A271" s="52" t="s">
        <v>485</v>
      </c>
      <c r="B271" s="52" t="s">
        <v>515</v>
      </c>
      <c r="C271" s="52" t="s">
        <v>487</v>
      </c>
      <c r="D271" s="57">
        <v>0.05</v>
      </c>
      <c r="E271" s="68">
        <v>50</v>
      </c>
      <c r="F271" s="69" t="s">
        <v>259</v>
      </c>
      <c r="G271" s="58">
        <v>3890</v>
      </c>
      <c r="H271" s="59">
        <f t="shared" si="4"/>
        <v>4629.0999999999995</v>
      </c>
    </row>
    <row r="272" spans="1:8" x14ac:dyDescent="0.35">
      <c r="A272" s="52" t="s">
        <v>485</v>
      </c>
      <c r="B272" s="52" t="s">
        <v>516</v>
      </c>
      <c r="C272" s="52" t="s">
        <v>487</v>
      </c>
      <c r="D272" s="57">
        <v>0.82</v>
      </c>
      <c r="E272" s="68">
        <v>200</v>
      </c>
      <c r="F272" s="69" t="s">
        <v>259</v>
      </c>
      <c r="G272" s="58">
        <v>3390</v>
      </c>
      <c r="H272" s="59">
        <f t="shared" si="4"/>
        <v>4034.1</v>
      </c>
    </row>
    <row r="273" spans="1:8" x14ac:dyDescent="0.35">
      <c r="A273" s="52" t="s">
        <v>485</v>
      </c>
      <c r="B273" s="52" t="s">
        <v>517</v>
      </c>
      <c r="C273" s="52" t="s">
        <v>487</v>
      </c>
      <c r="D273" s="57">
        <v>5</v>
      </c>
      <c r="E273" s="68">
        <v>24</v>
      </c>
      <c r="F273" s="69" t="s">
        <v>259</v>
      </c>
      <c r="G273" s="58">
        <v>8800</v>
      </c>
      <c r="H273" s="59">
        <f t="shared" si="4"/>
        <v>10472</v>
      </c>
    </row>
    <row r="274" spans="1:8" x14ac:dyDescent="0.35">
      <c r="A274" s="52" t="s">
        <v>485</v>
      </c>
      <c r="B274" s="52" t="s">
        <v>518</v>
      </c>
      <c r="C274" s="52" t="s">
        <v>487</v>
      </c>
      <c r="D274" s="57">
        <v>14</v>
      </c>
      <c r="E274" s="68">
        <v>100</v>
      </c>
      <c r="F274" s="69" t="s">
        <v>259</v>
      </c>
      <c r="G274" s="58">
        <v>4890</v>
      </c>
      <c r="H274" s="59">
        <f t="shared" si="4"/>
        <v>5819.0999999999995</v>
      </c>
    </row>
    <row r="275" spans="1:8" x14ac:dyDescent="0.35">
      <c r="A275" s="52" t="s">
        <v>485</v>
      </c>
      <c r="B275" s="52" t="s">
        <v>519</v>
      </c>
      <c r="C275" s="52" t="s">
        <v>487</v>
      </c>
      <c r="D275" s="57">
        <v>1.75</v>
      </c>
      <c r="E275" s="68">
        <v>25</v>
      </c>
      <c r="F275" s="69" t="s">
        <v>259</v>
      </c>
      <c r="G275" s="58">
        <v>2990</v>
      </c>
      <c r="H275" s="59">
        <f t="shared" si="4"/>
        <v>3558.1</v>
      </c>
    </row>
    <row r="276" spans="1:8" x14ac:dyDescent="0.35">
      <c r="A276" s="52" t="s">
        <v>520</v>
      </c>
      <c r="B276" s="52" t="s">
        <v>521</v>
      </c>
      <c r="C276" s="52" t="s">
        <v>246</v>
      </c>
      <c r="D276" s="57">
        <v>0.1</v>
      </c>
      <c r="E276" s="68">
        <v>120</v>
      </c>
      <c r="F276" s="69" t="s">
        <v>522</v>
      </c>
      <c r="G276" s="58">
        <v>16386</v>
      </c>
      <c r="H276" s="59">
        <f t="shared" si="4"/>
        <v>19499.34</v>
      </c>
    </row>
    <row r="277" spans="1:8" x14ac:dyDescent="0.35">
      <c r="A277" s="52" t="s">
        <v>523</v>
      </c>
      <c r="B277" s="52" t="s">
        <v>523</v>
      </c>
      <c r="C277" s="52" t="s">
        <v>524</v>
      </c>
      <c r="D277" s="57">
        <v>0.1</v>
      </c>
      <c r="E277" s="68">
        <v>1</v>
      </c>
      <c r="F277" s="69" t="s">
        <v>402</v>
      </c>
      <c r="G277" s="58">
        <v>30000</v>
      </c>
      <c r="H277" s="59">
        <f t="shared" si="4"/>
        <v>35700</v>
      </c>
    </row>
    <row r="278" spans="1:8" x14ac:dyDescent="0.35">
      <c r="A278" s="52" t="s">
        <v>525</v>
      </c>
      <c r="B278" s="52" t="s">
        <v>526</v>
      </c>
      <c r="C278" s="52" t="s">
        <v>527</v>
      </c>
      <c r="D278" s="57">
        <v>3.7499999999999999E-2</v>
      </c>
      <c r="E278" s="68">
        <v>1</v>
      </c>
      <c r="F278" s="69" t="s">
        <v>402</v>
      </c>
      <c r="G278" s="58">
        <v>14990</v>
      </c>
      <c r="H278" s="59">
        <f t="shared" si="4"/>
        <v>17838.099999999999</v>
      </c>
    </row>
    <row r="279" spans="1:8" x14ac:dyDescent="0.35">
      <c r="A279" s="52" t="s">
        <v>525</v>
      </c>
      <c r="B279" s="52" t="s">
        <v>528</v>
      </c>
      <c r="C279" s="52" t="s">
        <v>527</v>
      </c>
      <c r="D279" s="57">
        <v>0.03</v>
      </c>
      <c r="E279" s="68">
        <v>1</v>
      </c>
      <c r="F279" s="69" t="s">
        <v>402</v>
      </c>
      <c r="G279" s="58">
        <v>8980</v>
      </c>
      <c r="H279" s="59">
        <f t="shared" si="4"/>
        <v>10686.199999999999</v>
      </c>
    </row>
    <row r="280" spans="1:8" x14ac:dyDescent="0.35">
      <c r="A280" s="52" t="s">
        <v>525</v>
      </c>
      <c r="B280" s="52" t="s">
        <v>529</v>
      </c>
      <c r="C280" s="52" t="s">
        <v>527</v>
      </c>
      <c r="D280" s="57">
        <v>0.5</v>
      </c>
      <c r="E280" s="68">
        <v>1</v>
      </c>
      <c r="F280" s="69" t="s">
        <v>402</v>
      </c>
      <c r="G280" s="58">
        <v>5980</v>
      </c>
      <c r="H280" s="59">
        <f t="shared" si="4"/>
        <v>7116.2</v>
      </c>
    </row>
    <row r="281" spans="1:8" x14ac:dyDescent="0.35">
      <c r="A281" s="52" t="s">
        <v>525</v>
      </c>
      <c r="B281" s="52" t="s">
        <v>530</v>
      </c>
      <c r="C281" s="52" t="s">
        <v>527</v>
      </c>
      <c r="D281" s="57">
        <v>0.22500000000000001</v>
      </c>
      <c r="E281" s="68">
        <v>1</v>
      </c>
      <c r="F281" s="69" t="s">
        <v>402</v>
      </c>
      <c r="G281" s="58">
        <v>9980</v>
      </c>
      <c r="H281" s="59">
        <f t="shared" si="4"/>
        <v>11876.199999999999</v>
      </c>
    </row>
    <row r="282" spans="1:8" x14ac:dyDescent="0.35">
      <c r="A282" s="52" t="s">
        <v>525</v>
      </c>
      <c r="B282" s="52" t="s">
        <v>531</v>
      </c>
      <c r="C282" s="52" t="s">
        <v>527</v>
      </c>
      <c r="D282" s="57">
        <v>0.03</v>
      </c>
      <c r="E282" s="68">
        <v>1</v>
      </c>
      <c r="F282" s="69" t="s">
        <v>402</v>
      </c>
      <c r="G282" s="58">
        <v>4990</v>
      </c>
      <c r="H282" s="59">
        <f t="shared" si="4"/>
        <v>5938.0999999999995</v>
      </c>
    </row>
    <row r="283" spans="1:8" x14ac:dyDescent="0.35">
      <c r="A283" s="52" t="s">
        <v>525</v>
      </c>
      <c r="B283" s="52" t="s">
        <v>532</v>
      </c>
      <c r="C283" s="52" t="s">
        <v>527</v>
      </c>
      <c r="D283" s="57">
        <v>0.31812499999999999</v>
      </c>
      <c r="E283" s="68">
        <v>1</v>
      </c>
      <c r="F283" s="69" t="s">
        <v>402</v>
      </c>
      <c r="G283" s="58">
        <v>4980</v>
      </c>
      <c r="H283" s="59">
        <f t="shared" si="4"/>
        <v>5926.2</v>
      </c>
    </row>
    <row r="284" spans="1:8" x14ac:dyDescent="0.35">
      <c r="A284" s="52" t="s">
        <v>525</v>
      </c>
      <c r="B284" s="52" t="s">
        <v>533</v>
      </c>
      <c r="C284" s="52" t="s">
        <v>527</v>
      </c>
      <c r="D284" s="57">
        <v>0.46625</v>
      </c>
      <c r="E284" s="68">
        <v>1</v>
      </c>
      <c r="F284" s="69" t="s">
        <v>402</v>
      </c>
      <c r="G284" s="58">
        <v>8980</v>
      </c>
      <c r="H284" s="59">
        <f t="shared" si="4"/>
        <v>10686.199999999999</v>
      </c>
    </row>
    <row r="285" spans="1:8" x14ac:dyDescent="0.35">
      <c r="A285" s="52" t="s">
        <v>525</v>
      </c>
      <c r="B285" s="52" t="s">
        <v>534</v>
      </c>
      <c r="C285" s="52" t="s">
        <v>527</v>
      </c>
      <c r="D285" s="57">
        <v>0.06</v>
      </c>
      <c r="E285" s="68">
        <v>1</v>
      </c>
      <c r="F285" s="69" t="s">
        <v>402</v>
      </c>
      <c r="G285" s="58">
        <v>9800</v>
      </c>
      <c r="H285" s="59">
        <f t="shared" si="4"/>
        <v>11662</v>
      </c>
    </row>
    <row r="286" spans="1:8" x14ac:dyDescent="0.35">
      <c r="A286" s="52" t="s">
        <v>525</v>
      </c>
      <c r="B286" s="52" t="s">
        <v>535</v>
      </c>
      <c r="C286" s="52" t="s">
        <v>527</v>
      </c>
      <c r="D286" s="57">
        <v>0.125</v>
      </c>
      <c r="E286" s="68">
        <v>1</v>
      </c>
      <c r="F286" s="69" t="s">
        <v>402</v>
      </c>
      <c r="G286" s="58">
        <v>18980</v>
      </c>
      <c r="H286" s="59">
        <f t="shared" si="4"/>
        <v>22586.2</v>
      </c>
    </row>
    <row r="287" spans="1:8" x14ac:dyDescent="0.35">
      <c r="A287" s="52" t="s">
        <v>525</v>
      </c>
      <c r="B287" s="52" t="s">
        <v>536</v>
      </c>
      <c r="C287" s="52" t="s">
        <v>527</v>
      </c>
      <c r="D287" s="57">
        <v>8.4375000000000006E-2</v>
      </c>
      <c r="E287" s="68">
        <v>1</v>
      </c>
      <c r="F287" s="69" t="s">
        <v>402</v>
      </c>
      <c r="G287" s="58">
        <v>6980</v>
      </c>
      <c r="H287" s="59">
        <f t="shared" si="4"/>
        <v>8306.1999999999989</v>
      </c>
    </row>
    <row r="288" spans="1:8" x14ac:dyDescent="0.35">
      <c r="A288" s="52" t="s">
        <v>525</v>
      </c>
      <c r="B288" s="52" t="s">
        <v>537</v>
      </c>
      <c r="C288" s="52" t="s">
        <v>527</v>
      </c>
      <c r="D288" s="57">
        <v>0.5</v>
      </c>
      <c r="E288" s="68">
        <v>1</v>
      </c>
      <c r="F288" s="69" t="s">
        <v>402</v>
      </c>
      <c r="G288" s="58">
        <v>3980</v>
      </c>
      <c r="H288" s="59">
        <f t="shared" si="4"/>
        <v>4736.2</v>
      </c>
    </row>
    <row r="289" spans="1:10" x14ac:dyDescent="0.35">
      <c r="A289" s="52" t="s">
        <v>525</v>
      </c>
      <c r="B289" s="52" t="s">
        <v>538</v>
      </c>
      <c r="C289" s="52" t="s">
        <v>527</v>
      </c>
      <c r="D289" s="57">
        <v>0.2</v>
      </c>
      <c r="E289" s="68">
        <v>1</v>
      </c>
      <c r="F289" s="69" t="s">
        <v>402</v>
      </c>
      <c r="G289" s="58">
        <v>4598</v>
      </c>
      <c r="H289" s="59">
        <f t="shared" si="4"/>
        <v>5471.62</v>
      </c>
    </row>
    <row r="290" spans="1:10" x14ac:dyDescent="0.35">
      <c r="A290" s="52" t="s">
        <v>525</v>
      </c>
      <c r="B290" s="52" t="s">
        <v>539</v>
      </c>
      <c r="C290" s="52" t="s">
        <v>527</v>
      </c>
      <c r="D290" s="57">
        <v>0.32500000000000001</v>
      </c>
      <c r="E290" s="68">
        <v>1</v>
      </c>
      <c r="F290" s="69" t="s">
        <v>402</v>
      </c>
      <c r="G290" s="58">
        <v>6850</v>
      </c>
      <c r="H290" s="59">
        <f t="shared" si="4"/>
        <v>8151.5</v>
      </c>
    </row>
    <row r="291" spans="1:10" x14ac:dyDescent="0.35">
      <c r="A291" s="52" t="s">
        <v>525</v>
      </c>
      <c r="B291" s="52" t="s">
        <v>540</v>
      </c>
      <c r="C291" s="52" t="s">
        <v>527</v>
      </c>
      <c r="D291" s="57">
        <v>0.42499999999999999</v>
      </c>
      <c r="E291" s="68">
        <v>1</v>
      </c>
      <c r="F291" s="69" t="s">
        <v>402</v>
      </c>
      <c r="G291" s="58">
        <v>12500</v>
      </c>
      <c r="H291" s="59">
        <f t="shared" si="4"/>
        <v>14875</v>
      </c>
    </row>
    <row r="292" spans="1:10" x14ac:dyDescent="0.35">
      <c r="A292" s="52" t="s">
        <v>525</v>
      </c>
      <c r="B292" s="52" t="s">
        <v>541</v>
      </c>
      <c r="C292" s="52" t="s">
        <v>527</v>
      </c>
      <c r="D292" s="57">
        <v>3.7499999999999999E-2</v>
      </c>
      <c r="E292" s="68">
        <v>1</v>
      </c>
      <c r="F292" s="69" t="s">
        <v>402</v>
      </c>
      <c r="G292" s="58">
        <v>3980</v>
      </c>
      <c r="H292" s="59">
        <f t="shared" si="4"/>
        <v>4736.2</v>
      </c>
    </row>
    <row r="293" spans="1:10" x14ac:dyDescent="0.35">
      <c r="A293" s="52" t="s">
        <v>525</v>
      </c>
      <c r="B293" s="52" t="s">
        <v>542</v>
      </c>
      <c r="C293" s="52" t="s">
        <v>527</v>
      </c>
      <c r="D293" s="57">
        <v>3.3125000000000002E-2</v>
      </c>
      <c r="E293" s="68">
        <v>100</v>
      </c>
      <c r="F293" s="69" t="s">
        <v>522</v>
      </c>
      <c r="G293" s="58">
        <v>4990</v>
      </c>
      <c r="H293" s="59">
        <f t="shared" si="4"/>
        <v>5938.0999999999995</v>
      </c>
    </row>
    <row r="294" spans="1:10" x14ac:dyDescent="0.35">
      <c r="A294" s="52" t="s">
        <v>525</v>
      </c>
      <c r="B294" s="52" t="s">
        <v>543</v>
      </c>
      <c r="C294" s="52" t="s">
        <v>527</v>
      </c>
      <c r="D294" s="57">
        <v>0.16999999999999998</v>
      </c>
      <c r="E294" s="68">
        <v>500</v>
      </c>
      <c r="F294" s="69" t="s">
        <v>522</v>
      </c>
      <c r="G294" s="58">
        <v>5970</v>
      </c>
      <c r="H294" s="59">
        <f t="shared" si="4"/>
        <v>7104.2999999999993</v>
      </c>
    </row>
    <row r="295" spans="1:10" x14ac:dyDescent="0.35">
      <c r="A295" s="52" t="s">
        <v>525</v>
      </c>
      <c r="B295" s="52" t="s">
        <v>544</v>
      </c>
      <c r="C295" s="52" t="s">
        <v>527</v>
      </c>
      <c r="D295" s="57">
        <v>3.5000000000000003E-2</v>
      </c>
      <c r="E295" s="68">
        <v>1</v>
      </c>
      <c r="F295" s="69" t="s">
        <v>402</v>
      </c>
      <c r="G295" s="58">
        <v>16200</v>
      </c>
      <c r="H295" s="59">
        <f t="shared" si="4"/>
        <v>19278</v>
      </c>
    </row>
    <row r="296" spans="1:10" x14ac:dyDescent="0.35">
      <c r="A296" s="52" t="s">
        <v>525</v>
      </c>
      <c r="B296" s="52" t="s">
        <v>545</v>
      </c>
      <c r="C296" s="52" t="s">
        <v>527</v>
      </c>
      <c r="D296" s="57">
        <v>9.1249999999999998E-2</v>
      </c>
      <c r="E296" s="68">
        <v>1</v>
      </c>
      <c r="F296" s="69" t="s">
        <v>402</v>
      </c>
      <c r="G296" s="58">
        <v>20480</v>
      </c>
      <c r="H296" s="59">
        <f t="shared" si="4"/>
        <v>24371.199999999997</v>
      </c>
    </row>
    <row r="297" spans="1:10" x14ac:dyDescent="0.35">
      <c r="A297" s="52" t="s">
        <v>525</v>
      </c>
      <c r="B297" s="52" t="s">
        <v>546</v>
      </c>
      <c r="C297" s="52" t="s">
        <v>527</v>
      </c>
      <c r="D297" s="57">
        <v>9.7500000000000003E-2</v>
      </c>
      <c r="E297" s="68">
        <v>1</v>
      </c>
      <c r="F297" s="69" t="s">
        <v>402</v>
      </c>
      <c r="G297" s="58">
        <v>20480</v>
      </c>
      <c r="H297" s="59">
        <f t="shared" si="4"/>
        <v>24371.199999999997</v>
      </c>
    </row>
    <row r="298" spans="1:10" x14ac:dyDescent="0.35">
      <c r="A298" s="52" t="s">
        <v>525</v>
      </c>
      <c r="B298" s="52" t="s">
        <v>547</v>
      </c>
      <c r="C298" s="52" t="s">
        <v>527</v>
      </c>
      <c r="D298" s="57">
        <v>3.3750000000000002E-2</v>
      </c>
      <c r="E298" s="68">
        <v>1</v>
      </c>
      <c r="F298" s="69" t="s">
        <v>402</v>
      </c>
      <c r="G298" s="58">
        <v>35000</v>
      </c>
      <c r="H298" s="59">
        <f t="shared" si="4"/>
        <v>41650</v>
      </c>
    </row>
    <row r="299" spans="1:10" x14ac:dyDescent="0.35">
      <c r="A299" s="52" t="s">
        <v>548</v>
      </c>
      <c r="B299" s="52" t="s">
        <v>549</v>
      </c>
      <c r="C299" s="52" t="s">
        <v>550</v>
      </c>
      <c r="D299" s="57">
        <v>8.5000000000000006E-2</v>
      </c>
      <c r="E299" s="68">
        <v>1</v>
      </c>
      <c r="F299" s="69" t="s">
        <v>259</v>
      </c>
      <c r="G299" s="58">
        <v>1092</v>
      </c>
      <c r="H299" s="59">
        <f t="shared" si="4"/>
        <v>1299.48</v>
      </c>
      <c r="J299" s="50"/>
    </row>
    <row r="300" spans="1:10" x14ac:dyDescent="0.35">
      <c r="A300" s="52" t="s">
        <v>551</v>
      </c>
      <c r="B300" s="52" t="s">
        <v>552</v>
      </c>
      <c r="C300" s="52" t="s">
        <v>242</v>
      </c>
      <c r="D300" s="57">
        <v>12</v>
      </c>
      <c r="E300" s="68">
        <v>1</v>
      </c>
      <c r="F300" s="69" t="s">
        <v>259</v>
      </c>
      <c r="G300" s="58">
        <v>31280</v>
      </c>
      <c r="H300" s="59">
        <f t="shared" si="4"/>
        <v>37223.199999999997</v>
      </c>
    </row>
    <row r="301" spans="1:10" x14ac:dyDescent="0.35">
      <c r="A301" s="52" t="s">
        <v>551</v>
      </c>
      <c r="B301" s="52" t="s">
        <v>553</v>
      </c>
      <c r="C301" s="52" t="s">
        <v>242</v>
      </c>
      <c r="D301" s="57">
        <v>0.3570000000000001</v>
      </c>
      <c r="E301" s="68">
        <v>1</v>
      </c>
      <c r="F301" s="69" t="s">
        <v>522</v>
      </c>
      <c r="G301" s="58">
        <v>4650</v>
      </c>
      <c r="H301" s="59">
        <f t="shared" si="4"/>
        <v>5533.5</v>
      </c>
    </row>
    <row r="302" spans="1:10" x14ac:dyDescent="0.35">
      <c r="A302" s="52" t="s">
        <v>551</v>
      </c>
      <c r="B302" s="52" t="s">
        <v>554</v>
      </c>
      <c r="C302" s="52" t="s">
        <v>242</v>
      </c>
      <c r="D302" s="57">
        <v>0.21762499999999999</v>
      </c>
      <c r="E302" s="68">
        <v>1</v>
      </c>
      <c r="F302" s="69" t="s">
        <v>522</v>
      </c>
      <c r="G302" s="58">
        <v>11480</v>
      </c>
      <c r="H302" s="59">
        <f t="shared" si="4"/>
        <v>13661.199999999999</v>
      </c>
    </row>
    <row r="303" spans="1:10" x14ac:dyDescent="0.35">
      <c r="A303" s="52" t="s">
        <v>551</v>
      </c>
      <c r="B303" s="52" t="s">
        <v>555</v>
      </c>
      <c r="C303" s="52" t="s">
        <v>242</v>
      </c>
      <c r="D303" s="57">
        <v>5.5E-2</v>
      </c>
      <c r="E303" s="68">
        <v>6</v>
      </c>
      <c r="F303" s="69" t="s">
        <v>522</v>
      </c>
      <c r="G303" s="58">
        <v>102000</v>
      </c>
      <c r="H303" s="59">
        <f t="shared" si="4"/>
        <v>121380</v>
      </c>
    </row>
    <row r="304" spans="1:10" x14ac:dyDescent="0.35">
      <c r="A304" s="52" t="s">
        <v>551</v>
      </c>
      <c r="B304" s="52" t="s">
        <v>556</v>
      </c>
      <c r="C304" s="52" t="s">
        <v>242</v>
      </c>
      <c r="D304" s="57">
        <v>0.520625</v>
      </c>
      <c r="E304" s="68">
        <v>2.5</v>
      </c>
      <c r="F304" s="69" t="s">
        <v>522</v>
      </c>
      <c r="G304" s="58">
        <v>35794</v>
      </c>
      <c r="H304" s="59">
        <f t="shared" si="4"/>
        <v>42594.86</v>
      </c>
    </row>
    <row r="305" spans="1:11" x14ac:dyDescent="0.35">
      <c r="A305" s="52" t="s">
        <v>551</v>
      </c>
      <c r="B305" s="52" t="s">
        <v>557</v>
      </c>
      <c r="C305" s="52" t="s">
        <v>242</v>
      </c>
      <c r="D305" s="57">
        <v>0.46999999999999992</v>
      </c>
      <c r="E305" s="68">
        <v>2.5</v>
      </c>
      <c r="F305" s="69" t="s">
        <v>522</v>
      </c>
      <c r="G305" s="58">
        <v>39219</v>
      </c>
      <c r="H305" s="59">
        <f t="shared" si="4"/>
        <v>46670.61</v>
      </c>
    </row>
    <row r="306" spans="1:11" x14ac:dyDescent="0.35">
      <c r="A306" s="52" t="s">
        <v>551</v>
      </c>
      <c r="B306" s="52" t="s">
        <v>558</v>
      </c>
      <c r="C306" s="52" t="s">
        <v>242</v>
      </c>
      <c r="D306" s="57">
        <v>0.10500000000000001</v>
      </c>
      <c r="E306" s="68">
        <v>2.5</v>
      </c>
      <c r="F306" s="69" t="s">
        <v>522</v>
      </c>
      <c r="G306" s="58">
        <v>43299</v>
      </c>
      <c r="H306" s="59">
        <f t="shared" si="4"/>
        <v>51525.81</v>
      </c>
    </row>
    <row r="307" spans="1:11" x14ac:dyDescent="0.35">
      <c r="A307" s="52" t="s">
        <v>551</v>
      </c>
      <c r="B307" s="52" t="s">
        <v>559</v>
      </c>
      <c r="C307" s="52" t="s">
        <v>242</v>
      </c>
      <c r="D307" s="57">
        <v>0.2545</v>
      </c>
      <c r="E307" s="68">
        <v>2.5</v>
      </c>
      <c r="F307" s="69" t="s">
        <v>522</v>
      </c>
      <c r="G307" s="58">
        <v>45654</v>
      </c>
      <c r="H307" s="59">
        <f t="shared" si="4"/>
        <v>54328.259999999995</v>
      </c>
    </row>
    <row r="308" spans="1:11" x14ac:dyDescent="0.35">
      <c r="A308" s="52" t="s">
        <v>551</v>
      </c>
      <c r="B308" s="52" t="s">
        <v>560</v>
      </c>
      <c r="C308" s="52" t="s">
        <v>317</v>
      </c>
      <c r="D308" s="57">
        <v>0.42825000000000002</v>
      </c>
      <c r="E308" s="68">
        <v>1</v>
      </c>
      <c r="F308" s="69" t="s">
        <v>522</v>
      </c>
      <c r="G308" s="58">
        <v>22647</v>
      </c>
      <c r="H308" s="59">
        <f t="shared" si="4"/>
        <v>26949.93</v>
      </c>
      <c r="K308" s="50"/>
    </row>
    <row r="309" spans="1:11" x14ac:dyDescent="0.35">
      <c r="A309" s="52" t="s">
        <v>551</v>
      </c>
      <c r="B309" s="52" t="s">
        <v>561</v>
      </c>
      <c r="C309" s="52" t="s">
        <v>242</v>
      </c>
      <c r="D309" s="57">
        <v>0.72999999999999987</v>
      </c>
      <c r="E309" s="68">
        <v>2.5</v>
      </c>
      <c r="F309" s="69" t="s">
        <v>522</v>
      </c>
      <c r="G309" s="58">
        <v>41149</v>
      </c>
      <c r="H309" s="59">
        <f t="shared" si="4"/>
        <v>48967.31</v>
      </c>
    </row>
    <row r="310" spans="1:11" x14ac:dyDescent="0.35">
      <c r="A310" s="52" t="s">
        <v>551</v>
      </c>
      <c r="B310" s="52" t="s">
        <v>562</v>
      </c>
      <c r="C310" s="52" t="s">
        <v>242</v>
      </c>
      <c r="D310" s="57">
        <v>0.7</v>
      </c>
      <c r="E310" s="68">
        <v>2.5</v>
      </c>
      <c r="F310" s="69" t="s">
        <v>522</v>
      </c>
      <c r="G310" s="58">
        <v>44795</v>
      </c>
      <c r="H310" s="59">
        <f t="shared" si="4"/>
        <v>53306.049999999996</v>
      </c>
    </row>
    <row r="311" spans="1:11" x14ac:dyDescent="0.35">
      <c r="A311" s="52" t="s">
        <v>551</v>
      </c>
      <c r="B311" s="52" t="s">
        <v>563</v>
      </c>
      <c r="C311" s="52" t="s">
        <v>242</v>
      </c>
      <c r="D311" s="57">
        <v>0.1</v>
      </c>
      <c r="E311" s="68">
        <v>2.5</v>
      </c>
      <c r="F311" s="69" t="s">
        <v>522</v>
      </c>
      <c r="G311" s="58">
        <v>45008</v>
      </c>
      <c r="H311" s="59">
        <f t="shared" si="4"/>
        <v>53559.519999999997</v>
      </c>
    </row>
    <row r="312" spans="1:11" x14ac:dyDescent="0.35">
      <c r="A312" s="52" t="s">
        <v>551</v>
      </c>
      <c r="B312" s="52" t="s">
        <v>564</v>
      </c>
      <c r="C312" s="52" t="s">
        <v>242</v>
      </c>
      <c r="D312" s="57">
        <v>0.05</v>
      </c>
      <c r="E312" s="68">
        <v>1</v>
      </c>
      <c r="F312" s="69" t="s">
        <v>522</v>
      </c>
      <c r="G312" s="58">
        <v>8500</v>
      </c>
      <c r="H312" s="59">
        <f t="shared" si="4"/>
        <v>10115</v>
      </c>
    </row>
    <row r="313" spans="1:11" x14ac:dyDescent="0.35">
      <c r="A313" s="52" t="s">
        <v>551</v>
      </c>
      <c r="B313" s="52" t="s">
        <v>565</v>
      </c>
      <c r="C313" s="52" t="s">
        <v>242</v>
      </c>
      <c r="D313" s="57">
        <v>2.0380000000000003</v>
      </c>
      <c r="E313" s="68">
        <v>1</v>
      </c>
      <c r="F313" s="69" t="s">
        <v>522</v>
      </c>
      <c r="G313" s="58">
        <v>12000</v>
      </c>
      <c r="H313" s="59">
        <f t="shared" si="4"/>
        <v>14280</v>
      </c>
    </row>
    <row r="314" spans="1:11" x14ac:dyDescent="0.35">
      <c r="A314" s="52" t="s">
        <v>551</v>
      </c>
      <c r="B314" s="52" t="s">
        <v>566</v>
      </c>
      <c r="C314" s="52" t="s">
        <v>242</v>
      </c>
      <c r="D314" s="57">
        <v>0.81330000000000002</v>
      </c>
      <c r="E314" s="68">
        <v>2.5</v>
      </c>
      <c r="F314" s="69" t="s">
        <v>522</v>
      </c>
      <c r="G314" s="58">
        <v>44795</v>
      </c>
      <c r="H314" s="59">
        <f t="shared" si="4"/>
        <v>53306.049999999996</v>
      </c>
    </row>
    <row r="315" spans="1:11" x14ac:dyDescent="0.35">
      <c r="A315" s="52" t="s">
        <v>551</v>
      </c>
      <c r="B315" s="52" t="s">
        <v>567</v>
      </c>
      <c r="C315" s="52" t="s">
        <v>242</v>
      </c>
      <c r="D315" s="57">
        <v>0.35000000000000003</v>
      </c>
      <c r="E315" s="68">
        <v>1</v>
      </c>
      <c r="F315" s="69" t="s">
        <v>402</v>
      </c>
      <c r="G315" s="58">
        <v>6300</v>
      </c>
      <c r="H315" s="59">
        <f t="shared" si="4"/>
        <v>7497</v>
      </c>
    </row>
    <row r="316" spans="1:11" x14ac:dyDescent="0.35">
      <c r="A316" s="52" t="s">
        <v>551</v>
      </c>
      <c r="B316" s="52" t="s">
        <v>568</v>
      </c>
      <c r="C316" s="52" t="s">
        <v>242</v>
      </c>
      <c r="D316" s="57">
        <v>0.08</v>
      </c>
      <c r="E316" s="68">
        <v>500</v>
      </c>
      <c r="F316" s="69" t="s">
        <v>522</v>
      </c>
      <c r="G316" s="58">
        <v>6290</v>
      </c>
      <c r="H316" s="59">
        <f t="shared" si="4"/>
        <v>7485.0999999999995</v>
      </c>
    </row>
    <row r="317" spans="1:11" x14ac:dyDescent="0.35">
      <c r="A317" s="52" t="s">
        <v>551</v>
      </c>
      <c r="B317" s="52" t="s">
        <v>569</v>
      </c>
      <c r="C317" s="52" t="s">
        <v>242</v>
      </c>
      <c r="D317" s="57">
        <v>1.6249999999999999E-3</v>
      </c>
      <c r="E317" s="68">
        <v>1</v>
      </c>
      <c r="F317" s="69" t="s">
        <v>402</v>
      </c>
      <c r="G317" s="58">
        <v>28220</v>
      </c>
      <c r="H317" s="59">
        <f t="shared" si="4"/>
        <v>33581.799999999996</v>
      </c>
    </row>
    <row r="318" spans="1:11" x14ac:dyDescent="0.35">
      <c r="A318" s="52" t="s">
        <v>551</v>
      </c>
      <c r="B318" s="52" t="s">
        <v>570</v>
      </c>
      <c r="C318" s="52" t="s">
        <v>242</v>
      </c>
      <c r="D318" s="57">
        <v>0.21500000000000002</v>
      </c>
      <c r="E318" s="68">
        <v>1.5</v>
      </c>
      <c r="F318" s="69" t="s">
        <v>402</v>
      </c>
      <c r="G318" s="58">
        <v>52496</v>
      </c>
      <c r="H318" s="59">
        <f t="shared" si="4"/>
        <v>62470.239999999998</v>
      </c>
    </row>
    <row r="319" spans="1:11" x14ac:dyDescent="0.35">
      <c r="A319" s="52" t="s">
        <v>551</v>
      </c>
      <c r="B319" s="52" t="s">
        <v>571</v>
      </c>
      <c r="C319" s="52" t="s">
        <v>242</v>
      </c>
      <c r="D319" s="57">
        <v>0.13</v>
      </c>
      <c r="E319" s="68">
        <v>200</v>
      </c>
      <c r="F319" s="69" t="s">
        <v>522</v>
      </c>
      <c r="G319" s="58">
        <v>29160</v>
      </c>
      <c r="H319" s="59">
        <f t="shared" si="4"/>
        <v>34700.400000000001</v>
      </c>
    </row>
    <row r="320" spans="1:11" x14ac:dyDescent="0.35">
      <c r="A320" s="52" t="s">
        <v>551</v>
      </c>
      <c r="B320" s="52" t="s">
        <v>572</v>
      </c>
      <c r="C320" s="52" t="s">
        <v>242</v>
      </c>
      <c r="D320" s="57">
        <v>5.0000000000000001E-3</v>
      </c>
      <c r="E320" s="68">
        <v>1</v>
      </c>
      <c r="F320" s="69" t="s">
        <v>402</v>
      </c>
      <c r="G320" s="58">
        <v>7500</v>
      </c>
      <c r="H320" s="59">
        <f t="shared" si="4"/>
        <v>8925</v>
      </c>
    </row>
    <row r="321" spans="1:8" x14ac:dyDescent="0.35">
      <c r="A321" s="52" t="s">
        <v>573</v>
      </c>
      <c r="B321" s="52" t="s">
        <v>574</v>
      </c>
      <c r="C321" s="52" t="s">
        <v>242</v>
      </c>
      <c r="D321" s="57">
        <v>0.11000000000000001</v>
      </c>
      <c r="E321" s="68">
        <v>25</v>
      </c>
      <c r="F321" s="69" t="s">
        <v>522</v>
      </c>
      <c r="G321" s="58">
        <v>2500</v>
      </c>
      <c r="H321" s="59">
        <f t="shared" si="4"/>
        <v>2975</v>
      </c>
    </row>
    <row r="322" spans="1:8" x14ac:dyDescent="0.35">
      <c r="A322" s="52" t="s">
        <v>573</v>
      </c>
      <c r="B322" s="52" t="s">
        <v>575</v>
      </c>
      <c r="C322" s="52" t="s">
        <v>242</v>
      </c>
      <c r="D322" s="57">
        <v>0.2</v>
      </c>
      <c r="E322" s="68">
        <v>25</v>
      </c>
      <c r="F322" s="69" t="s">
        <v>522</v>
      </c>
      <c r="G322" s="58">
        <v>2500</v>
      </c>
      <c r="H322" s="59">
        <f t="shared" ref="H322:H385" si="5">G322*1.19</f>
        <v>2975</v>
      </c>
    </row>
    <row r="323" spans="1:8" x14ac:dyDescent="0.35">
      <c r="A323" s="52" t="s">
        <v>573</v>
      </c>
      <c r="B323" s="52" t="s">
        <v>576</v>
      </c>
      <c r="C323" s="52" t="s">
        <v>242</v>
      </c>
      <c r="D323" s="57">
        <v>6.8000000000000005E-2</v>
      </c>
      <c r="E323" s="68">
        <v>100</v>
      </c>
      <c r="F323" s="69" t="s">
        <v>522</v>
      </c>
      <c r="G323" s="58">
        <v>12240</v>
      </c>
      <c r="H323" s="59">
        <f t="shared" si="5"/>
        <v>14565.599999999999</v>
      </c>
    </row>
    <row r="324" spans="1:8" x14ac:dyDescent="0.35">
      <c r="A324" s="52" t="s">
        <v>573</v>
      </c>
      <c r="B324" s="52" t="s">
        <v>577</v>
      </c>
      <c r="C324" s="52" t="s">
        <v>242</v>
      </c>
      <c r="D324" s="57">
        <v>7.8000000000000014E-2</v>
      </c>
      <c r="E324" s="68">
        <v>70</v>
      </c>
      <c r="F324" s="69" t="s">
        <v>522</v>
      </c>
      <c r="G324" s="58">
        <v>9630</v>
      </c>
      <c r="H324" s="59">
        <f t="shared" si="5"/>
        <v>11459.699999999999</v>
      </c>
    </row>
    <row r="325" spans="1:8" x14ac:dyDescent="0.35">
      <c r="A325" s="52" t="s">
        <v>573</v>
      </c>
      <c r="B325" s="52" t="s">
        <v>578</v>
      </c>
      <c r="C325" s="52" t="s">
        <v>242</v>
      </c>
      <c r="D325" s="57">
        <v>6.5000000000000002E-2</v>
      </c>
      <c r="E325" s="68">
        <v>70</v>
      </c>
      <c r="F325" s="69" t="s">
        <v>522</v>
      </c>
      <c r="G325" s="58">
        <v>9540</v>
      </c>
      <c r="H325" s="59">
        <f t="shared" si="5"/>
        <v>11352.6</v>
      </c>
    </row>
    <row r="326" spans="1:8" x14ac:dyDescent="0.35">
      <c r="A326" s="52" t="s">
        <v>573</v>
      </c>
      <c r="B326" s="52" t="s">
        <v>579</v>
      </c>
      <c r="C326" s="52" t="s">
        <v>242</v>
      </c>
      <c r="D326" s="57">
        <v>0.03</v>
      </c>
      <c r="E326" s="68">
        <v>40</v>
      </c>
      <c r="F326" s="69" t="s">
        <v>522</v>
      </c>
      <c r="G326" s="58">
        <v>16110</v>
      </c>
      <c r="H326" s="59">
        <f t="shared" si="5"/>
        <v>19170.899999999998</v>
      </c>
    </row>
    <row r="327" spans="1:8" x14ac:dyDescent="0.35">
      <c r="A327" s="52" t="s">
        <v>573</v>
      </c>
      <c r="B327" s="52" t="s">
        <v>580</v>
      </c>
      <c r="C327" s="52" t="s">
        <v>242</v>
      </c>
      <c r="D327" s="57">
        <v>0.03</v>
      </c>
      <c r="E327" s="68">
        <v>100</v>
      </c>
      <c r="F327" s="69" t="s">
        <v>522</v>
      </c>
      <c r="G327" s="58">
        <v>23040</v>
      </c>
      <c r="H327" s="59">
        <f t="shared" si="5"/>
        <v>27417.599999999999</v>
      </c>
    </row>
    <row r="328" spans="1:8" x14ac:dyDescent="0.35">
      <c r="A328" s="52" t="s">
        <v>573</v>
      </c>
      <c r="B328" s="52" t="s">
        <v>581</v>
      </c>
      <c r="C328" s="52" t="s">
        <v>242</v>
      </c>
      <c r="D328" s="57">
        <v>0.03</v>
      </c>
      <c r="E328" s="68">
        <v>100</v>
      </c>
      <c r="F328" s="69" t="s">
        <v>522</v>
      </c>
      <c r="G328" s="58">
        <v>32580</v>
      </c>
      <c r="H328" s="59">
        <f t="shared" si="5"/>
        <v>38770.199999999997</v>
      </c>
    </row>
    <row r="329" spans="1:8" x14ac:dyDescent="0.35">
      <c r="A329" s="52" t="s">
        <v>573</v>
      </c>
      <c r="B329" s="52" t="s">
        <v>582</v>
      </c>
      <c r="C329" s="52" t="s">
        <v>242</v>
      </c>
      <c r="D329" s="57">
        <v>1.8000000000000002E-2</v>
      </c>
      <c r="E329" s="68">
        <v>100</v>
      </c>
      <c r="F329" s="69" t="s">
        <v>522</v>
      </c>
      <c r="G329" s="58">
        <v>8980</v>
      </c>
      <c r="H329" s="59">
        <f t="shared" si="5"/>
        <v>10686.199999999999</v>
      </c>
    </row>
    <row r="330" spans="1:8" x14ac:dyDescent="0.35">
      <c r="A330" s="52" t="s">
        <v>573</v>
      </c>
      <c r="B330" s="52" t="s">
        <v>583</v>
      </c>
      <c r="C330" s="52" t="s">
        <v>242</v>
      </c>
      <c r="D330" s="57">
        <v>1.8000000000000002E-2</v>
      </c>
      <c r="E330" s="68">
        <v>20</v>
      </c>
      <c r="F330" s="69" t="s">
        <v>522</v>
      </c>
      <c r="G330" s="58">
        <v>7110</v>
      </c>
      <c r="H330" s="59">
        <f t="shared" si="5"/>
        <v>8460.9</v>
      </c>
    </row>
    <row r="331" spans="1:8" x14ac:dyDescent="0.35">
      <c r="A331" s="52" t="s">
        <v>573</v>
      </c>
      <c r="B331" s="52" t="s">
        <v>584</v>
      </c>
      <c r="C331" s="52" t="s">
        <v>242</v>
      </c>
      <c r="D331" s="57">
        <v>1.8000000000000002E-2</v>
      </c>
      <c r="E331" s="68">
        <v>20</v>
      </c>
      <c r="F331" s="69" t="s">
        <v>522</v>
      </c>
      <c r="G331" s="58">
        <v>7020</v>
      </c>
      <c r="H331" s="59">
        <f t="shared" si="5"/>
        <v>8353.7999999999993</v>
      </c>
    </row>
    <row r="332" spans="1:8" x14ac:dyDescent="0.35">
      <c r="A332" s="52" t="s">
        <v>573</v>
      </c>
      <c r="B332" s="52" t="s">
        <v>585</v>
      </c>
      <c r="C332" s="52" t="s">
        <v>242</v>
      </c>
      <c r="D332" s="57">
        <v>1.8000000000000002E-2</v>
      </c>
      <c r="E332" s="68">
        <v>20</v>
      </c>
      <c r="F332" s="69" t="s">
        <v>522</v>
      </c>
      <c r="G332" s="58">
        <v>9900</v>
      </c>
      <c r="H332" s="59">
        <f t="shared" si="5"/>
        <v>11781</v>
      </c>
    </row>
    <row r="333" spans="1:8" x14ac:dyDescent="0.35">
      <c r="A333" s="52" t="s">
        <v>573</v>
      </c>
      <c r="B333" s="52" t="s">
        <v>586</v>
      </c>
      <c r="C333" s="52" t="s">
        <v>242</v>
      </c>
      <c r="D333" s="57">
        <v>1.4999999999999999E-2</v>
      </c>
      <c r="E333" s="68">
        <v>40</v>
      </c>
      <c r="F333" s="69" t="s">
        <v>522</v>
      </c>
      <c r="G333" s="58">
        <v>23220</v>
      </c>
      <c r="H333" s="59">
        <f t="shared" si="5"/>
        <v>27631.8</v>
      </c>
    </row>
    <row r="334" spans="1:8" x14ac:dyDescent="0.35">
      <c r="A334" s="52" t="s">
        <v>587</v>
      </c>
      <c r="B334" s="52" t="s">
        <v>588</v>
      </c>
      <c r="C334" s="52" t="s">
        <v>229</v>
      </c>
      <c r="D334" s="57">
        <v>0.21562500000000001</v>
      </c>
      <c r="E334" s="68">
        <v>1</v>
      </c>
      <c r="F334" s="69" t="s">
        <v>402</v>
      </c>
      <c r="G334" s="58">
        <v>15990</v>
      </c>
      <c r="H334" s="59">
        <f t="shared" si="5"/>
        <v>19028.099999999999</v>
      </c>
    </row>
    <row r="335" spans="1:8" x14ac:dyDescent="0.35">
      <c r="A335" s="52" t="s">
        <v>587</v>
      </c>
      <c r="B335" s="52" t="s">
        <v>589</v>
      </c>
      <c r="C335" s="52" t="s">
        <v>246</v>
      </c>
      <c r="D335" s="57">
        <v>0.19499999999999998</v>
      </c>
      <c r="E335" s="68">
        <v>1</v>
      </c>
      <c r="F335" s="69" t="s">
        <v>402</v>
      </c>
      <c r="G335" s="58">
        <v>13990</v>
      </c>
      <c r="H335" s="59">
        <f t="shared" si="5"/>
        <v>16648.099999999999</v>
      </c>
    </row>
    <row r="336" spans="1:8" x14ac:dyDescent="0.35">
      <c r="A336" s="52" t="s">
        <v>587</v>
      </c>
      <c r="B336" s="52" t="s">
        <v>590</v>
      </c>
      <c r="C336" s="52" t="s">
        <v>229</v>
      </c>
      <c r="D336" s="57">
        <v>0.18</v>
      </c>
      <c r="E336" s="68">
        <v>1</v>
      </c>
      <c r="F336" s="69" t="s">
        <v>402</v>
      </c>
      <c r="G336" s="58">
        <v>25000</v>
      </c>
      <c r="H336" s="59">
        <f t="shared" si="5"/>
        <v>29750</v>
      </c>
    </row>
    <row r="337" spans="1:8" x14ac:dyDescent="0.35">
      <c r="A337" s="52" t="s">
        <v>587</v>
      </c>
      <c r="B337" s="52" t="s">
        <v>591</v>
      </c>
      <c r="C337" s="52" t="s">
        <v>229</v>
      </c>
      <c r="D337" s="57">
        <v>0.13</v>
      </c>
      <c r="E337" s="68">
        <v>1</v>
      </c>
      <c r="F337" s="69" t="s">
        <v>402</v>
      </c>
      <c r="G337" s="58">
        <v>27998</v>
      </c>
      <c r="H337" s="59">
        <f t="shared" si="5"/>
        <v>33317.619999999995</v>
      </c>
    </row>
    <row r="338" spans="1:8" x14ac:dyDescent="0.35">
      <c r="A338" s="52" t="s">
        <v>587</v>
      </c>
      <c r="B338" s="52" t="s">
        <v>592</v>
      </c>
      <c r="C338" s="52" t="s">
        <v>229</v>
      </c>
      <c r="D338" s="57">
        <v>0.06</v>
      </c>
      <c r="E338" s="68">
        <v>1</v>
      </c>
      <c r="F338" s="69" t="s">
        <v>402</v>
      </c>
      <c r="G338" s="58">
        <v>6980</v>
      </c>
      <c r="H338" s="59">
        <f t="shared" si="5"/>
        <v>8306.1999999999989</v>
      </c>
    </row>
    <row r="339" spans="1:8" x14ac:dyDescent="0.35">
      <c r="A339" s="52" t="s">
        <v>587</v>
      </c>
      <c r="B339" s="52" t="s">
        <v>593</v>
      </c>
      <c r="C339" s="52" t="s">
        <v>229</v>
      </c>
      <c r="D339" s="57">
        <v>0.66437500000000005</v>
      </c>
      <c r="E339" s="68">
        <v>1</v>
      </c>
      <c r="F339" s="69" t="s">
        <v>402</v>
      </c>
      <c r="G339" s="58">
        <v>2498</v>
      </c>
      <c r="H339" s="59">
        <f t="shared" si="5"/>
        <v>2972.62</v>
      </c>
    </row>
    <row r="340" spans="1:8" x14ac:dyDescent="0.35">
      <c r="A340" s="52" t="s">
        <v>587</v>
      </c>
      <c r="B340" s="52" t="s">
        <v>594</v>
      </c>
      <c r="C340" s="52" t="s">
        <v>229</v>
      </c>
      <c r="D340" s="57">
        <v>0.32999999999999996</v>
      </c>
      <c r="E340" s="68">
        <v>1</v>
      </c>
      <c r="F340" s="69" t="s">
        <v>402</v>
      </c>
      <c r="G340" s="58">
        <v>15998</v>
      </c>
      <c r="H340" s="59">
        <f t="shared" si="5"/>
        <v>19037.62</v>
      </c>
    </row>
    <row r="341" spans="1:8" x14ac:dyDescent="0.35">
      <c r="A341" s="52" t="s">
        <v>587</v>
      </c>
      <c r="B341" s="52" t="s">
        <v>595</v>
      </c>
      <c r="C341" s="52" t="s">
        <v>229</v>
      </c>
      <c r="D341" s="57">
        <v>0.125</v>
      </c>
      <c r="E341" s="68">
        <v>1</v>
      </c>
      <c r="F341" s="69" t="s">
        <v>402</v>
      </c>
      <c r="G341" s="58">
        <v>21990</v>
      </c>
      <c r="H341" s="59">
        <f t="shared" si="5"/>
        <v>26168.1</v>
      </c>
    </row>
    <row r="342" spans="1:8" x14ac:dyDescent="0.35">
      <c r="A342" s="52" t="s">
        <v>587</v>
      </c>
      <c r="B342" s="52" t="s">
        <v>596</v>
      </c>
      <c r="C342" s="52" t="s">
        <v>229</v>
      </c>
      <c r="D342" s="57">
        <v>0.2175</v>
      </c>
      <c r="E342" s="68">
        <v>1</v>
      </c>
      <c r="F342" s="69" t="s">
        <v>402</v>
      </c>
      <c r="G342" s="58">
        <v>21990</v>
      </c>
      <c r="H342" s="59">
        <f t="shared" si="5"/>
        <v>26168.1</v>
      </c>
    </row>
    <row r="343" spans="1:8" x14ac:dyDescent="0.35">
      <c r="A343" s="52" t="s">
        <v>587</v>
      </c>
      <c r="B343" s="52" t="s">
        <v>597</v>
      </c>
      <c r="C343" s="52" t="s">
        <v>229</v>
      </c>
      <c r="D343" s="57">
        <v>0.14500000000000002</v>
      </c>
      <c r="E343" s="68">
        <v>1</v>
      </c>
      <c r="F343" s="69" t="s">
        <v>402</v>
      </c>
      <c r="G343" s="58">
        <v>19950</v>
      </c>
      <c r="H343" s="59">
        <f t="shared" si="5"/>
        <v>23740.5</v>
      </c>
    </row>
    <row r="344" spans="1:8" x14ac:dyDescent="0.35">
      <c r="A344" s="52" t="s">
        <v>587</v>
      </c>
      <c r="B344" s="52" t="s">
        <v>598</v>
      </c>
      <c r="C344" s="52" t="s">
        <v>229</v>
      </c>
      <c r="D344" s="57">
        <v>0.2</v>
      </c>
      <c r="E344" s="68">
        <v>1</v>
      </c>
      <c r="F344" s="69" t="s">
        <v>402</v>
      </c>
      <c r="G344" s="58">
        <v>11980</v>
      </c>
      <c r="H344" s="59">
        <f t="shared" si="5"/>
        <v>14256.199999999999</v>
      </c>
    </row>
    <row r="345" spans="1:8" x14ac:dyDescent="0.35">
      <c r="A345" s="52" t="s">
        <v>587</v>
      </c>
      <c r="B345" s="52" t="s">
        <v>599</v>
      </c>
      <c r="C345" s="52" t="s">
        <v>229</v>
      </c>
      <c r="D345" s="57">
        <v>0.33775000000000005</v>
      </c>
      <c r="E345" s="68">
        <v>1</v>
      </c>
      <c r="F345" s="69" t="s">
        <v>402</v>
      </c>
      <c r="G345" s="58">
        <v>17640</v>
      </c>
      <c r="H345" s="59">
        <f t="shared" si="5"/>
        <v>20991.599999999999</v>
      </c>
    </row>
    <row r="346" spans="1:8" x14ac:dyDescent="0.35">
      <c r="A346" s="52" t="s">
        <v>587</v>
      </c>
      <c r="B346" s="52" t="s">
        <v>600</v>
      </c>
      <c r="C346" s="52" t="s">
        <v>229</v>
      </c>
      <c r="D346" s="57">
        <v>2.5000000000000001E-2</v>
      </c>
      <c r="E346" s="68">
        <v>1</v>
      </c>
      <c r="F346" s="69" t="s">
        <v>402</v>
      </c>
      <c r="G346" s="58">
        <v>17640</v>
      </c>
      <c r="H346" s="59">
        <f t="shared" si="5"/>
        <v>20991.599999999999</v>
      </c>
    </row>
    <row r="347" spans="1:8" x14ac:dyDescent="0.35">
      <c r="A347" s="52" t="s">
        <v>601</v>
      </c>
      <c r="B347" s="52" t="s">
        <v>602</v>
      </c>
      <c r="C347" s="52" t="s">
        <v>229</v>
      </c>
      <c r="D347" s="57">
        <v>0.1</v>
      </c>
      <c r="E347" s="68">
        <v>1</v>
      </c>
      <c r="F347" s="69" t="s">
        <v>402</v>
      </c>
      <c r="G347" s="58">
        <v>14990</v>
      </c>
      <c r="H347" s="59">
        <f t="shared" si="5"/>
        <v>17838.099999999999</v>
      </c>
    </row>
    <row r="348" spans="1:8" x14ac:dyDescent="0.35">
      <c r="A348" s="52" t="s">
        <v>601</v>
      </c>
      <c r="B348" s="52" t="s">
        <v>603</v>
      </c>
      <c r="C348" s="52" t="s">
        <v>229</v>
      </c>
      <c r="D348" s="57">
        <v>6.2500000000000003E-3</v>
      </c>
      <c r="E348" s="68">
        <v>1</v>
      </c>
      <c r="F348" s="69" t="s">
        <v>402</v>
      </c>
      <c r="G348" s="58">
        <v>14990</v>
      </c>
      <c r="H348" s="59">
        <f t="shared" si="5"/>
        <v>17838.099999999999</v>
      </c>
    </row>
    <row r="349" spans="1:8" x14ac:dyDescent="0.35">
      <c r="A349" s="52" t="s">
        <v>601</v>
      </c>
      <c r="B349" s="52" t="s">
        <v>604</v>
      </c>
      <c r="C349" s="52" t="s">
        <v>229</v>
      </c>
      <c r="D349" s="57">
        <v>2.8125000000000001E-2</v>
      </c>
      <c r="E349" s="68">
        <v>1</v>
      </c>
      <c r="F349" s="69" t="s">
        <v>402</v>
      </c>
      <c r="G349" s="58">
        <v>14990</v>
      </c>
      <c r="H349" s="59">
        <f t="shared" si="5"/>
        <v>17838.099999999999</v>
      </c>
    </row>
    <row r="350" spans="1:8" x14ac:dyDescent="0.35">
      <c r="A350" s="52" t="s">
        <v>601</v>
      </c>
      <c r="B350" s="52" t="s">
        <v>605</v>
      </c>
      <c r="C350" s="52" t="s">
        <v>246</v>
      </c>
      <c r="D350" s="57">
        <v>5.0000000000000001E-3</v>
      </c>
      <c r="E350" s="68">
        <v>1</v>
      </c>
      <c r="F350" s="69" t="s">
        <v>402</v>
      </c>
      <c r="G350" s="58">
        <v>12990</v>
      </c>
      <c r="H350" s="59">
        <f t="shared" si="5"/>
        <v>15458.099999999999</v>
      </c>
    </row>
    <row r="351" spans="1:8" x14ac:dyDescent="0.35">
      <c r="A351" s="52" t="s">
        <v>606</v>
      </c>
      <c r="B351" s="52" t="s">
        <v>607</v>
      </c>
      <c r="C351" s="52" t="s">
        <v>527</v>
      </c>
      <c r="D351" s="57">
        <v>0.17</v>
      </c>
      <c r="E351" s="68">
        <v>1</v>
      </c>
      <c r="F351" s="69" t="s">
        <v>402</v>
      </c>
      <c r="G351" s="58">
        <v>10890</v>
      </c>
      <c r="H351" s="59">
        <f t="shared" si="5"/>
        <v>12959.099999999999</v>
      </c>
    </row>
    <row r="352" spans="1:8" x14ac:dyDescent="0.35">
      <c r="A352" s="52" t="s">
        <v>606</v>
      </c>
      <c r="B352" s="52" t="s">
        <v>608</v>
      </c>
      <c r="C352" s="52" t="s">
        <v>527</v>
      </c>
      <c r="D352" s="57">
        <v>0.05</v>
      </c>
      <c r="E352" s="68">
        <v>1</v>
      </c>
      <c r="F352" s="69" t="s">
        <v>402</v>
      </c>
      <c r="G352" s="58">
        <v>8040</v>
      </c>
      <c r="H352" s="59">
        <f t="shared" si="5"/>
        <v>9567.6</v>
      </c>
    </row>
    <row r="353" spans="1:10" x14ac:dyDescent="0.35">
      <c r="A353" s="52" t="s">
        <v>606</v>
      </c>
      <c r="B353" s="52" t="s">
        <v>609</v>
      </c>
      <c r="C353" s="52" t="s">
        <v>527</v>
      </c>
      <c r="D353" s="57">
        <v>1</v>
      </c>
      <c r="E353" s="68">
        <v>1</v>
      </c>
      <c r="F353" s="69" t="s">
        <v>402</v>
      </c>
      <c r="G353" s="58">
        <v>4650</v>
      </c>
      <c r="H353" s="59">
        <f t="shared" si="5"/>
        <v>5533.5</v>
      </c>
    </row>
    <row r="354" spans="1:10" x14ac:dyDescent="0.35">
      <c r="A354" s="52" t="s">
        <v>610</v>
      </c>
      <c r="B354" s="52" t="s">
        <v>611</v>
      </c>
      <c r="C354" s="52" t="s">
        <v>229</v>
      </c>
      <c r="D354" s="57"/>
      <c r="E354" s="68">
        <v>1</v>
      </c>
      <c r="F354" s="69" t="s">
        <v>402</v>
      </c>
      <c r="G354" s="58">
        <v>2259</v>
      </c>
      <c r="H354" s="59">
        <f t="shared" si="5"/>
        <v>2688.21</v>
      </c>
    </row>
    <row r="355" spans="1:10" x14ac:dyDescent="0.35">
      <c r="A355" s="52" t="s">
        <v>612</v>
      </c>
      <c r="B355" s="52" t="s">
        <v>613</v>
      </c>
      <c r="C355" s="52" t="s">
        <v>614</v>
      </c>
      <c r="D355" s="57">
        <v>2</v>
      </c>
      <c r="E355" s="68">
        <v>200</v>
      </c>
      <c r="F355" s="69" t="s">
        <v>259</v>
      </c>
      <c r="G355" s="58">
        <v>6546</v>
      </c>
      <c r="H355" s="59">
        <f t="shared" si="5"/>
        <v>7789.74</v>
      </c>
      <c r="J355" s="50"/>
    </row>
    <row r="356" spans="1:10" x14ac:dyDescent="0.35">
      <c r="A356" s="52" t="s">
        <v>612</v>
      </c>
      <c r="B356" s="52" t="s">
        <v>615</v>
      </c>
      <c r="C356" s="52" t="s">
        <v>614</v>
      </c>
      <c r="D356" s="57">
        <v>1.1250000000000001E-3</v>
      </c>
      <c r="E356" s="68">
        <v>1</v>
      </c>
      <c r="F356" s="69" t="s">
        <v>259</v>
      </c>
      <c r="G356" s="58">
        <v>22689</v>
      </c>
      <c r="H356" s="59">
        <f t="shared" si="5"/>
        <v>26999.91</v>
      </c>
      <c r="J356" s="50"/>
    </row>
    <row r="357" spans="1:10" x14ac:dyDescent="0.35">
      <c r="A357" s="52" t="s">
        <v>612</v>
      </c>
      <c r="B357" s="52" t="s">
        <v>616</v>
      </c>
      <c r="C357" s="52" t="s">
        <v>232</v>
      </c>
      <c r="D357" s="57">
        <v>5.2500000000000003E-3</v>
      </c>
      <c r="E357" s="68">
        <v>500</v>
      </c>
      <c r="F357" s="69" t="s">
        <v>522</v>
      </c>
      <c r="G357" s="58">
        <v>6546</v>
      </c>
      <c r="H357" s="59">
        <f t="shared" si="5"/>
        <v>7789.74</v>
      </c>
      <c r="J357" s="50"/>
    </row>
    <row r="358" spans="1:10" x14ac:dyDescent="0.35">
      <c r="A358" s="52" t="s">
        <v>617</v>
      </c>
      <c r="B358" s="52" t="s">
        <v>618</v>
      </c>
      <c r="C358" s="52" t="s">
        <v>619</v>
      </c>
      <c r="D358" s="57">
        <v>8.7499999999999999E-5</v>
      </c>
      <c r="E358" s="68">
        <v>1</v>
      </c>
      <c r="F358" s="69" t="s">
        <v>224</v>
      </c>
      <c r="G358" s="58">
        <v>23521</v>
      </c>
      <c r="H358" s="59">
        <f t="shared" si="5"/>
        <v>27989.989999999998</v>
      </c>
      <c r="J358" s="50"/>
    </row>
    <row r="359" spans="1:10" x14ac:dyDescent="0.35">
      <c r="A359" s="52" t="s">
        <v>617</v>
      </c>
      <c r="B359" s="52" t="s">
        <v>620</v>
      </c>
      <c r="C359" s="52" t="s">
        <v>619</v>
      </c>
      <c r="D359" s="57">
        <v>7.5000000000000007E-5</v>
      </c>
      <c r="E359" s="68">
        <v>1</v>
      </c>
      <c r="F359" s="69" t="s">
        <v>224</v>
      </c>
      <c r="G359" s="58">
        <v>42008</v>
      </c>
      <c r="H359" s="59">
        <f t="shared" si="5"/>
        <v>49989.52</v>
      </c>
      <c r="J359" s="50"/>
    </row>
    <row r="360" spans="1:10" x14ac:dyDescent="0.35">
      <c r="A360" s="52" t="s">
        <v>621</v>
      </c>
      <c r="B360" s="52" t="s">
        <v>622</v>
      </c>
      <c r="C360" s="52" t="s">
        <v>246</v>
      </c>
      <c r="D360" s="57">
        <v>7.0000000000000007E-2</v>
      </c>
      <c r="E360" s="68">
        <v>1</v>
      </c>
      <c r="F360" s="69" t="s">
        <v>402</v>
      </c>
      <c r="G360" s="58">
        <v>1092</v>
      </c>
      <c r="H360" s="59">
        <f t="shared" si="5"/>
        <v>1299.48</v>
      </c>
    </row>
    <row r="361" spans="1:10" x14ac:dyDescent="0.35">
      <c r="A361" s="52" t="s">
        <v>621</v>
      </c>
      <c r="B361" s="52" t="s">
        <v>623</v>
      </c>
      <c r="C361" s="52" t="s">
        <v>246</v>
      </c>
      <c r="D361" s="57">
        <v>3.5000000000000003E-2</v>
      </c>
      <c r="E361" s="68">
        <v>1</v>
      </c>
      <c r="F361" s="69" t="s">
        <v>402</v>
      </c>
      <c r="G361" s="58">
        <v>6555</v>
      </c>
      <c r="H361" s="59">
        <f t="shared" si="5"/>
        <v>7800.45</v>
      </c>
    </row>
    <row r="362" spans="1:10" x14ac:dyDescent="0.35">
      <c r="A362" s="52" t="s">
        <v>621</v>
      </c>
      <c r="B362" s="52" t="s">
        <v>624</v>
      </c>
      <c r="C362" s="52" t="s">
        <v>246</v>
      </c>
      <c r="D362" s="57">
        <v>1.5125625</v>
      </c>
      <c r="E362" s="68">
        <v>1</v>
      </c>
      <c r="F362" s="69" t="s">
        <v>402</v>
      </c>
      <c r="G362" s="58">
        <v>10924</v>
      </c>
      <c r="H362" s="59">
        <f t="shared" si="5"/>
        <v>12999.56</v>
      </c>
    </row>
    <row r="363" spans="1:10" x14ac:dyDescent="0.35">
      <c r="A363" s="52" t="s">
        <v>621</v>
      </c>
      <c r="B363" s="52" t="s">
        <v>625</v>
      </c>
      <c r="C363" s="52" t="s">
        <v>246</v>
      </c>
      <c r="D363" s="57">
        <v>1.5625E-2</v>
      </c>
      <c r="E363" s="68">
        <v>1</v>
      </c>
      <c r="F363" s="69" t="s">
        <v>402</v>
      </c>
      <c r="G363" s="58">
        <v>5462</v>
      </c>
      <c r="H363" s="59">
        <f t="shared" si="5"/>
        <v>6499.78</v>
      </c>
    </row>
    <row r="364" spans="1:10" x14ac:dyDescent="0.35">
      <c r="A364" s="52" t="s">
        <v>621</v>
      </c>
      <c r="B364" s="52" t="s">
        <v>626</v>
      </c>
      <c r="C364" s="52" t="s">
        <v>246</v>
      </c>
      <c r="D364" s="57">
        <v>0.27812500000000001</v>
      </c>
      <c r="E364" s="68">
        <v>1</v>
      </c>
      <c r="F364" s="69" t="s">
        <v>402</v>
      </c>
      <c r="G364" s="58">
        <v>18571</v>
      </c>
      <c r="H364" s="59">
        <f t="shared" si="5"/>
        <v>22099.489999999998</v>
      </c>
    </row>
    <row r="365" spans="1:10" x14ac:dyDescent="0.35">
      <c r="A365" s="52" t="s">
        <v>621</v>
      </c>
      <c r="B365" s="52" t="s">
        <v>627</v>
      </c>
      <c r="C365" s="52" t="s">
        <v>246</v>
      </c>
      <c r="D365" s="57">
        <v>0.4237499999999999</v>
      </c>
      <c r="E365" s="68">
        <v>1</v>
      </c>
      <c r="F365" s="69" t="s">
        <v>402</v>
      </c>
      <c r="G365" s="58">
        <v>3824</v>
      </c>
      <c r="H365" s="59">
        <f t="shared" si="5"/>
        <v>4550.5599999999995</v>
      </c>
    </row>
    <row r="366" spans="1:10" x14ac:dyDescent="0.35">
      <c r="A366" s="52" t="s">
        <v>621</v>
      </c>
      <c r="B366" s="52" t="s">
        <v>628</v>
      </c>
      <c r="C366" s="52" t="s">
        <v>246</v>
      </c>
      <c r="D366" s="57">
        <v>10.364250000000002</v>
      </c>
      <c r="E366" s="68">
        <v>1</v>
      </c>
      <c r="F366" s="69" t="s">
        <v>392</v>
      </c>
      <c r="G366" s="58">
        <v>219</v>
      </c>
      <c r="H366" s="59">
        <f t="shared" si="5"/>
        <v>260.61</v>
      </c>
    </row>
    <row r="367" spans="1:10" x14ac:dyDescent="0.35">
      <c r="A367" s="52" t="s">
        <v>621</v>
      </c>
      <c r="B367" s="52" t="s">
        <v>629</v>
      </c>
      <c r="C367" s="52" t="s">
        <v>246</v>
      </c>
      <c r="D367" s="57">
        <v>0.19081249999999997</v>
      </c>
      <c r="E367" s="68">
        <v>1</v>
      </c>
      <c r="F367" s="69" t="s">
        <v>402</v>
      </c>
      <c r="G367" s="58">
        <v>8193</v>
      </c>
      <c r="H367" s="59">
        <f t="shared" si="5"/>
        <v>9749.67</v>
      </c>
    </row>
    <row r="368" spans="1:10" x14ac:dyDescent="0.35">
      <c r="A368" s="52" t="s">
        <v>621</v>
      </c>
      <c r="B368" s="52" t="s">
        <v>630</v>
      </c>
      <c r="C368" s="52" t="s">
        <v>229</v>
      </c>
      <c r="D368" s="57">
        <v>2E-3</v>
      </c>
      <c r="E368" s="68">
        <v>250</v>
      </c>
      <c r="F368" s="69" t="s">
        <v>522</v>
      </c>
      <c r="G368" s="58">
        <v>3566</v>
      </c>
      <c r="H368" s="59">
        <f t="shared" si="5"/>
        <v>4243.54</v>
      </c>
    </row>
    <row r="369" spans="1:8" x14ac:dyDescent="0.35">
      <c r="A369" s="52" t="s">
        <v>621</v>
      </c>
      <c r="B369" s="52" t="s">
        <v>631</v>
      </c>
      <c r="C369" s="52" t="s">
        <v>246</v>
      </c>
      <c r="D369" s="57">
        <v>1.4999999999999999E-2</v>
      </c>
      <c r="E369" s="68">
        <v>1</v>
      </c>
      <c r="F369" s="69" t="s">
        <v>402</v>
      </c>
      <c r="G369" s="58">
        <v>16933</v>
      </c>
      <c r="H369" s="59">
        <f t="shared" si="5"/>
        <v>20150.27</v>
      </c>
    </row>
    <row r="370" spans="1:8" x14ac:dyDescent="0.35">
      <c r="A370" s="52" t="s">
        <v>621</v>
      </c>
      <c r="B370" s="52" t="s">
        <v>632</v>
      </c>
      <c r="C370" s="52" t="s">
        <v>246</v>
      </c>
      <c r="D370" s="57">
        <v>1.4999999999999999E-2</v>
      </c>
      <c r="E370" s="68">
        <v>1</v>
      </c>
      <c r="F370" s="69" t="s">
        <v>402</v>
      </c>
      <c r="G370" s="58">
        <v>19664</v>
      </c>
      <c r="H370" s="59">
        <f t="shared" si="5"/>
        <v>23400.16</v>
      </c>
    </row>
    <row r="371" spans="1:8" x14ac:dyDescent="0.35">
      <c r="A371" s="52" t="s">
        <v>621</v>
      </c>
      <c r="B371" s="52" t="s">
        <v>633</v>
      </c>
      <c r="C371" s="52" t="s">
        <v>246</v>
      </c>
      <c r="D371" s="57">
        <v>0.61062499999999997</v>
      </c>
      <c r="E371" s="68">
        <v>1</v>
      </c>
      <c r="F371" s="69" t="s">
        <v>259</v>
      </c>
      <c r="G371" s="58">
        <v>1202</v>
      </c>
      <c r="H371" s="59">
        <f t="shared" si="5"/>
        <v>1430.3799999999999</v>
      </c>
    </row>
    <row r="372" spans="1:8" x14ac:dyDescent="0.35">
      <c r="A372" s="52" t="s">
        <v>621</v>
      </c>
      <c r="B372" s="52" t="s">
        <v>634</v>
      </c>
      <c r="C372" s="52" t="s">
        <v>246</v>
      </c>
      <c r="D372" s="57">
        <v>0.44562500000000005</v>
      </c>
      <c r="E372" s="68">
        <v>1</v>
      </c>
      <c r="F372" s="69" t="s">
        <v>402</v>
      </c>
      <c r="G372" s="58">
        <v>16387</v>
      </c>
      <c r="H372" s="59">
        <f t="shared" si="5"/>
        <v>19500.53</v>
      </c>
    </row>
    <row r="373" spans="1:8" x14ac:dyDescent="0.35">
      <c r="A373" s="52" t="s">
        <v>621</v>
      </c>
      <c r="B373" s="52" t="s">
        <v>635</v>
      </c>
      <c r="C373" s="52" t="s">
        <v>246</v>
      </c>
      <c r="D373" s="57">
        <v>0.1575</v>
      </c>
      <c r="E373" s="68">
        <v>1</v>
      </c>
      <c r="F373" s="69" t="s">
        <v>402</v>
      </c>
      <c r="G373" s="58">
        <v>2731</v>
      </c>
      <c r="H373" s="59">
        <f t="shared" si="5"/>
        <v>3249.89</v>
      </c>
    </row>
    <row r="374" spans="1:8" x14ac:dyDescent="0.35">
      <c r="A374" s="52" t="s">
        <v>621</v>
      </c>
      <c r="B374" s="52" t="s">
        <v>636</v>
      </c>
      <c r="C374" s="52" t="s">
        <v>246</v>
      </c>
      <c r="D374" s="57">
        <v>7.4999999999999997E-2</v>
      </c>
      <c r="E374" s="68">
        <v>1</v>
      </c>
      <c r="F374" s="69" t="s">
        <v>402</v>
      </c>
      <c r="G374" s="58">
        <v>2185</v>
      </c>
      <c r="H374" s="59">
        <f t="shared" si="5"/>
        <v>2600.15</v>
      </c>
    </row>
    <row r="375" spans="1:8" x14ac:dyDescent="0.35">
      <c r="A375" s="52" t="s">
        <v>621</v>
      </c>
      <c r="B375" s="52" t="s">
        <v>637</v>
      </c>
      <c r="C375" s="52" t="s">
        <v>246</v>
      </c>
      <c r="D375" s="57">
        <v>2.5000000000000001E-4</v>
      </c>
      <c r="E375" s="68">
        <v>100</v>
      </c>
      <c r="F375" s="69" t="s">
        <v>522</v>
      </c>
      <c r="G375" s="58">
        <v>13088</v>
      </c>
      <c r="H375" s="59">
        <f t="shared" si="5"/>
        <v>15574.72</v>
      </c>
    </row>
    <row r="376" spans="1:8" x14ac:dyDescent="0.35">
      <c r="A376" s="52" t="s">
        <v>621</v>
      </c>
      <c r="B376" s="52" t="s">
        <v>638</v>
      </c>
      <c r="C376" s="52" t="s">
        <v>246</v>
      </c>
      <c r="D376" s="57">
        <v>0.78874999999999995</v>
      </c>
      <c r="E376" s="68">
        <v>1</v>
      </c>
      <c r="F376" s="69" t="s">
        <v>259</v>
      </c>
      <c r="G376" s="58">
        <v>874</v>
      </c>
      <c r="H376" s="59">
        <f t="shared" si="5"/>
        <v>1040.06</v>
      </c>
    </row>
    <row r="377" spans="1:8" x14ac:dyDescent="0.35">
      <c r="A377" s="52" t="s">
        <v>621</v>
      </c>
      <c r="B377" s="52" t="s">
        <v>639</v>
      </c>
      <c r="C377" s="52" t="s">
        <v>246</v>
      </c>
      <c r="D377" s="57">
        <v>1.8749999999999999E-3</v>
      </c>
      <c r="E377" s="68">
        <v>1</v>
      </c>
      <c r="F377" s="69" t="s">
        <v>402</v>
      </c>
      <c r="G377" s="58">
        <v>7100</v>
      </c>
      <c r="H377" s="59">
        <f t="shared" si="5"/>
        <v>8449</v>
      </c>
    </row>
    <row r="378" spans="1:8" x14ac:dyDescent="0.35">
      <c r="A378" s="52" t="s">
        <v>621</v>
      </c>
      <c r="B378" s="52" t="s">
        <v>640</v>
      </c>
      <c r="C378" s="52" t="s">
        <v>246</v>
      </c>
      <c r="D378" s="57">
        <v>0.33124999999999999</v>
      </c>
      <c r="E378" s="68">
        <v>5</v>
      </c>
      <c r="F378" s="69" t="s">
        <v>259</v>
      </c>
      <c r="G378" s="58">
        <v>1639</v>
      </c>
      <c r="H378" s="59">
        <f t="shared" si="5"/>
        <v>1950.4099999999999</v>
      </c>
    </row>
    <row r="379" spans="1:8" x14ac:dyDescent="0.35">
      <c r="A379" s="52" t="s">
        <v>621</v>
      </c>
      <c r="B379" s="52" t="s">
        <v>641</v>
      </c>
      <c r="C379" s="52" t="s">
        <v>246</v>
      </c>
      <c r="D379" s="57">
        <v>0.31</v>
      </c>
      <c r="E379" s="68">
        <v>1</v>
      </c>
      <c r="F379" s="69" t="s">
        <v>259</v>
      </c>
      <c r="G379" s="58">
        <v>1639</v>
      </c>
      <c r="H379" s="59">
        <f t="shared" si="5"/>
        <v>1950.4099999999999</v>
      </c>
    </row>
    <row r="380" spans="1:8" x14ac:dyDescent="0.35">
      <c r="A380" s="52" t="s">
        <v>621</v>
      </c>
      <c r="B380" s="52" t="s">
        <v>642</v>
      </c>
      <c r="C380" s="52" t="s">
        <v>246</v>
      </c>
      <c r="D380" s="57">
        <v>2.5000000000000001E-3</v>
      </c>
      <c r="E380" s="68">
        <v>120</v>
      </c>
      <c r="F380" s="69" t="s">
        <v>522</v>
      </c>
      <c r="G380" s="58">
        <v>2185</v>
      </c>
      <c r="H380" s="59">
        <f t="shared" si="5"/>
        <v>2600.15</v>
      </c>
    </row>
    <row r="381" spans="1:8" x14ac:dyDescent="0.35">
      <c r="A381" s="52" t="s">
        <v>621</v>
      </c>
      <c r="B381" s="52" t="s">
        <v>643</v>
      </c>
      <c r="C381" s="52" t="s">
        <v>246</v>
      </c>
      <c r="D381" s="57">
        <v>3.1250000000000002E-3</v>
      </c>
      <c r="E381" s="68">
        <v>120</v>
      </c>
      <c r="F381" s="69" t="s">
        <v>522</v>
      </c>
      <c r="G381" s="58">
        <v>16386</v>
      </c>
      <c r="H381" s="59">
        <f t="shared" si="5"/>
        <v>19499.34</v>
      </c>
    </row>
    <row r="382" spans="1:8" x14ac:dyDescent="0.35">
      <c r="A382" s="52" t="s">
        <v>621</v>
      </c>
      <c r="B382" s="52" t="s">
        <v>644</v>
      </c>
      <c r="C382" s="52" t="s">
        <v>246</v>
      </c>
      <c r="D382" s="57">
        <v>6.5096249999999971</v>
      </c>
      <c r="E382" s="68">
        <v>1</v>
      </c>
      <c r="F382" s="69" t="s">
        <v>402</v>
      </c>
      <c r="G382" s="58">
        <v>1170</v>
      </c>
      <c r="H382" s="59">
        <f t="shared" si="5"/>
        <v>1392.3</v>
      </c>
    </row>
    <row r="383" spans="1:8" x14ac:dyDescent="0.35">
      <c r="A383" s="52" t="s">
        <v>621</v>
      </c>
      <c r="B383" s="52" t="s">
        <v>645</v>
      </c>
      <c r="C383" s="52" t="s">
        <v>246</v>
      </c>
      <c r="D383" s="57">
        <v>0.48875000000000002</v>
      </c>
      <c r="E383" s="68">
        <v>1</v>
      </c>
      <c r="F383" s="69" t="s">
        <v>402</v>
      </c>
      <c r="G383" s="58">
        <v>1126</v>
      </c>
      <c r="H383" s="59">
        <f t="shared" si="5"/>
        <v>1339.9399999999998</v>
      </c>
    </row>
    <row r="384" spans="1:8" x14ac:dyDescent="0.35">
      <c r="A384" s="52" t="s">
        <v>621</v>
      </c>
      <c r="B384" s="52" t="s">
        <v>646</v>
      </c>
      <c r="C384" s="52" t="s">
        <v>246</v>
      </c>
      <c r="D384" s="57">
        <v>2.9725000000000001</v>
      </c>
      <c r="E384" s="68">
        <v>1</v>
      </c>
      <c r="F384" s="69" t="s">
        <v>259</v>
      </c>
      <c r="G384" s="58">
        <v>546</v>
      </c>
      <c r="H384" s="59">
        <f t="shared" si="5"/>
        <v>649.74</v>
      </c>
    </row>
    <row r="385" spans="1:10" x14ac:dyDescent="0.35">
      <c r="A385" s="52" t="s">
        <v>621</v>
      </c>
      <c r="B385" s="52" t="s">
        <v>647</v>
      </c>
      <c r="C385" s="52" t="s">
        <v>648</v>
      </c>
      <c r="D385" s="57">
        <v>2.5000000000000001E-2</v>
      </c>
      <c r="E385" s="68">
        <v>1</v>
      </c>
      <c r="F385" s="69" t="s">
        <v>402</v>
      </c>
      <c r="G385" s="58">
        <v>2269</v>
      </c>
      <c r="H385" s="59">
        <f t="shared" si="5"/>
        <v>2700.1099999999997</v>
      </c>
      <c r="J385" s="50"/>
    </row>
    <row r="386" spans="1:10" x14ac:dyDescent="0.35">
      <c r="A386" s="52" t="s">
        <v>621</v>
      </c>
      <c r="B386" s="52" t="s">
        <v>649</v>
      </c>
      <c r="C386" s="52" t="s">
        <v>246</v>
      </c>
      <c r="D386" s="57">
        <v>4.9800000000000004</v>
      </c>
      <c r="E386" s="68">
        <v>1</v>
      </c>
      <c r="F386" s="69" t="s">
        <v>402</v>
      </c>
      <c r="G386" s="58">
        <v>16386</v>
      </c>
      <c r="H386" s="59">
        <f t="shared" ref="H386:H449" si="6">G386*1.19</f>
        <v>19499.34</v>
      </c>
    </row>
    <row r="387" spans="1:10" x14ac:dyDescent="0.35">
      <c r="A387" s="52" t="s">
        <v>621</v>
      </c>
      <c r="B387" s="52" t="s">
        <v>650</v>
      </c>
      <c r="C387" s="52" t="s">
        <v>246</v>
      </c>
      <c r="D387" s="57">
        <v>2.9499999999999998E-2</v>
      </c>
      <c r="E387" s="68">
        <v>1</v>
      </c>
      <c r="F387" s="69" t="s">
        <v>402</v>
      </c>
      <c r="G387" s="58">
        <v>13109</v>
      </c>
      <c r="H387" s="59">
        <f t="shared" si="6"/>
        <v>15599.71</v>
      </c>
    </row>
    <row r="388" spans="1:10" x14ac:dyDescent="0.35">
      <c r="A388" s="52" t="s">
        <v>621</v>
      </c>
      <c r="B388" s="52" t="s">
        <v>651</v>
      </c>
      <c r="C388" s="52" t="s">
        <v>246</v>
      </c>
      <c r="D388" s="57">
        <v>0.50324999999999998</v>
      </c>
      <c r="E388" s="68">
        <v>1</v>
      </c>
      <c r="F388" s="69" t="s">
        <v>402</v>
      </c>
      <c r="G388" s="58">
        <v>6008</v>
      </c>
      <c r="H388" s="59">
        <f t="shared" si="6"/>
        <v>7149.5199999999995</v>
      </c>
    </row>
    <row r="389" spans="1:10" x14ac:dyDescent="0.35">
      <c r="A389" s="52" t="s">
        <v>621</v>
      </c>
      <c r="B389" s="52" t="s">
        <v>652</v>
      </c>
      <c r="C389" s="52" t="s">
        <v>246</v>
      </c>
      <c r="D389" s="57">
        <v>3.4500000000000003E-2</v>
      </c>
      <c r="E389" s="68">
        <v>1</v>
      </c>
      <c r="F389" s="69" t="s">
        <v>402</v>
      </c>
      <c r="G389" s="58">
        <v>8739</v>
      </c>
      <c r="H389" s="59">
        <f t="shared" si="6"/>
        <v>10399.41</v>
      </c>
    </row>
    <row r="390" spans="1:10" x14ac:dyDescent="0.35">
      <c r="A390" s="52" t="s">
        <v>621</v>
      </c>
      <c r="B390" s="52" t="s">
        <v>653</v>
      </c>
      <c r="C390" s="52" t="s">
        <v>246</v>
      </c>
      <c r="D390" s="57">
        <v>0.26500000000000001</v>
      </c>
      <c r="E390" s="68">
        <v>1</v>
      </c>
      <c r="F390" s="69" t="s">
        <v>402</v>
      </c>
      <c r="G390" s="58">
        <v>2731</v>
      </c>
      <c r="H390" s="59">
        <f t="shared" si="6"/>
        <v>3249.89</v>
      </c>
    </row>
    <row r="391" spans="1:10" x14ac:dyDescent="0.35">
      <c r="A391" s="52" t="s">
        <v>621</v>
      </c>
      <c r="B391" s="52" t="s">
        <v>654</v>
      </c>
      <c r="C391" s="52" t="s">
        <v>648</v>
      </c>
      <c r="D391" s="57">
        <v>2.5</v>
      </c>
      <c r="E391" s="68">
        <v>1</v>
      </c>
      <c r="F391" s="69" t="s">
        <v>259</v>
      </c>
      <c r="G391" s="58">
        <v>588</v>
      </c>
      <c r="H391" s="59">
        <f t="shared" si="6"/>
        <v>699.71999999999991</v>
      </c>
      <c r="J391" s="50"/>
    </row>
    <row r="392" spans="1:10" x14ac:dyDescent="0.35">
      <c r="A392" s="52" t="s">
        <v>621</v>
      </c>
      <c r="B392" s="52" t="s">
        <v>655</v>
      </c>
      <c r="C392" s="52" t="s">
        <v>246</v>
      </c>
      <c r="D392" s="57">
        <v>2.5000000000000001E-2</v>
      </c>
      <c r="E392" s="68">
        <v>1</v>
      </c>
      <c r="F392" s="69" t="s">
        <v>402</v>
      </c>
      <c r="G392" s="58">
        <v>7647</v>
      </c>
      <c r="H392" s="59">
        <f t="shared" si="6"/>
        <v>9099.93</v>
      </c>
    </row>
    <row r="393" spans="1:10" x14ac:dyDescent="0.35">
      <c r="A393" s="52" t="s">
        <v>621</v>
      </c>
      <c r="B393" s="52" t="s">
        <v>656</v>
      </c>
      <c r="C393" s="52" t="s">
        <v>246</v>
      </c>
      <c r="D393" s="57">
        <v>1.8243750000000001</v>
      </c>
      <c r="E393" s="68">
        <v>1</v>
      </c>
      <c r="F393" s="69" t="s">
        <v>259</v>
      </c>
      <c r="G393" s="58">
        <v>164</v>
      </c>
      <c r="H393" s="59">
        <f t="shared" si="6"/>
        <v>195.16</v>
      </c>
    </row>
    <row r="394" spans="1:10" x14ac:dyDescent="0.35">
      <c r="A394" s="52" t="s">
        <v>621</v>
      </c>
      <c r="B394" s="52" t="s">
        <v>657</v>
      </c>
      <c r="C394" s="52" t="s">
        <v>246</v>
      </c>
      <c r="D394" s="57">
        <v>0.53731250000000008</v>
      </c>
      <c r="E394" s="68">
        <v>1</v>
      </c>
      <c r="F394" s="69" t="s">
        <v>402</v>
      </c>
      <c r="G394" s="58">
        <v>2185</v>
      </c>
      <c r="H394" s="59">
        <f t="shared" si="6"/>
        <v>2600.15</v>
      </c>
    </row>
    <row r="395" spans="1:10" x14ac:dyDescent="0.35">
      <c r="A395" s="52" t="s">
        <v>621</v>
      </c>
      <c r="B395" s="52" t="s">
        <v>658</v>
      </c>
      <c r="C395" s="52" t="s">
        <v>246</v>
      </c>
      <c r="D395" s="57">
        <v>0.17499999999999999</v>
      </c>
      <c r="E395" s="68">
        <v>1</v>
      </c>
      <c r="F395" s="69" t="s">
        <v>402</v>
      </c>
      <c r="G395" s="58">
        <v>3277</v>
      </c>
      <c r="H395" s="59">
        <f t="shared" si="6"/>
        <v>3899.6299999999997</v>
      </c>
    </row>
    <row r="396" spans="1:10" x14ac:dyDescent="0.35">
      <c r="A396" s="52" t="s">
        <v>621</v>
      </c>
      <c r="B396" s="52" t="s">
        <v>659</v>
      </c>
      <c r="C396" s="52" t="s">
        <v>246</v>
      </c>
      <c r="D396" s="57">
        <v>0.52250000000000008</v>
      </c>
      <c r="E396" s="68">
        <v>1</v>
      </c>
      <c r="F396" s="69" t="s">
        <v>259</v>
      </c>
      <c r="G396" s="58">
        <v>1639</v>
      </c>
      <c r="H396" s="59">
        <f t="shared" si="6"/>
        <v>1950.4099999999999</v>
      </c>
    </row>
    <row r="397" spans="1:10" x14ac:dyDescent="0.35">
      <c r="A397" s="52" t="s">
        <v>621</v>
      </c>
      <c r="B397" s="52" t="s">
        <v>660</v>
      </c>
      <c r="C397" s="52" t="s">
        <v>246</v>
      </c>
      <c r="D397" s="57">
        <v>1.2500000000000001E-2</v>
      </c>
      <c r="E397" s="68">
        <v>1</v>
      </c>
      <c r="F397" s="69" t="s">
        <v>402</v>
      </c>
      <c r="G397" s="58">
        <v>7866</v>
      </c>
      <c r="H397" s="59">
        <f t="shared" si="6"/>
        <v>9360.5399999999991</v>
      </c>
    </row>
    <row r="398" spans="1:10" x14ac:dyDescent="0.35">
      <c r="A398" s="52" t="s">
        <v>621</v>
      </c>
      <c r="B398" s="52" t="s">
        <v>661</v>
      </c>
      <c r="C398" s="52" t="s">
        <v>246</v>
      </c>
      <c r="D398" s="57">
        <v>3.7499999999999999E-2</v>
      </c>
      <c r="E398" s="68">
        <v>1</v>
      </c>
      <c r="F398" s="69" t="s">
        <v>402</v>
      </c>
      <c r="G398" s="58">
        <v>13109</v>
      </c>
      <c r="H398" s="59">
        <f t="shared" si="6"/>
        <v>15599.71</v>
      </c>
    </row>
    <row r="399" spans="1:10" x14ac:dyDescent="0.35">
      <c r="A399" s="52" t="s">
        <v>621</v>
      </c>
      <c r="B399" s="52" t="s">
        <v>662</v>
      </c>
      <c r="C399" s="52" t="s">
        <v>246</v>
      </c>
      <c r="D399" s="57">
        <v>7.3499999999999996E-2</v>
      </c>
      <c r="E399" s="68">
        <v>1</v>
      </c>
      <c r="F399" s="69" t="s">
        <v>402</v>
      </c>
      <c r="G399" s="58">
        <v>4916</v>
      </c>
      <c r="H399" s="59">
        <f t="shared" si="6"/>
        <v>5850.04</v>
      </c>
    </row>
    <row r="400" spans="1:10" x14ac:dyDescent="0.35">
      <c r="A400" s="52" t="s">
        <v>621</v>
      </c>
      <c r="B400" s="52" t="s">
        <v>663</v>
      </c>
      <c r="C400" s="52" t="s">
        <v>246</v>
      </c>
      <c r="D400" s="57">
        <v>2E-3</v>
      </c>
      <c r="E400" s="68">
        <v>1</v>
      </c>
      <c r="F400" s="69" t="s">
        <v>896</v>
      </c>
      <c r="G400" s="58">
        <v>3277</v>
      </c>
      <c r="H400" s="59">
        <f t="shared" si="6"/>
        <v>3899.6299999999997</v>
      </c>
    </row>
    <row r="401" spans="1:8" x14ac:dyDescent="0.35">
      <c r="A401" s="52" t="s">
        <v>621</v>
      </c>
      <c r="B401" s="52" t="s">
        <v>664</v>
      </c>
      <c r="C401" s="52" t="s">
        <v>246</v>
      </c>
      <c r="D401" s="57">
        <v>0.02</v>
      </c>
      <c r="E401" s="68">
        <v>1</v>
      </c>
      <c r="F401" s="69" t="s">
        <v>402</v>
      </c>
      <c r="G401" s="58">
        <v>8193</v>
      </c>
      <c r="H401" s="59">
        <f t="shared" si="6"/>
        <v>9749.67</v>
      </c>
    </row>
    <row r="402" spans="1:8" x14ac:dyDescent="0.35">
      <c r="A402" s="52" t="s">
        <v>621</v>
      </c>
      <c r="B402" s="52" t="s">
        <v>665</v>
      </c>
      <c r="C402" s="52" t="s">
        <v>246</v>
      </c>
      <c r="D402" s="57">
        <v>0.41625000000000001</v>
      </c>
      <c r="E402" s="68">
        <v>1</v>
      </c>
      <c r="F402" s="69" t="s">
        <v>402</v>
      </c>
      <c r="G402" s="58">
        <v>2185</v>
      </c>
      <c r="H402" s="59">
        <f t="shared" si="6"/>
        <v>2600.15</v>
      </c>
    </row>
    <row r="403" spans="1:8" x14ac:dyDescent="0.35">
      <c r="A403" s="52" t="s">
        <v>621</v>
      </c>
      <c r="B403" s="52" t="s">
        <v>666</v>
      </c>
      <c r="C403" s="52" t="s">
        <v>246</v>
      </c>
      <c r="D403" s="57">
        <v>1E-3</v>
      </c>
      <c r="E403" s="68">
        <v>1</v>
      </c>
      <c r="F403" s="69" t="s">
        <v>896</v>
      </c>
      <c r="G403" s="58">
        <v>2185</v>
      </c>
      <c r="H403" s="59">
        <f t="shared" si="6"/>
        <v>2600.15</v>
      </c>
    </row>
    <row r="404" spans="1:8" x14ac:dyDescent="0.35">
      <c r="A404" s="52" t="s">
        <v>621</v>
      </c>
      <c r="B404" s="52" t="s">
        <v>667</v>
      </c>
      <c r="C404" s="52" t="s">
        <v>246</v>
      </c>
      <c r="D404" s="57">
        <v>0.29375000000000001</v>
      </c>
      <c r="E404" s="68">
        <v>600</v>
      </c>
      <c r="F404" s="69" t="s">
        <v>522</v>
      </c>
      <c r="G404" s="58">
        <v>8182</v>
      </c>
      <c r="H404" s="59">
        <f t="shared" si="6"/>
        <v>9736.58</v>
      </c>
    </row>
    <row r="405" spans="1:8" x14ac:dyDescent="0.35">
      <c r="A405" s="52" t="s">
        <v>621</v>
      </c>
      <c r="B405" s="52" t="s">
        <v>668</v>
      </c>
      <c r="C405" s="52" t="s">
        <v>246</v>
      </c>
      <c r="D405" s="57">
        <v>0.27300000000000002</v>
      </c>
      <c r="E405" s="68">
        <v>1</v>
      </c>
      <c r="F405" s="69" t="s">
        <v>402</v>
      </c>
      <c r="G405" s="58">
        <v>9286</v>
      </c>
      <c r="H405" s="59">
        <f t="shared" si="6"/>
        <v>11050.34</v>
      </c>
    </row>
    <row r="406" spans="1:8" x14ac:dyDescent="0.35">
      <c r="A406" s="52" t="s">
        <v>621</v>
      </c>
      <c r="B406" s="52" t="s">
        <v>669</v>
      </c>
      <c r="C406" s="52" t="s">
        <v>246</v>
      </c>
      <c r="D406" s="57">
        <v>0.75000000000000022</v>
      </c>
      <c r="E406" s="68">
        <v>1</v>
      </c>
      <c r="F406" s="69" t="s">
        <v>402</v>
      </c>
      <c r="G406" s="58">
        <v>9832</v>
      </c>
      <c r="H406" s="59">
        <f t="shared" si="6"/>
        <v>11700.08</v>
      </c>
    </row>
    <row r="407" spans="1:8" x14ac:dyDescent="0.35">
      <c r="A407" s="52" t="s">
        <v>621</v>
      </c>
      <c r="B407" s="52" t="s">
        <v>670</v>
      </c>
      <c r="C407" s="52" t="s">
        <v>246</v>
      </c>
      <c r="D407" s="57">
        <v>0.13400000000000001</v>
      </c>
      <c r="E407" s="68">
        <v>1</v>
      </c>
      <c r="F407" s="69" t="s">
        <v>402</v>
      </c>
      <c r="G407" s="58">
        <v>4370</v>
      </c>
      <c r="H407" s="59">
        <f t="shared" si="6"/>
        <v>5200.3</v>
      </c>
    </row>
    <row r="408" spans="1:8" x14ac:dyDescent="0.35">
      <c r="A408" s="52" t="s">
        <v>621</v>
      </c>
      <c r="B408" s="52" t="s">
        <v>671</v>
      </c>
      <c r="C408" s="52" t="s">
        <v>246</v>
      </c>
      <c r="D408" s="57">
        <v>0.60957500000000009</v>
      </c>
      <c r="E408" s="68">
        <v>1</v>
      </c>
      <c r="F408" s="69" t="s">
        <v>402</v>
      </c>
      <c r="G408" s="58">
        <v>3824</v>
      </c>
      <c r="H408" s="59">
        <f t="shared" si="6"/>
        <v>4550.5599999999995</v>
      </c>
    </row>
    <row r="409" spans="1:8" x14ac:dyDescent="0.35">
      <c r="A409" s="52" t="s">
        <v>621</v>
      </c>
      <c r="B409" s="52" t="s">
        <v>672</v>
      </c>
      <c r="C409" s="52" t="s">
        <v>246</v>
      </c>
      <c r="D409" s="57">
        <v>7.4874999999999997E-2</v>
      </c>
      <c r="E409" s="68">
        <v>1</v>
      </c>
      <c r="F409" s="69" t="s">
        <v>402</v>
      </c>
      <c r="G409" s="58">
        <v>7100</v>
      </c>
      <c r="H409" s="59">
        <f t="shared" si="6"/>
        <v>8449</v>
      </c>
    </row>
    <row r="410" spans="1:8" x14ac:dyDescent="0.35">
      <c r="A410" s="52" t="s">
        <v>621</v>
      </c>
      <c r="B410" s="52" t="s">
        <v>673</v>
      </c>
      <c r="C410" s="52" t="s">
        <v>246</v>
      </c>
      <c r="D410" s="57">
        <v>2.5000000000000001E-3</v>
      </c>
      <c r="E410" s="68">
        <v>1</v>
      </c>
      <c r="F410" s="69" t="s">
        <v>402</v>
      </c>
      <c r="G410" s="58">
        <v>8740</v>
      </c>
      <c r="H410" s="59">
        <f t="shared" si="6"/>
        <v>10400.6</v>
      </c>
    </row>
    <row r="411" spans="1:8" x14ac:dyDescent="0.35">
      <c r="A411" s="52" t="s">
        <v>621</v>
      </c>
      <c r="B411" s="52" t="s">
        <v>674</v>
      </c>
      <c r="C411" s="52" t="s">
        <v>246</v>
      </c>
      <c r="D411" s="57">
        <v>3.0000000000000001E-3</v>
      </c>
      <c r="E411" s="68">
        <v>20</v>
      </c>
      <c r="F411" s="69" t="s">
        <v>522</v>
      </c>
      <c r="G411" s="58">
        <v>2800</v>
      </c>
      <c r="H411" s="59">
        <f t="shared" si="6"/>
        <v>3332</v>
      </c>
    </row>
    <row r="412" spans="1:8" x14ac:dyDescent="0.35">
      <c r="A412" s="52" t="s">
        <v>621</v>
      </c>
      <c r="B412" s="52" t="s">
        <v>675</v>
      </c>
      <c r="C412" s="52" t="s">
        <v>246</v>
      </c>
      <c r="D412" s="57">
        <v>0.171625</v>
      </c>
      <c r="E412" s="68">
        <v>1</v>
      </c>
      <c r="F412" s="69" t="s">
        <v>402</v>
      </c>
      <c r="G412" s="58">
        <v>4370</v>
      </c>
      <c r="H412" s="59">
        <f t="shared" si="6"/>
        <v>5200.3</v>
      </c>
    </row>
    <row r="413" spans="1:8" x14ac:dyDescent="0.35">
      <c r="A413" s="52" t="s">
        <v>621</v>
      </c>
      <c r="B413" s="52" t="s">
        <v>676</v>
      </c>
      <c r="C413" s="52" t="s">
        <v>246</v>
      </c>
      <c r="D413" s="57">
        <v>0.13500000000000001</v>
      </c>
      <c r="E413" s="68">
        <v>1</v>
      </c>
      <c r="F413" s="69" t="s">
        <v>402</v>
      </c>
      <c r="G413" s="58">
        <v>3496</v>
      </c>
      <c r="H413" s="59">
        <f t="shared" si="6"/>
        <v>4160.24</v>
      </c>
    </row>
    <row r="414" spans="1:8" x14ac:dyDescent="0.35">
      <c r="A414" s="52" t="s">
        <v>621</v>
      </c>
      <c r="B414" s="52" t="s">
        <v>677</v>
      </c>
      <c r="C414" s="52" t="s">
        <v>246</v>
      </c>
      <c r="D414" s="57">
        <v>6.2500000000000003E-3</v>
      </c>
      <c r="E414" s="68">
        <v>1</v>
      </c>
      <c r="F414" s="69" t="s">
        <v>259</v>
      </c>
      <c r="G414" s="58">
        <v>1093</v>
      </c>
      <c r="H414" s="59">
        <f t="shared" si="6"/>
        <v>1300.6699999999998</v>
      </c>
    </row>
    <row r="415" spans="1:8" x14ac:dyDescent="0.35">
      <c r="A415" s="52" t="s">
        <v>621</v>
      </c>
      <c r="B415" s="52" t="s">
        <v>678</v>
      </c>
      <c r="C415" s="52" t="s">
        <v>246</v>
      </c>
      <c r="D415" s="57">
        <v>0.63749999999999996</v>
      </c>
      <c r="E415" s="68">
        <v>1</v>
      </c>
      <c r="F415" s="69" t="s">
        <v>259</v>
      </c>
      <c r="G415" s="58">
        <v>874</v>
      </c>
      <c r="H415" s="59">
        <f t="shared" si="6"/>
        <v>1040.06</v>
      </c>
    </row>
    <row r="416" spans="1:8" x14ac:dyDescent="0.35">
      <c r="A416" s="52" t="s">
        <v>621</v>
      </c>
      <c r="B416" s="52" t="s">
        <v>679</v>
      </c>
      <c r="C416" s="52" t="s">
        <v>246</v>
      </c>
      <c r="D416" s="57">
        <v>0.42500000000000004</v>
      </c>
      <c r="E416" s="68">
        <v>1</v>
      </c>
      <c r="F416" s="69" t="s">
        <v>259</v>
      </c>
      <c r="G416" s="58">
        <v>990</v>
      </c>
      <c r="H416" s="59">
        <f t="shared" si="6"/>
        <v>1178.0999999999999</v>
      </c>
    </row>
    <row r="417" spans="1:8" x14ac:dyDescent="0.35">
      <c r="A417" s="52" t="s">
        <v>621</v>
      </c>
      <c r="B417" s="52" t="s">
        <v>680</v>
      </c>
      <c r="C417" s="52" t="s">
        <v>246</v>
      </c>
      <c r="D417" s="57">
        <v>5.862249999999996</v>
      </c>
      <c r="E417" s="68">
        <v>1</v>
      </c>
      <c r="F417" s="69" t="s">
        <v>402</v>
      </c>
      <c r="G417" s="58">
        <v>920</v>
      </c>
      <c r="H417" s="59">
        <f t="shared" si="6"/>
        <v>1094.8</v>
      </c>
    </row>
    <row r="418" spans="1:8" x14ac:dyDescent="0.35">
      <c r="A418" s="52" t="s">
        <v>621</v>
      </c>
      <c r="B418" s="52" t="s">
        <v>681</v>
      </c>
      <c r="C418" s="52" t="s">
        <v>246</v>
      </c>
      <c r="D418" s="57">
        <v>0.25874999999999998</v>
      </c>
      <c r="E418" s="68">
        <v>1</v>
      </c>
      <c r="F418" s="69" t="s">
        <v>402</v>
      </c>
      <c r="G418" s="58">
        <v>2404</v>
      </c>
      <c r="H418" s="59">
        <f t="shared" si="6"/>
        <v>2860.7599999999998</v>
      </c>
    </row>
    <row r="419" spans="1:8" x14ac:dyDescent="0.35">
      <c r="A419" s="52" t="s">
        <v>621</v>
      </c>
      <c r="B419" s="52" t="s">
        <v>682</v>
      </c>
      <c r="C419" s="52" t="s">
        <v>246</v>
      </c>
      <c r="D419" s="57">
        <v>3.4875000000000003E-2</v>
      </c>
      <c r="E419" s="68">
        <v>1</v>
      </c>
      <c r="F419" s="69" t="s">
        <v>402</v>
      </c>
      <c r="G419" s="58">
        <v>4370</v>
      </c>
      <c r="H419" s="59">
        <f t="shared" si="6"/>
        <v>5200.3</v>
      </c>
    </row>
    <row r="420" spans="1:8" x14ac:dyDescent="0.35">
      <c r="A420" s="52" t="s">
        <v>621</v>
      </c>
      <c r="B420" s="52" t="s">
        <v>683</v>
      </c>
      <c r="C420" s="52" t="s">
        <v>246</v>
      </c>
      <c r="D420" s="57">
        <v>8.7499999999999994E-2</v>
      </c>
      <c r="E420" s="68">
        <v>1</v>
      </c>
      <c r="F420" s="69" t="s">
        <v>402</v>
      </c>
      <c r="G420" s="58">
        <v>2185</v>
      </c>
      <c r="H420" s="59">
        <f t="shared" si="6"/>
        <v>2600.15</v>
      </c>
    </row>
    <row r="421" spans="1:8" x14ac:dyDescent="0.35">
      <c r="A421" s="52" t="s">
        <v>621</v>
      </c>
      <c r="B421" s="52" t="s">
        <v>684</v>
      </c>
      <c r="C421" s="52" t="s">
        <v>246</v>
      </c>
      <c r="D421" s="57">
        <v>0.71187500000000004</v>
      </c>
      <c r="E421" s="68">
        <v>1</v>
      </c>
      <c r="F421" s="69" t="s">
        <v>402</v>
      </c>
      <c r="G421" s="58">
        <v>2182</v>
      </c>
      <c r="H421" s="59">
        <f t="shared" si="6"/>
        <v>2596.58</v>
      </c>
    </row>
    <row r="422" spans="1:8" x14ac:dyDescent="0.35">
      <c r="A422" s="52" t="s">
        <v>621</v>
      </c>
      <c r="B422" s="52" t="s">
        <v>685</v>
      </c>
      <c r="C422" s="52" t="s">
        <v>246</v>
      </c>
      <c r="D422" s="57">
        <v>3.5000000000000003E-2</v>
      </c>
      <c r="E422" s="68">
        <v>1</v>
      </c>
      <c r="F422" s="69" t="s">
        <v>402</v>
      </c>
      <c r="G422" s="58">
        <v>7647</v>
      </c>
      <c r="H422" s="59">
        <f t="shared" si="6"/>
        <v>9099.93</v>
      </c>
    </row>
    <row r="423" spans="1:8" x14ac:dyDescent="0.35">
      <c r="A423" s="52" t="s">
        <v>621</v>
      </c>
      <c r="B423" s="52" t="s">
        <v>686</v>
      </c>
      <c r="C423" s="52" t="s">
        <v>246</v>
      </c>
      <c r="D423" s="57">
        <v>1.6510000000000002</v>
      </c>
      <c r="E423" s="68">
        <v>1</v>
      </c>
      <c r="F423" s="69" t="s">
        <v>402</v>
      </c>
      <c r="G423" s="58">
        <v>6008</v>
      </c>
      <c r="H423" s="59">
        <f t="shared" si="6"/>
        <v>7149.5199999999995</v>
      </c>
    </row>
    <row r="424" spans="1:8" x14ac:dyDescent="0.35">
      <c r="A424" s="52" t="s">
        <v>621</v>
      </c>
      <c r="B424" s="52" t="s">
        <v>687</v>
      </c>
      <c r="C424" s="52" t="s">
        <v>246</v>
      </c>
      <c r="D424" s="57">
        <v>0.12000000000000001</v>
      </c>
      <c r="E424" s="68">
        <v>1</v>
      </c>
      <c r="F424" s="69" t="s">
        <v>402</v>
      </c>
      <c r="G424" s="58">
        <v>5462</v>
      </c>
      <c r="H424" s="59">
        <f t="shared" si="6"/>
        <v>6499.78</v>
      </c>
    </row>
    <row r="425" spans="1:8" x14ac:dyDescent="0.35">
      <c r="A425" s="52" t="s">
        <v>621</v>
      </c>
      <c r="B425" s="52" t="s">
        <v>688</v>
      </c>
      <c r="C425" s="52" t="s">
        <v>246</v>
      </c>
      <c r="D425" s="57">
        <v>3.5000000000000003E-2</v>
      </c>
      <c r="E425" s="68">
        <v>1</v>
      </c>
      <c r="F425" s="69" t="s">
        <v>402</v>
      </c>
      <c r="G425" s="58">
        <v>6008</v>
      </c>
      <c r="H425" s="59">
        <f t="shared" si="6"/>
        <v>7149.5199999999995</v>
      </c>
    </row>
    <row r="426" spans="1:8" x14ac:dyDescent="0.35">
      <c r="A426" s="52" t="s">
        <v>621</v>
      </c>
      <c r="B426" s="52" t="s">
        <v>689</v>
      </c>
      <c r="C426" s="52" t="s">
        <v>246</v>
      </c>
      <c r="D426" s="57">
        <v>3.125E-2</v>
      </c>
      <c r="E426" s="68">
        <v>1</v>
      </c>
      <c r="F426" s="69" t="s">
        <v>402</v>
      </c>
      <c r="G426" s="58">
        <v>3277</v>
      </c>
      <c r="H426" s="59">
        <f t="shared" si="6"/>
        <v>3899.6299999999997</v>
      </c>
    </row>
    <row r="427" spans="1:8" x14ac:dyDescent="0.35">
      <c r="A427" s="52" t="s">
        <v>621</v>
      </c>
      <c r="B427" s="52" t="s">
        <v>690</v>
      </c>
      <c r="C427" s="52" t="s">
        <v>246</v>
      </c>
      <c r="D427" s="57">
        <v>2.8571874999999998</v>
      </c>
      <c r="E427" s="68">
        <v>1</v>
      </c>
      <c r="F427" s="69" t="s">
        <v>402</v>
      </c>
      <c r="G427" s="58">
        <v>1639</v>
      </c>
      <c r="H427" s="59">
        <f t="shared" si="6"/>
        <v>1950.4099999999999</v>
      </c>
    </row>
    <row r="428" spans="1:8" x14ac:dyDescent="0.35">
      <c r="A428" s="52" t="s">
        <v>621</v>
      </c>
      <c r="B428" s="52" t="s">
        <v>691</v>
      </c>
      <c r="C428" s="52" t="s">
        <v>246</v>
      </c>
      <c r="D428" s="57">
        <v>0.69525000000000003</v>
      </c>
      <c r="E428" s="68">
        <v>1</v>
      </c>
      <c r="F428" s="69" t="s">
        <v>402</v>
      </c>
      <c r="G428" s="58">
        <v>5900</v>
      </c>
      <c r="H428" s="59">
        <f t="shared" si="6"/>
        <v>7021</v>
      </c>
    </row>
    <row r="429" spans="1:8" x14ac:dyDescent="0.35">
      <c r="A429" s="52" t="s">
        <v>621</v>
      </c>
      <c r="B429" s="52" t="s">
        <v>692</v>
      </c>
      <c r="C429" s="52" t="s">
        <v>246</v>
      </c>
      <c r="D429" s="57">
        <v>0.20624999999999999</v>
      </c>
      <c r="E429" s="68">
        <v>1</v>
      </c>
      <c r="F429" s="69" t="s">
        <v>402</v>
      </c>
      <c r="G429" s="58">
        <v>1966</v>
      </c>
      <c r="H429" s="59">
        <f t="shared" si="6"/>
        <v>2339.54</v>
      </c>
    </row>
    <row r="430" spans="1:8" x14ac:dyDescent="0.35">
      <c r="A430" s="52" t="s">
        <v>621</v>
      </c>
      <c r="B430" s="52" t="s">
        <v>693</v>
      </c>
      <c r="C430" s="52" t="s">
        <v>246</v>
      </c>
      <c r="D430" s="57">
        <v>0.05</v>
      </c>
      <c r="E430" s="68">
        <v>1</v>
      </c>
      <c r="F430" s="69" t="s">
        <v>402</v>
      </c>
      <c r="G430" s="58">
        <v>5462</v>
      </c>
      <c r="H430" s="59">
        <f t="shared" si="6"/>
        <v>6499.78</v>
      </c>
    </row>
    <row r="431" spans="1:8" x14ac:dyDescent="0.35">
      <c r="A431" s="52" t="s">
        <v>621</v>
      </c>
      <c r="B431" s="52" t="s">
        <v>411</v>
      </c>
      <c r="C431" s="52" t="s">
        <v>246</v>
      </c>
      <c r="D431" s="57">
        <v>5.6587500000000013</v>
      </c>
      <c r="E431" s="68">
        <v>1</v>
      </c>
      <c r="F431" s="69" t="s">
        <v>402</v>
      </c>
      <c r="G431" s="58">
        <v>801</v>
      </c>
      <c r="H431" s="59">
        <f t="shared" si="6"/>
        <v>953.18999999999994</v>
      </c>
    </row>
    <row r="432" spans="1:8" x14ac:dyDescent="0.35">
      <c r="A432" s="52" t="s">
        <v>621</v>
      </c>
      <c r="B432" s="52" t="s">
        <v>694</v>
      </c>
      <c r="C432" s="52" t="s">
        <v>246</v>
      </c>
      <c r="D432" s="57">
        <v>0.1</v>
      </c>
      <c r="E432" s="68">
        <v>1</v>
      </c>
      <c r="F432" s="69" t="s">
        <v>402</v>
      </c>
      <c r="G432" s="58">
        <v>7100</v>
      </c>
      <c r="H432" s="59">
        <f t="shared" si="6"/>
        <v>8449</v>
      </c>
    </row>
    <row r="433" spans="1:8" x14ac:dyDescent="0.35">
      <c r="A433" s="52" t="s">
        <v>621</v>
      </c>
      <c r="B433" s="52" t="s">
        <v>695</v>
      </c>
      <c r="C433" s="52" t="s">
        <v>246</v>
      </c>
      <c r="D433" s="57">
        <v>0.4</v>
      </c>
      <c r="E433" s="68">
        <v>1</v>
      </c>
      <c r="F433" s="69" t="s">
        <v>402</v>
      </c>
      <c r="G433" s="58">
        <v>3496</v>
      </c>
      <c r="H433" s="59">
        <f t="shared" si="6"/>
        <v>4160.24</v>
      </c>
    </row>
    <row r="434" spans="1:8" x14ac:dyDescent="0.35">
      <c r="A434" s="52" t="s">
        <v>621</v>
      </c>
      <c r="B434" s="52" t="s">
        <v>696</v>
      </c>
      <c r="C434" s="52" t="s">
        <v>246</v>
      </c>
      <c r="D434" s="57">
        <v>1.3325</v>
      </c>
      <c r="E434" s="68">
        <v>1</v>
      </c>
      <c r="F434" s="69" t="s">
        <v>259</v>
      </c>
      <c r="G434" s="58">
        <v>437</v>
      </c>
      <c r="H434" s="59">
        <f t="shared" si="6"/>
        <v>520.03</v>
      </c>
    </row>
    <row r="435" spans="1:8" x14ac:dyDescent="0.35">
      <c r="A435" s="52" t="s">
        <v>621</v>
      </c>
      <c r="B435" s="52" t="s">
        <v>697</v>
      </c>
      <c r="C435" s="52" t="s">
        <v>246</v>
      </c>
      <c r="D435" s="57">
        <v>0.28000000000000003</v>
      </c>
      <c r="E435" s="68">
        <v>1</v>
      </c>
      <c r="F435" s="69" t="s">
        <v>402</v>
      </c>
      <c r="G435" s="58">
        <v>2185</v>
      </c>
      <c r="H435" s="59">
        <f t="shared" si="6"/>
        <v>2600.15</v>
      </c>
    </row>
    <row r="436" spans="1:8" x14ac:dyDescent="0.35">
      <c r="A436" s="52" t="s">
        <v>621</v>
      </c>
      <c r="B436" s="52" t="s">
        <v>698</v>
      </c>
      <c r="C436" s="52" t="s">
        <v>246</v>
      </c>
      <c r="D436" s="57">
        <v>0.49612500000000009</v>
      </c>
      <c r="E436" s="68">
        <v>1</v>
      </c>
      <c r="F436" s="69" t="s">
        <v>402</v>
      </c>
      <c r="G436" s="58">
        <v>2185</v>
      </c>
      <c r="H436" s="59">
        <f t="shared" si="6"/>
        <v>2600.15</v>
      </c>
    </row>
    <row r="437" spans="1:8" x14ac:dyDescent="0.35">
      <c r="A437" s="52" t="s">
        <v>621</v>
      </c>
      <c r="B437" s="52" t="s">
        <v>699</v>
      </c>
      <c r="C437" s="52" t="s">
        <v>246</v>
      </c>
      <c r="D437" s="57">
        <v>7.0000000000000001E-3</v>
      </c>
      <c r="E437" s="68">
        <v>1</v>
      </c>
      <c r="F437" s="69" t="s">
        <v>402</v>
      </c>
      <c r="G437" s="58">
        <v>15294</v>
      </c>
      <c r="H437" s="59">
        <f t="shared" si="6"/>
        <v>18199.86</v>
      </c>
    </row>
    <row r="438" spans="1:8" x14ac:dyDescent="0.35">
      <c r="A438" s="52" t="s">
        <v>621</v>
      </c>
      <c r="B438" s="52" t="s">
        <v>700</v>
      </c>
      <c r="C438" s="52" t="s">
        <v>246</v>
      </c>
      <c r="D438" s="57">
        <v>0.26</v>
      </c>
      <c r="E438" s="68">
        <v>1</v>
      </c>
      <c r="F438" s="69" t="s">
        <v>259</v>
      </c>
      <c r="G438" s="58">
        <v>1202</v>
      </c>
      <c r="H438" s="59">
        <f t="shared" si="6"/>
        <v>1430.3799999999999</v>
      </c>
    </row>
    <row r="439" spans="1:8" x14ac:dyDescent="0.35">
      <c r="A439" s="52" t="s">
        <v>621</v>
      </c>
      <c r="B439" s="52" t="s">
        <v>701</v>
      </c>
      <c r="C439" s="52" t="s">
        <v>246</v>
      </c>
      <c r="D439" s="57">
        <v>1.25</v>
      </c>
      <c r="E439" s="68">
        <v>1</v>
      </c>
      <c r="F439" s="69" t="s">
        <v>259</v>
      </c>
      <c r="G439" s="58">
        <v>850</v>
      </c>
      <c r="H439" s="59">
        <f t="shared" si="6"/>
        <v>1011.5</v>
      </c>
    </row>
    <row r="440" spans="1:8" x14ac:dyDescent="0.35">
      <c r="A440" s="52" t="s">
        <v>621</v>
      </c>
      <c r="B440" s="52" t="s">
        <v>702</v>
      </c>
      <c r="C440" s="52" t="s">
        <v>246</v>
      </c>
      <c r="D440" s="57">
        <v>4.9362499999999985</v>
      </c>
      <c r="E440" s="68">
        <v>1</v>
      </c>
      <c r="F440" s="69" t="s">
        <v>259</v>
      </c>
      <c r="G440" s="58">
        <v>1092</v>
      </c>
      <c r="H440" s="59">
        <f t="shared" si="6"/>
        <v>1299.48</v>
      </c>
    </row>
    <row r="441" spans="1:8" x14ac:dyDescent="0.35">
      <c r="A441" s="52" t="s">
        <v>621</v>
      </c>
      <c r="B441" s="52" t="s">
        <v>703</v>
      </c>
      <c r="C441" s="52" t="s">
        <v>246</v>
      </c>
      <c r="D441" s="57">
        <v>1.0649999999999999</v>
      </c>
      <c r="E441" s="68">
        <v>1</v>
      </c>
      <c r="F441" s="69" t="s">
        <v>259</v>
      </c>
      <c r="G441" s="58">
        <v>820</v>
      </c>
      <c r="H441" s="59">
        <f t="shared" si="6"/>
        <v>975.8</v>
      </c>
    </row>
    <row r="442" spans="1:8" x14ac:dyDescent="0.35">
      <c r="A442" s="52" t="s">
        <v>621</v>
      </c>
      <c r="B442" s="52" t="s">
        <v>704</v>
      </c>
      <c r="C442" s="52" t="s">
        <v>246</v>
      </c>
      <c r="D442" s="57">
        <v>0.17250000000000001</v>
      </c>
      <c r="E442" s="68">
        <v>1</v>
      </c>
      <c r="F442" s="69" t="s">
        <v>259</v>
      </c>
      <c r="G442" s="58">
        <v>3824</v>
      </c>
      <c r="H442" s="59">
        <f t="shared" si="6"/>
        <v>4550.5599999999995</v>
      </c>
    </row>
    <row r="443" spans="1:8" x14ac:dyDescent="0.35">
      <c r="A443" s="52" t="s">
        <v>621</v>
      </c>
      <c r="B443" s="52" t="s">
        <v>705</v>
      </c>
      <c r="C443" s="52" t="s">
        <v>246</v>
      </c>
      <c r="D443" s="57">
        <v>1.3875000000000006</v>
      </c>
      <c r="E443" s="68">
        <v>1</v>
      </c>
      <c r="F443" s="69" t="s">
        <v>402</v>
      </c>
      <c r="G443" s="58">
        <v>1639</v>
      </c>
      <c r="H443" s="59">
        <f t="shared" si="6"/>
        <v>1950.4099999999999</v>
      </c>
    </row>
    <row r="444" spans="1:8" x14ac:dyDescent="0.35">
      <c r="A444" s="52" t="s">
        <v>621</v>
      </c>
      <c r="B444" s="52" t="s">
        <v>706</v>
      </c>
      <c r="C444" s="52" t="s">
        <v>246</v>
      </c>
      <c r="D444" s="57">
        <v>9.4500000000000001E-2</v>
      </c>
      <c r="E444" s="68">
        <v>1</v>
      </c>
      <c r="F444" s="69" t="s">
        <v>402</v>
      </c>
      <c r="G444" s="58">
        <v>2731</v>
      </c>
      <c r="H444" s="59">
        <f t="shared" si="6"/>
        <v>3249.89</v>
      </c>
    </row>
    <row r="445" spans="1:8" x14ac:dyDescent="0.35">
      <c r="A445" s="52" t="s">
        <v>621</v>
      </c>
      <c r="B445" s="52" t="s">
        <v>707</v>
      </c>
      <c r="C445" s="52" t="s">
        <v>246</v>
      </c>
      <c r="D445" s="57">
        <v>2.9800000000000004</v>
      </c>
      <c r="E445" s="68">
        <v>1</v>
      </c>
      <c r="F445" s="69" t="s">
        <v>259</v>
      </c>
      <c r="G445" s="58">
        <v>820</v>
      </c>
      <c r="H445" s="59">
        <f t="shared" si="6"/>
        <v>975.8</v>
      </c>
    </row>
    <row r="446" spans="1:8" x14ac:dyDescent="0.35">
      <c r="A446" s="52" t="s">
        <v>621</v>
      </c>
      <c r="B446" s="52" t="s">
        <v>708</v>
      </c>
      <c r="C446" s="52" t="s">
        <v>305</v>
      </c>
      <c r="D446" s="57">
        <v>7.4999999999999997E-2</v>
      </c>
      <c r="E446" s="68">
        <v>1</v>
      </c>
      <c r="F446" s="69" t="s">
        <v>402</v>
      </c>
      <c r="G446" s="58">
        <v>12000</v>
      </c>
      <c r="H446" s="59">
        <f t="shared" si="6"/>
        <v>14280</v>
      </c>
    </row>
    <row r="447" spans="1:8" x14ac:dyDescent="0.35">
      <c r="A447" s="52" t="s">
        <v>621</v>
      </c>
      <c r="B447" s="52" t="s">
        <v>709</v>
      </c>
      <c r="C447" s="52" t="s">
        <v>246</v>
      </c>
      <c r="D447" s="57">
        <v>0.185</v>
      </c>
      <c r="E447" s="68">
        <v>1</v>
      </c>
      <c r="F447" s="69" t="s">
        <v>259</v>
      </c>
      <c r="G447" s="58">
        <v>2185</v>
      </c>
      <c r="H447" s="59">
        <f t="shared" si="6"/>
        <v>2600.15</v>
      </c>
    </row>
    <row r="448" spans="1:8" x14ac:dyDescent="0.35">
      <c r="A448" s="52" t="s">
        <v>621</v>
      </c>
      <c r="B448" s="52" t="s">
        <v>710</v>
      </c>
      <c r="C448" s="52" t="s">
        <v>246</v>
      </c>
      <c r="D448" s="57">
        <v>0.14937500000000001</v>
      </c>
      <c r="E448" s="68">
        <v>1</v>
      </c>
      <c r="F448" s="69" t="s">
        <v>259</v>
      </c>
      <c r="G448" s="58">
        <v>2731</v>
      </c>
      <c r="H448" s="59">
        <f t="shared" si="6"/>
        <v>3249.89</v>
      </c>
    </row>
    <row r="449" spans="1:8" x14ac:dyDescent="0.35">
      <c r="A449" s="52" t="s">
        <v>621</v>
      </c>
      <c r="B449" s="52" t="s">
        <v>711</v>
      </c>
      <c r="C449" s="52" t="s">
        <v>246</v>
      </c>
      <c r="D449" s="57">
        <v>9.3812499999999993E-2</v>
      </c>
      <c r="E449" s="68">
        <v>1</v>
      </c>
      <c r="F449" s="69" t="s">
        <v>402</v>
      </c>
      <c r="G449" s="58">
        <v>8849</v>
      </c>
      <c r="H449" s="59">
        <f t="shared" si="6"/>
        <v>10530.31</v>
      </c>
    </row>
    <row r="450" spans="1:8" x14ac:dyDescent="0.35">
      <c r="A450" s="52" t="s">
        <v>621</v>
      </c>
      <c r="B450" s="52" t="s">
        <v>712</v>
      </c>
      <c r="C450" s="52" t="s">
        <v>246</v>
      </c>
      <c r="D450" s="57">
        <v>0.01</v>
      </c>
      <c r="E450" s="68">
        <v>1</v>
      </c>
      <c r="F450" s="69" t="s">
        <v>402</v>
      </c>
      <c r="G450" s="58">
        <v>231</v>
      </c>
      <c r="H450" s="59">
        <f t="shared" ref="H450:H513" si="7">G450*1.19</f>
        <v>274.89</v>
      </c>
    </row>
    <row r="451" spans="1:8" x14ac:dyDescent="0.35">
      <c r="A451" s="52" t="s">
        <v>621</v>
      </c>
      <c r="B451" s="52" t="s">
        <v>713</v>
      </c>
      <c r="C451" s="52" t="s">
        <v>246</v>
      </c>
      <c r="D451" s="57">
        <v>8.1250000000000007E-4</v>
      </c>
      <c r="E451" s="68">
        <v>1</v>
      </c>
      <c r="F451" s="69" t="s">
        <v>896</v>
      </c>
      <c r="G451" s="58">
        <v>3277</v>
      </c>
      <c r="H451" s="59">
        <f t="shared" si="7"/>
        <v>3899.6299999999997</v>
      </c>
    </row>
    <row r="452" spans="1:8" x14ac:dyDescent="0.35">
      <c r="A452" s="52" t="s">
        <v>621</v>
      </c>
      <c r="B452" s="52" t="s">
        <v>714</v>
      </c>
      <c r="C452" s="52" t="s">
        <v>246</v>
      </c>
      <c r="D452" s="57">
        <v>2.8125000000000001E-2</v>
      </c>
      <c r="E452" s="68">
        <v>1</v>
      </c>
      <c r="F452" s="69" t="s">
        <v>402</v>
      </c>
      <c r="G452" s="58">
        <v>5451</v>
      </c>
      <c r="H452" s="59">
        <f t="shared" si="7"/>
        <v>6486.69</v>
      </c>
    </row>
    <row r="453" spans="1:8" x14ac:dyDescent="0.35">
      <c r="A453" s="52" t="s">
        <v>621</v>
      </c>
      <c r="B453" s="52" t="s">
        <v>715</v>
      </c>
      <c r="C453" s="52" t="s">
        <v>246</v>
      </c>
      <c r="D453" s="57">
        <v>0.24437499999999998</v>
      </c>
      <c r="E453" s="68">
        <v>1</v>
      </c>
      <c r="F453" s="69" t="s">
        <v>402</v>
      </c>
      <c r="G453" s="58">
        <v>3277</v>
      </c>
      <c r="H453" s="59">
        <f t="shared" si="7"/>
        <v>3899.6299999999997</v>
      </c>
    </row>
    <row r="454" spans="1:8" x14ac:dyDescent="0.35">
      <c r="A454" s="52" t="s">
        <v>621</v>
      </c>
      <c r="B454" s="52" t="s">
        <v>716</v>
      </c>
      <c r="C454" s="52" t="s">
        <v>246</v>
      </c>
      <c r="D454" s="57">
        <v>3.1974999999999998</v>
      </c>
      <c r="E454" s="68">
        <v>1</v>
      </c>
      <c r="F454" s="69" t="s">
        <v>402</v>
      </c>
      <c r="G454" s="58">
        <v>1502</v>
      </c>
      <c r="H454" s="59">
        <f t="shared" si="7"/>
        <v>1787.3799999999999</v>
      </c>
    </row>
    <row r="455" spans="1:8" x14ac:dyDescent="0.35">
      <c r="A455" s="52" t="s">
        <v>621</v>
      </c>
      <c r="B455" s="52" t="s">
        <v>717</v>
      </c>
      <c r="C455" s="52" t="s">
        <v>246</v>
      </c>
      <c r="D455" s="57">
        <v>0.58499999999999996</v>
      </c>
      <c r="E455" s="68">
        <v>2.5</v>
      </c>
      <c r="F455" s="69" t="s">
        <v>402</v>
      </c>
      <c r="G455" s="58">
        <v>9832</v>
      </c>
      <c r="H455" s="59">
        <f t="shared" si="7"/>
        <v>11700.08</v>
      </c>
    </row>
    <row r="456" spans="1:8" x14ac:dyDescent="0.35">
      <c r="A456" s="52" t="s">
        <v>621</v>
      </c>
      <c r="B456" s="52" t="s">
        <v>718</v>
      </c>
      <c r="C456" s="52" t="s">
        <v>246</v>
      </c>
      <c r="D456" s="57">
        <v>0.12237499999999998</v>
      </c>
      <c r="E456" s="68">
        <v>1</v>
      </c>
      <c r="F456" s="69" t="s">
        <v>402</v>
      </c>
      <c r="G456" s="58">
        <v>13109</v>
      </c>
      <c r="H456" s="59">
        <f t="shared" si="7"/>
        <v>15599.71</v>
      </c>
    </row>
    <row r="457" spans="1:8" x14ac:dyDescent="0.35">
      <c r="A457" s="52" t="s">
        <v>621</v>
      </c>
      <c r="B457" s="52" t="s">
        <v>719</v>
      </c>
      <c r="C457" s="52" t="s">
        <v>246</v>
      </c>
      <c r="D457" s="57">
        <v>0.02</v>
      </c>
      <c r="E457" s="68">
        <v>1</v>
      </c>
      <c r="F457" s="69" t="s">
        <v>402</v>
      </c>
      <c r="G457" s="58">
        <v>3496</v>
      </c>
      <c r="H457" s="59">
        <f t="shared" si="7"/>
        <v>4160.24</v>
      </c>
    </row>
    <row r="458" spans="1:8" x14ac:dyDescent="0.35">
      <c r="A458" s="52" t="s">
        <v>621</v>
      </c>
      <c r="B458" s="52" t="s">
        <v>720</v>
      </c>
      <c r="C458" s="52" t="s">
        <v>246</v>
      </c>
      <c r="D458" s="57">
        <v>2.6795</v>
      </c>
      <c r="E458" s="68">
        <v>1</v>
      </c>
      <c r="F458" s="69" t="s">
        <v>402</v>
      </c>
      <c r="G458" s="58">
        <v>751</v>
      </c>
      <c r="H458" s="59">
        <f t="shared" si="7"/>
        <v>893.68999999999994</v>
      </c>
    </row>
    <row r="459" spans="1:8" x14ac:dyDescent="0.35">
      <c r="A459" s="52" t="s">
        <v>621</v>
      </c>
      <c r="B459" s="52" t="s">
        <v>721</v>
      </c>
      <c r="C459" s="52" t="s">
        <v>246</v>
      </c>
      <c r="D459" s="57">
        <v>0.125</v>
      </c>
      <c r="E459" s="68">
        <v>1</v>
      </c>
      <c r="F459" s="69" t="s">
        <v>259</v>
      </c>
      <c r="G459" s="58">
        <v>271</v>
      </c>
      <c r="H459" s="59">
        <f t="shared" si="7"/>
        <v>322.49</v>
      </c>
    </row>
    <row r="460" spans="1:8" x14ac:dyDescent="0.35">
      <c r="A460" s="52" t="s">
        <v>621</v>
      </c>
      <c r="B460" s="52" t="s">
        <v>722</v>
      </c>
      <c r="C460" s="52" t="s">
        <v>246</v>
      </c>
      <c r="D460" s="57">
        <v>0.73750000000000004</v>
      </c>
      <c r="E460" s="68">
        <v>1</v>
      </c>
      <c r="F460" s="69" t="s">
        <v>402</v>
      </c>
      <c r="G460" s="58">
        <v>874</v>
      </c>
      <c r="H460" s="59">
        <f t="shared" si="7"/>
        <v>1040.06</v>
      </c>
    </row>
    <row r="461" spans="1:8" x14ac:dyDescent="0.35">
      <c r="A461" s="52" t="s">
        <v>621</v>
      </c>
      <c r="B461" s="52" t="s">
        <v>723</v>
      </c>
      <c r="C461" s="52" t="s">
        <v>246</v>
      </c>
      <c r="D461" s="57">
        <v>3.6887500000000002</v>
      </c>
      <c r="E461" s="68">
        <v>1</v>
      </c>
      <c r="F461" s="69" t="s">
        <v>259</v>
      </c>
      <c r="G461" s="58">
        <v>437</v>
      </c>
      <c r="H461" s="59">
        <f t="shared" si="7"/>
        <v>520.03</v>
      </c>
    </row>
    <row r="462" spans="1:8" x14ac:dyDescent="0.35">
      <c r="A462" s="52" t="s">
        <v>724</v>
      </c>
      <c r="B462" s="52" t="s">
        <v>725</v>
      </c>
      <c r="C462" s="52" t="s">
        <v>246</v>
      </c>
      <c r="D462" s="57">
        <v>0.21312500000000001</v>
      </c>
      <c r="E462" s="68">
        <v>1</v>
      </c>
      <c r="F462" s="69" t="s">
        <v>402</v>
      </c>
      <c r="G462" s="58">
        <v>10924</v>
      </c>
      <c r="H462" s="59">
        <f t="shared" si="7"/>
        <v>12999.56</v>
      </c>
    </row>
    <row r="463" spans="1:8" x14ac:dyDescent="0.35">
      <c r="A463" s="52" t="s">
        <v>724</v>
      </c>
      <c r="B463" s="52" t="s">
        <v>726</v>
      </c>
      <c r="C463" s="52" t="s">
        <v>246</v>
      </c>
      <c r="D463" s="57">
        <v>0.03</v>
      </c>
      <c r="E463" s="68">
        <v>700</v>
      </c>
      <c r="F463" s="69" t="s">
        <v>522</v>
      </c>
      <c r="G463" s="58">
        <v>21827</v>
      </c>
      <c r="H463" s="59">
        <f t="shared" si="7"/>
        <v>25974.129999999997</v>
      </c>
    </row>
    <row r="464" spans="1:8" x14ac:dyDescent="0.35">
      <c r="A464" s="52" t="s">
        <v>724</v>
      </c>
      <c r="B464" s="52" t="s">
        <v>727</v>
      </c>
      <c r="C464" s="52" t="s">
        <v>246</v>
      </c>
      <c r="D464" s="57">
        <v>0.13150000000000001</v>
      </c>
      <c r="E464" s="68">
        <v>1</v>
      </c>
      <c r="F464" s="69" t="s">
        <v>402</v>
      </c>
      <c r="G464" s="58">
        <v>42605</v>
      </c>
      <c r="H464" s="59">
        <f t="shared" si="7"/>
        <v>50699.95</v>
      </c>
    </row>
    <row r="465" spans="1:10" x14ac:dyDescent="0.35">
      <c r="A465" s="52" t="s">
        <v>728</v>
      </c>
      <c r="B465" s="52" t="s">
        <v>729</v>
      </c>
      <c r="C465" s="52" t="s">
        <v>246</v>
      </c>
      <c r="D465" s="57">
        <v>230.01249999999999</v>
      </c>
      <c r="E465" s="68">
        <v>1</v>
      </c>
      <c r="F465" s="69" t="s">
        <v>259</v>
      </c>
      <c r="G465" s="58">
        <v>240</v>
      </c>
      <c r="H465" s="59">
        <f t="shared" si="7"/>
        <v>285.59999999999997</v>
      </c>
    </row>
    <row r="466" spans="1:10" x14ac:dyDescent="0.35">
      <c r="A466" s="52" t="s">
        <v>728</v>
      </c>
      <c r="B466" s="52" t="s">
        <v>730</v>
      </c>
      <c r="C466" s="52" t="s">
        <v>246</v>
      </c>
      <c r="D466" s="57">
        <v>1.125</v>
      </c>
      <c r="E466" s="68">
        <v>12</v>
      </c>
      <c r="F466" s="69" t="s">
        <v>259</v>
      </c>
      <c r="G466" s="58">
        <v>3823</v>
      </c>
      <c r="H466" s="59">
        <f t="shared" si="7"/>
        <v>4549.37</v>
      </c>
    </row>
    <row r="467" spans="1:10" x14ac:dyDescent="0.35">
      <c r="A467" s="52" t="s">
        <v>731</v>
      </c>
      <c r="B467" s="52" t="s">
        <v>732</v>
      </c>
      <c r="C467" s="52" t="s">
        <v>527</v>
      </c>
      <c r="D467" s="57">
        <v>8.5000000000000006E-2</v>
      </c>
      <c r="E467" s="68">
        <v>1</v>
      </c>
      <c r="F467" s="69" t="s">
        <v>402</v>
      </c>
      <c r="G467" s="58">
        <v>11480</v>
      </c>
      <c r="H467" s="59">
        <f t="shared" si="7"/>
        <v>13661.199999999999</v>
      </c>
    </row>
    <row r="468" spans="1:10" x14ac:dyDescent="0.35">
      <c r="A468" s="52" t="s">
        <v>731</v>
      </c>
      <c r="B468" s="52" t="s">
        <v>733</v>
      </c>
      <c r="C468" s="52" t="s">
        <v>527</v>
      </c>
      <c r="D468" s="57">
        <v>0.127</v>
      </c>
      <c r="E468" s="68">
        <v>1</v>
      </c>
      <c r="F468" s="69" t="s">
        <v>402</v>
      </c>
      <c r="G468" s="58">
        <v>11480</v>
      </c>
      <c r="H468" s="59">
        <f t="shared" si="7"/>
        <v>13661.199999999999</v>
      </c>
    </row>
    <row r="469" spans="1:10" x14ac:dyDescent="0.35">
      <c r="A469" s="52" t="s">
        <v>734</v>
      </c>
      <c r="B469" s="52" t="s">
        <v>735</v>
      </c>
      <c r="C469" s="52" t="s">
        <v>226</v>
      </c>
      <c r="D469" s="57">
        <v>0.15000000000000002</v>
      </c>
      <c r="E469" s="68">
        <v>1</v>
      </c>
      <c r="F469" s="69" t="s">
        <v>224</v>
      </c>
      <c r="G469" s="58">
        <v>6714</v>
      </c>
      <c r="H469" s="59">
        <f t="shared" si="7"/>
        <v>7989.66</v>
      </c>
      <c r="J469" s="50"/>
    </row>
    <row r="470" spans="1:10" x14ac:dyDescent="0.35">
      <c r="A470" s="52" t="s">
        <v>736</v>
      </c>
      <c r="B470" s="52" t="s">
        <v>737</v>
      </c>
      <c r="C470" s="52" t="s">
        <v>246</v>
      </c>
      <c r="D470" s="57">
        <v>9.0625000000000011E-2</v>
      </c>
      <c r="E470" s="68">
        <v>1</v>
      </c>
      <c r="F470" s="69" t="s">
        <v>224</v>
      </c>
      <c r="G470" s="58">
        <v>3266</v>
      </c>
      <c r="H470" s="59">
        <f t="shared" si="7"/>
        <v>3886.54</v>
      </c>
    </row>
    <row r="471" spans="1:10" x14ac:dyDescent="0.35">
      <c r="A471" s="52" t="s">
        <v>736</v>
      </c>
      <c r="B471" s="52" t="s">
        <v>738</v>
      </c>
      <c r="C471" s="52" t="s">
        <v>229</v>
      </c>
      <c r="D471" s="57">
        <v>0.22500000000000001</v>
      </c>
      <c r="E471" s="68">
        <v>425</v>
      </c>
      <c r="F471" s="69" t="s">
        <v>522</v>
      </c>
      <c r="G471" s="58">
        <v>3026</v>
      </c>
      <c r="H471" s="59">
        <f t="shared" si="7"/>
        <v>3600.94</v>
      </c>
    </row>
    <row r="472" spans="1:10" x14ac:dyDescent="0.35">
      <c r="A472" s="52" t="s">
        <v>736</v>
      </c>
      <c r="B472" s="52" t="s">
        <v>739</v>
      </c>
      <c r="C472" s="52" t="s">
        <v>229</v>
      </c>
      <c r="D472" s="57">
        <v>6.8933249999999981</v>
      </c>
      <c r="E472" s="68">
        <v>1</v>
      </c>
      <c r="F472" s="69" t="s">
        <v>224</v>
      </c>
      <c r="G472" s="58">
        <v>4285</v>
      </c>
      <c r="H472" s="59">
        <f t="shared" si="7"/>
        <v>5099.1499999999996</v>
      </c>
    </row>
    <row r="473" spans="1:10" x14ac:dyDescent="0.35">
      <c r="A473" s="52" t="s">
        <v>736</v>
      </c>
      <c r="B473" s="52" t="s">
        <v>740</v>
      </c>
      <c r="C473" s="52" t="s">
        <v>229</v>
      </c>
      <c r="D473" s="57">
        <v>0.54800000000000004</v>
      </c>
      <c r="E473" s="68">
        <v>397</v>
      </c>
      <c r="F473" s="69" t="s">
        <v>522</v>
      </c>
      <c r="G473" s="58">
        <v>1933</v>
      </c>
      <c r="H473" s="59">
        <f t="shared" si="7"/>
        <v>2300.27</v>
      </c>
    </row>
    <row r="474" spans="1:10" x14ac:dyDescent="0.35">
      <c r="A474" s="52" t="s">
        <v>736</v>
      </c>
      <c r="B474" s="52" t="s">
        <v>741</v>
      </c>
      <c r="C474" s="52" t="s">
        <v>223</v>
      </c>
      <c r="D474" s="57">
        <v>0.05</v>
      </c>
      <c r="E474" s="68">
        <v>320</v>
      </c>
      <c r="F474" s="69" t="s">
        <v>522</v>
      </c>
      <c r="G474" s="58">
        <v>2261</v>
      </c>
      <c r="H474" s="59">
        <f t="shared" si="7"/>
        <v>2690.5899999999997</v>
      </c>
      <c r="J474" s="50"/>
    </row>
    <row r="475" spans="1:10" x14ac:dyDescent="0.35">
      <c r="A475" s="52" t="s">
        <v>736</v>
      </c>
      <c r="B475" s="52" t="s">
        <v>742</v>
      </c>
      <c r="C475" s="52" t="s">
        <v>229</v>
      </c>
      <c r="D475" s="57">
        <v>0.02</v>
      </c>
      <c r="E475" s="68">
        <v>1</v>
      </c>
      <c r="F475" s="69" t="s">
        <v>224</v>
      </c>
      <c r="G475" s="58">
        <v>3714</v>
      </c>
      <c r="H475" s="59">
        <f t="shared" si="7"/>
        <v>4419.66</v>
      </c>
    </row>
    <row r="476" spans="1:10" x14ac:dyDescent="0.35">
      <c r="A476" s="52" t="s">
        <v>736</v>
      </c>
      <c r="B476" s="52" t="s">
        <v>743</v>
      </c>
      <c r="C476" s="52" t="s">
        <v>229</v>
      </c>
      <c r="D476" s="57">
        <v>8.5000000000000006E-2</v>
      </c>
      <c r="E476" s="68">
        <v>400</v>
      </c>
      <c r="F476" s="69" t="s">
        <v>522</v>
      </c>
      <c r="G476" s="58">
        <v>1343</v>
      </c>
      <c r="H476" s="59">
        <f t="shared" si="7"/>
        <v>1598.1699999999998</v>
      </c>
    </row>
    <row r="477" spans="1:10" x14ac:dyDescent="0.35">
      <c r="A477" s="52" t="s">
        <v>736</v>
      </c>
      <c r="B477" s="52" t="s">
        <v>744</v>
      </c>
      <c r="C477" s="52" t="s">
        <v>229</v>
      </c>
      <c r="D477" s="57">
        <v>1.875E-4</v>
      </c>
      <c r="E477" s="68">
        <v>1</v>
      </c>
      <c r="F477" s="69" t="s">
        <v>222</v>
      </c>
      <c r="G477" s="58">
        <v>1359</v>
      </c>
      <c r="H477" s="59">
        <f t="shared" si="7"/>
        <v>1617.21</v>
      </c>
    </row>
    <row r="478" spans="1:10" x14ac:dyDescent="0.35">
      <c r="A478" s="52" t="s">
        <v>736</v>
      </c>
      <c r="B478" s="52" t="s">
        <v>745</v>
      </c>
      <c r="C478" s="52" t="s">
        <v>229</v>
      </c>
      <c r="D478" s="57">
        <v>1.4999999999999999E-2</v>
      </c>
      <c r="E478" s="68">
        <v>1</v>
      </c>
      <c r="F478" s="69" t="s">
        <v>222</v>
      </c>
      <c r="G478" s="58">
        <v>1377</v>
      </c>
      <c r="H478" s="59">
        <f t="shared" si="7"/>
        <v>1638.6299999999999</v>
      </c>
    </row>
    <row r="479" spans="1:10" x14ac:dyDescent="0.35">
      <c r="A479" s="52" t="s">
        <v>736</v>
      </c>
      <c r="B479" s="52" t="s">
        <v>746</v>
      </c>
      <c r="C479" s="52" t="s">
        <v>223</v>
      </c>
      <c r="D479" s="57">
        <v>0.10500000000000001</v>
      </c>
      <c r="E479" s="68">
        <v>800</v>
      </c>
      <c r="F479" s="69" t="s">
        <v>522</v>
      </c>
      <c r="G479" s="58">
        <v>6555</v>
      </c>
      <c r="H479" s="59">
        <f t="shared" si="7"/>
        <v>7800.45</v>
      </c>
      <c r="J479" s="50"/>
    </row>
    <row r="480" spans="1:10" x14ac:dyDescent="0.35">
      <c r="A480" s="52" t="s">
        <v>736</v>
      </c>
      <c r="B480" s="52" t="s">
        <v>747</v>
      </c>
      <c r="C480" s="52" t="s">
        <v>229</v>
      </c>
      <c r="D480" s="57">
        <v>9.0000000000000011E-3</v>
      </c>
      <c r="E480" s="68">
        <v>800</v>
      </c>
      <c r="F480" s="69" t="s">
        <v>522</v>
      </c>
      <c r="G480" s="58">
        <v>8708</v>
      </c>
      <c r="H480" s="59">
        <f t="shared" si="7"/>
        <v>10362.52</v>
      </c>
    </row>
    <row r="481" spans="1:8" x14ac:dyDescent="0.35">
      <c r="A481" s="52" t="s">
        <v>736</v>
      </c>
      <c r="B481" s="52" t="s">
        <v>748</v>
      </c>
      <c r="C481" s="52" t="s">
        <v>229</v>
      </c>
      <c r="D481" s="57">
        <v>9.4732500000000002</v>
      </c>
      <c r="E481" s="68">
        <v>1</v>
      </c>
      <c r="F481" s="69" t="s">
        <v>222</v>
      </c>
      <c r="G481" s="58">
        <v>1330</v>
      </c>
      <c r="H481" s="59">
        <f t="shared" si="7"/>
        <v>1582.6999999999998</v>
      </c>
    </row>
    <row r="482" spans="1:8" x14ac:dyDescent="0.35">
      <c r="A482" s="52" t="s">
        <v>736</v>
      </c>
      <c r="B482" s="52" t="s">
        <v>749</v>
      </c>
      <c r="C482" s="52" t="s">
        <v>229</v>
      </c>
      <c r="D482" s="57">
        <v>2.27</v>
      </c>
      <c r="E482" s="68">
        <v>6</v>
      </c>
      <c r="F482" s="69" t="s">
        <v>402</v>
      </c>
      <c r="G482" s="58">
        <v>23652</v>
      </c>
      <c r="H482" s="59">
        <f t="shared" si="7"/>
        <v>28145.879999999997</v>
      </c>
    </row>
    <row r="483" spans="1:8" x14ac:dyDescent="0.35">
      <c r="A483" s="52" t="s">
        <v>736</v>
      </c>
      <c r="B483" s="52" t="s">
        <v>750</v>
      </c>
      <c r="C483" s="52" t="s">
        <v>229</v>
      </c>
      <c r="D483" s="57">
        <v>1.7361249999999999</v>
      </c>
      <c r="E483" s="68">
        <v>250</v>
      </c>
      <c r="F483" s="69" t="s">
        <v>522</v>
      </c>
      <c r="G483" s="58">
        <v>2640</v>
      </c>
      <c r="H483" s="59">
        <f t="shared" si="7"/>
        <v>3141.6</v>
      </c>
    </row>
    <row r="484" spans="1:8" x14ac:dyDescent="0.35">
      <c r="A484" s="52" t="s">
        <v>736</v>
      </c>
      <c r="B484" s="52" t="s">
        <v>751</v>
      </c>
      <c r="C484" s="52" t="s">
        <v>229</v>
      </c>
      <c r="D484" s="57">
        <v>4.1310299999999982</v>
      </c>
      <c r="E484" s="68">
        <v>250</v>
      </c>
      <c r="F484" s="69" t="s">
        <v>522</v>
      </c>
      <c r="G484" s="58">
        <v>3024</v>
      </c>
      <c r="H484" s="59">
        <f t="shared" si="7"/>
        <v>3598.56</v>
      </c>
    </row>
    <row r="485" spans="1:8" x14ac:dyDescent="0.35">
      <c r="A485" s="52" t="s">
        <v>736</v>
      </c>
      <c r="B485" s="52" t="s">
        <v>752</v>
      </c>
      <c r="C485" s="52" t="s">
        <v>229</v>
      </c>
      <c r="D485" s="57">
        <v>0.115</v>
      </c>
      <c r="E485" s="68">
        <v>1</v>
      </c>
      <c r="F485" s="69" t="s">
        <v>402</v>
      </c>
      <c r="G485" s="58">
        <v>2452</v>
      </c>
      <c r="H485" s="59">
        <f t="shared" si="7"/>
        <v>2917.8799999999997</v>
      </c>
    </row>
    <row r="486" spans="1:8" x14ac:dyDescent="0.35">
      <c r="A486" s="52" t="s">
        <v>736</v>
      </c>
      <c r="B486" s="52" t="s">
        <v>753</v>
      </c>
      <c r="C486" s="52" t="s">
        <v>246</v>
      </c>
      <c r="D486" s="57">
        <v>0.505</v>
      </c>
      <c r="E486" s="68">
        <v>1</v>
      </c>
      <c r="F486" s="69" t="s">
        <v>402</v>
      </c>
      <c r="G486" s="58">
        <v>5855</v>
      </c>
      <c r="H486" s="59">
        <f t="shared" si="7"/>
        <v>6967.45</v>
      </c>
    </row>
    <row r="487" spans="1:8" x14ac:dyDescent="0.35">
      <c r="A487" s="52" t="s">
        <v>736</v>
      </c>
      <c r="B487" s="52" t="s">
        <v>754</v>
      </c>
      <c r="C487" s="52" t="s">
        <v>246</v>
      </c>
      <c r="D487" s="57">
        <v>3.125E-2</v>
      </c>
      <c r="E487" s="68">
        <v>1</v>
      </c>
      <c r="F487" s="69" t="s">
        <v>402</v>
      </c>
      <c r="G487" s="58">
        <v>4807</v>
      </c>
      <c r="H487" s="59">
        <f t="shared" si="7"/>
        <v>5720.33</v>
      </c>
    </row>
    <row r="488" spans="1:8" x14ac:dyDescent="0.35">
      <c r="A488" s="52" t="s">
        <v>736</v>
      </c>
      <c r="B488" s="52" t="s">
        <v>755</v>
      </c>
      <c r="C488" s="52" t="s">
        <v>527</v>
      </c>
      <c r="D488" s="57">
        <v>1.6250000000000001E-2</v>
      </c>
      <c r="E488" s="68">
        <v>100</v>
      </c>
      <c r="F488" s="69" t="s">
        <v>522</v>
      </c>
      <c r="G488" s="58">
        <v>5000</v>
      </c>
      <c r="H488" s="59">
        <f t="shared" si="7"/>
        <v>5950</v>
      </c>
    </row>
    <row r="489" spans="1:8" x14ac:dyDescent="0.35">
      <c r="A489" s="52" t="s">
        <v>736</v>
      </c>
      <c r="B489" s="52" t="s">
        <v>756</v>
      </c>
      <c r="C489" s="52" t="s">
        <v>527</v>
      </c>
      <c r="D489" s="57">
        <v>0.02</v>
      </c>
      <c r="E489" s="68">
        <v>1</v>
      </c>
      <c r="F489" s="69" t="s">
        <v>402</v>
      </c>
      <c r="G489" s="58">
        <v>23990</v>
      </c>
      <c r="H489" s="59">
        <f t="shared" si="7"/>
        <v>28548.1</v>
      </c>
    </row>
    <row r="490" spans="1:8" x14ac:dyDescent="0.35">
      <c r="A490" s="52" t="s">
        <v>736</v>
      </c>
      <c r="B490" s="52" t="s">
        <v>757</v>
      </c>
      <c r="C490" s="52" t="s">
        <v>527</v>
      </c>
      <c r="D490" s="57">
        <v>0.12</v>
      </c>
      <c r="E490" s="68">
        <v>1</v>
      </c>
      <c r="F490" s="69" t="s">
        <v>402</v>
      </c>
      <c r="G490" s="58">
        <v>12980</v>
      </c>
      <c r="H490" s="59">
        <f t="shared" si="7"/>
        <v>15446.199999999999</v>
      </c>
    </row>
    <row r="491" spans="1:8" x14ac:dyDescent="0.35">
      <c r="A491" s="52" t="s">
        <v>736</v>
      </c>
      <c r="B491" s="52" t="s">
        <v>758</v>
      </c>
      <c r="C491" s="52" t="s">
        <v>527</v>
      </c>
      <c r="D491" s="57">
        <v>4.1999999999999996E-2</v>
      </c>
      <c r="E491" s="68">
        <v>1</v>
      </c>
      <c r="F491" s="69" t="s">
        <v>402</v>
      </c>
      <c r="G491" s="58">
        <v>10790</v>
      </c>
      <c r="H491" s="59">
        <f t="shared" si="7"/>
        <v>12840.099999999999</v>
      </c>
    </row>
    <row r="492" spans="1:8" x14ac:dyDescent="0.35">
      <c r="A492" s="52" t="s">
        <v>736</v>
      </c>
      <c r="B492" s="52" t="s">
        <v>759</v>
      </c>
      <c r="C492" s="52" t="s">
        <v>527</v>
      </c>
      <c r="D492" s="57">
        <v>0.97425000000000017</v>
      </c>
      <c r="E492" s="68">
        <v>180</v>
      </c>
      <c r="F492" s="69" t="s">
        <v>522</v>
      </c>
      <c r="G492" s="58">
        <v>4758</v>
      </c>
      <c r="H492" s="59">
        <f t="shared" si="7"/>
        <v>5662.0199999999995</v>
      </c>
    </row>
    <row r="493" spans="1:8" x14ac:dyDescent="0.35">
      <c r="A493" s="52" t="s">
        <v>736</v>
      </c>
      <c r="B493" s="52" t="s">
        <v>760</v>
      </c>
      <c r="C493" s="52" t="s">
        <v>527</v>
      </c>
      <c r="D493" s="57">
        <v>6.25E-2</v>
      </c>
      <c r="E493" s="68">
        <v>200</v>
      </c>
      <c r="F493" s="69" t="s">
        <v>522</v>
      </c>
      <c r="G493" s="58">
        <v>4990</v>
      </c>
      <c r="H493" s="59">
        <f t="shared" si="7"/>
        <v>5938.0999999999995</v>
      </c>
    </row>
    <row r="494" spans="1:8" x14ac:dyDescent="0.35">
      <c r="A494" s="52" t="s">
        <v>736</v>
      </c>
      <c r="B494" s="52" t="s">
        <v>761</v>
      </c>
      <c r="C494" s="52" t="s">
        <v>527</v>
      </c>
      <c r="D494" s="57">
        <v>0.04</v>
      </c>
      <c r="E494" s="68">
        <v>200</v>
      </c>
      <c r="F494" s="69" t="s">
        <v>522</v>
      </c>
      <c r="G494" s="58">
        <v>9365</v>
      </c>
      <c r="H494" s="59">
        <f t="shared" si="7"/>
        <v>11144.35</v>
      </c>
    </row>
    <row r="495" spans="1:8" x14ac:dyDescent="0.35">
      <c r="A495" s="52" t="s">
        <v>736</v>
      </c>
      <c r="B495" s="52" t="s">
        <v>762</v>
      </c>
      <c r="C495" s="52" t="s">
        <v>527</v>
      </c>
      <c r="D495" s="57">
        <v>6.3750000000000001E-2</v>
      </c>
      <c r="E495" s="68">
        <v>1</v>
      </c>
      <c r="F495" s="69" t="s">
        <v>402</v>
      </c>
      <c r="G495" s="58">
        <v>7850</v>
      </c>
      <c r="H495" s="59">
        <f t="shared" si="7"/>
        <v>9341.5</v>
      </c>
    </row>
    <row r="496" spans="1:8" x14ac:dyDescent="0.35">
      <c r="A496" s="52" t="s">
        <v>736</v>
      </c>
      <c r="B496" s="52" t="s">
        <v>763</v>
      </c>
      <c r="C496" s="52" t="s">
        <v>527</v>
      </c>
      <c r="D496" s="57">
        <v>0.23500000000000001</v>
      </c>
      <c r="E496" s="68">
        <v>1</v>
      </c>
      <c r="F496" s="69" t="s">
        <v>402</v>
      </c>
      <c r="G496" s="58">
        <v>9870</v>
      </c>
      <c r="H496" s="59">
        <f t="shared" si="7"/>
        <v>11745.3</v>
      </c>
    </row>
    <row r="497" spans="1:10" x14ac:dyDescent="0.35">
      <c r="A497" s="52" t="s">
        <v>736</v>
      </c>
      <c r="B497" s="52" t="s">
        <v>764</v>
      </c>
      <c r="C497" s="52" t="s">
        <v>527</v>
      </c>
      <c r="D497" s="57">
        <v>0.17874999999999999</v>
      </c>
      <c r="E497" s="68">
        <v>200</v>
      </c>
      <c r="F497" s="69" t="s">
        <v>522</v>
      </c>
      <c r="G497" s="58">
        <v>6580</v>
      </c>
      <c r="H497" s="59">
        <f t="shared" si="7"/>
        <v>7830.2</v>
      </c>
    </row>
    <row r="498" spans="1:10" x14ac:dyDescent="0.35">
      <c r="A498" s="52" t="s">
        <v>736</v>
      </c>
      <c r="B498" s="52" t="s">
        <v>765</v>
      </c>
      <c r="C498" s="52" t="s">
        <v>527</v>
      </c>
      <c r="D498" s="57">
        <v>0.14000000000000001</v>
      </c>
      <c r="E498" s="68">
        <v>1</v>
      </c>
      <c r="F498" s="69" t="s">
        <v>402</v>
      </c>
      <c r="G498" s="58">
        <v>16610</v>
      </c>
      <c r="H498" s="59">
        <f t="shared" si="7"/>
        <v>19765.899999999998</v>
      </c>
    </row>
    <row r="499" spans="1:10" x14ac:dyDescent="0.35">
      <c r="A499" s="52" t="s">
        <v>736</v>
      </c>
      <c r="B499" s="52" t="s">
        <v>766</v>
      </c>
      <c r="C499" s="52" t="s">
        <v>527</v>
      </c>
      <c r="D499" s="57">
        <v>0.48687499999999995</v>
      </c>
      <c r="E499" s="68">
        <v>1</v>
      </c>
      <c r="F499" s="69" t="s">
        <v>402</v>
      </c>
      <c r="G499" s="58">
        <v>14980</v>
      </c>
      <c r="H499" s="59">
        <f t="shared" si="7"/>
        <v>17826.2</v>
      </c>
    </row>
    <row r="500" spans="1:10" x14ac:dyDescent="0.35">
      <c r="A500" s="52" t="s">
        <v>736</v>
      </c>
      <c r="B500" s="52" t="s">
        <v>767</v>
      </c>
      <c r="C500" s="52" t="s">
        <v>527</v>
      </c>
      <c r="D500" s="57">
        <v>9.5250000000000001E-2</v>
      </c>
      <c r="E500" s="68">
        <v>500</v>
      </c>
      <c r="F500" s="69" t="s">
        <v>522</v>
      </c>
      <c r="G500" s="58">
        <v>17999</v>
      </c>
      <c r="H500" s="59">
        <f t="shared" si="7"/>
        <v>21418.809999999998</v>
      </c>
    </row>
    <row r="501" spans="1:10" x14ac:dyDescent="0.35">
      <c r="A501" s="52" t="s">
        <v>736</v>
      </c>
      <c r="B501" s="52" t="s">
        <v>768</v>
      </c>
      <c r="C501" s="52" t="s">
        <v>527</v>
      </c>
      <c r="D501" s="57">
        <v>0.1</v>
      </c>
      <c r="E501" s="68">
        <v>1</v>
      </c>
      <c r="F501" s="69" t="s">
        <v>402</v>
      </c>
      <c r="G501" s="58">
        <v>13790</v>
      </c>
      <c r="H501" s="59">
        <f t="shared" si="7"/>
        <v>16410.099999999999</v>
      </c>
    </row>
    <row r="502" spans="1:10" x14ac:dyDescent="0.35">
      <c r="A502" s="52" t="s">
        <v>736</v>
      </c>
      <c r="B502" s="52" t="s">
        <v>769</v>
      </c>
      <c r="C502" s="52" t="s">
        <v>527</v>
      </c>
      <c r="D502" s="57">
        <v>0.457125</v>
      </c>
      <c r="E502" s="68">
        <v>1</v>
      </c>
      <c r="F502" s="69" t="s">
        <v>402</v>
      </c>
      <c r="G502" s="58">
        <v>18980</v>
      </c>
      <c r="H502" s="59">
        <f t="shared" si="7"/>
        <v>22586.2</v>
      </c>
    </row>
    <row r="503" spans="1:10" x14ac:dyDescent="0.35">
      <c r="A503" s="52" t="s">
        <v>736</v>
      </c>
      <c r="B503" s="52" t="s">
        <v>770</v>
      </c>
      <c r="C503" s="52" t="s">
        <v>527</v>
      </c>
      <c r="D503" s="57">
        <v>2.5000000000000001E-2</v>
      </c>
      <c r="E503" s="68">
        <v>40</v>
      </c>
      <c r="F503" s="69" t="s">
        <v>522</v>
      </c>
      <c r="G503" s="58">
        <v>990</v>
      </c>
      <c r="H503" s="59">
        <f t="shared" si="7"/>
        <v>1178.0999999999999</v>
      </c>
    </row>
    <row r="504" spans="1:10" x14ac:dyDescent="0.35">
      <c r="A504" s="52" t="s">
        <v>736</v>
      </c>
      <c r="B504" s="52" t="s">
        <v>771</v>
      </c>
      <c r="C504" s="52" t="s">
        <v>527</v>
      </c>
      <c r="D504" s="57">
        <v>0.09</v>
      </c>
      <c r="E504" s="68">
        <v>200</v>
      </c>
      <c r="F504" s="69" t="s">
        <v>522</v>
      </c>
      <c r="G504" s="58">
        <v>6899</v>
      </c>
      <c r="H504" s="59">
        <f t="shared" si="7"/>
        <v>8209.81</v>
      </c>
    </row>
    <row r="505" spans="1:10" x14ac:dyDescent="0.35">
      <c r="A505" s="52" t="s">
        <v>772</v>
      </c>
      <c r="B505" s="52" t="s">
        <v>773</v>
      </c>
      <c r="C505" s="52" t="s">
        <v>229</v>
      </c>
      <c r="D505" s="57">
        <v>0.04</v>
      </c>
      <c r="E505" s="68">
        <v>1</v>
      </c>
      <c r="F505" s="69" t="s">
        <v>402</v>
      </c>
      <c r="G505" s="58">
        <v>1212</v>
      </c>
      <c r="H505" s="59">
        <f t="shared" si="7"/>
        <v>1442.28</v>
      </c>
    </row>
    <row r="506" spans="1:10" x14ac:dyDescent="0.35">
      <c r="A506" s="52" t="s">
        <v>772</v>
      </c>
      <c r="B506" s="52" t="s">
        <v>774</v>
      </c>
      <c r="C506" s="52" t="s">
        <v>775</v>
      </c>
      <c r="D506" s="57">
        <v>7.0000000000000007E-2</v>
      </c>
      <c r="E506" s="68">
        <v>1</v>
      </c>
      <c r="F506" s="69" t="s">
        <v>402</v>
      </c>
      <c r="G506" s="58">
        <v>5042</v>
      </c>
      <c r="H506" s="59">
        <f t="shared" si="7"/>
        <v>5999.98</v>
      </c>
      <c r="J506" s="50"/>
    </row>
    <row r="507" spans="1:10" x14ac:dyDescent="0.35">
      <c r="A507" s="52" t="s">
        <v>776</v>
      </c>
      <c r="B507" s="52" t="s">
        <v>777</v>
      </c>
      <c r="C507" s="52" t="s">
        <v>550</v>
      </c>
      <c r="D507" s="57">
        <v>6.2500000000000003E-3</v>
      </c>
      <c r="E507" s="68">
        <v>1</v>
      </c>
      <c r="F507" s="69" t="s">
        <v>259</v>
      </c>
      <c r="G507" s="58">
        <v>27723</v>
      </c>
      <c r="H507" s="59">
        <f t="shared" si="7"/>
        <v>32990.369999999995</v>
      </c>
      <c r="J507" s="50"/>
    </row>
    <row r="508" spans="1:10" x14ac:dyDescent="0.35">
      <c r="A508" s="52" t="s">
        <v>776</v>
      </c>
      <c r="B508" s="52" t="s">
        <v>778</v>
      </c>
      <c r="C508" s="52" t="s">
        <v>550</v>
      </c>
      <c r="D508" s="57">
        <v>0.04</v>
      </c>
      <c r="E508" s="68">
        <v>1</v>
      </c>
      <c r="F508" s="69" t="s">
        <v>259</v>
      </c>
      <c r="G508" s="58">
        <v>4697</v>
      </c>
      <c r="H508" s="59">
        <f t="shared" si="7"/>
        <v>5589.4299999999994</v>
      </c>
      <c r="J508" s="50"/>
    </row>
    <row r="509" spans="1:10" x14ac:dyDescent="0.35">
      <c r="A509" s="52" t="s">
        <v>776</v>
      </c>
      <c r="B509" s="52" t="s">
        <v>779</v>
      </c>
      <c r="C509" s="52" t="s">
        <v>550</v>
      </c>
      <c r="D509" s="57">
        <v>5.5125E-2</v>
      </c>
      <c r="E509" s="68">
        <v>1</v>
      </c>
      <c r="F509" s="69" t="s">
        <v>259</v>
      </c>
      <c r="G509" s="58">
        <v>4697</v>
      </c>
      <c r="H509" s="59">
        <f t="shared" si="7"/>
        <v>5589.4299999999994</v>
      </c>
      <c r="J509" s="50"/>
    </row>
    <row r="510" spans="1:10" x14ac:dyDescent="0.35">
      <c r="A510" s="52" t="s">
        <v>776</v>
      </c>
      <c r="B510" s="52" t="s">
        <v>780</v>
      </c>
      <c r="C510" s="52" t="s">
        <v>550</v>
      </c>
      <c r="D510" s="57">
        <v>8.0000000000000002E-3</v>
      </c>
      <c r="E510" s="68">
        <v>1</v>
      </c>
      <c r="F510" s="69" t="s">
        <v>259</v>
      </c>
      <c r="G510" s="58">
        <v>31504</v>
      </c>
      <c r="H510" s="59">
        <f t="shared" si="7"/>
        <v>37489.759999999995</v>
      </c>
      <c r="J510" s="50"/>
    </row>
    <row r="511" spans="1:10" x14ac:dyDescent="0.35">
      <c r="A511" s="52" t="s">
        <v>776</v>
      </c>
      <c r="B511" s="52" t="s">
        <v>781</v>
      </c>
      <c r="C511" s="52" t="s">
        <v>550</v>
      </c>
      <c r="D511" s="57">
        <v>8.0000000000000002E-3</v>
      </c>
      <c r="E511" s="68">
        <v>1</v>
      </c>
      <c r="F511" s="69" t="s">
        <v>259</v>
      </c>
      <c r="G511" s="58">
        <v>5706</v>
      </c>
      <c r="H511" s="59">
        <f t="shared" si="7"/>
        <v>6790.1399999999994</v>
      </c>
      <c r="J511" s="50"/>
    </row>
    <row r="512" spans="1:10" x14ac:dyDescent="0.35">
      <c r="A512" s="52" t="s">
        <v>776</v>
      </c>
      <c r="B512" s="52" t="s">
        <v>782</v>
      </c>
      <c r="C512" s="52" t="s">
        <v>223</v>
      </c>
      <c r="D512" s="57">
        <v>0.02</v>
      </c>
      <c r="E512" s="68">
        <v>1</v>
      </c>
      <c r="F512" s="69" t="s">
        <v>259</v>
      </c>
      <c r="G512" s="60">
        <v>5874</v>
      </c>
      <c r="H512" s="59">
        <f t="shared" si="7"/>
        <v>6990.0599999999995</v>
      </c>
      <c r="J512" s="50"/>
    </row>
    <row r="513" spans="1:10" x14ac:dyDescent="0.35">
      <c r="A513" s="52" t="s">
        <v>776</v>
      </c>
      <c r="B513" s="52" t="s">
        <v>783</v>
      </c>
      <c r="C513" s="52" t="s">
        <v>550</v>
      </c>
      <c r="D513" s="57">
        <v>2.1249999999999998E-2</v>
      </c>
      <c r="E513" s="68">
        <v>1</v>
      </c>
      <c r="F513" s="69" t="s">
        <v>259</v>
      </c>
      <c r="G513" s="58">
        <v>10748</v>
      </c>
      <c r="H513" s="59">
        <f t="shared" si="7"/>
        <v>12790.119999999999</v>
      </c>
      <c r="J513" s="50"/>
    </row>
    <row r="514" spans="1:10" x14ac:dyDescent="0.35">
      <c r="A514" s="52" t="s">
        <v>776</v>
      </c>
      <c r="B514" s="52" t="s">
        <v>784</v>
      </c>
      <c r="C514" s="52" t="s">
        <v>775</v>
      </c>
      <c r="D514" s="57">
        <v>3.8250000000000006E-2</v>
      </c>
      <c r="E514" s="68">
        <v>1</v>
      </c>
      <c r="F514" s="69" t="s">
        <v>259</v>
      </c>
      <c r="G514" s="60">
        <v>6303</v>
      </c>
      <c r="H514" s="59">
        <f t="shared" ref="H514:H577" si="8">G514*1.19</f>
        <v>7500.57</v>
      </c>
      <c r="J514" s="50"/>
    </row>
    <row r="515" spans="1:10" x14ac:dyDescent="0.35">
      <c r="A515" s="52" t="s">
        <v>776</v>
      </c>
      <c r="B515" s="52" t="s">
        <v>785</v>
      </c>
      <c r="C515" s="52" t="s">
        <v>550</v>
      </c>
      <c r="D515" s="57">
        <v>3.0000000000000001E-3</v>
      </c>
      <c r="E515" s="68">
        <v>1</v>
      </c>
      <c r="F515" s="69" t="s">
        <v>259</v>
      </c>
      <c r="G515" s="58">
        <v>5370</v>
      </c>
      <c r="H515" s="59">
        <f t="shared" si="8"/>
        <v>6390.2999999999993</v>
      </c>
      <c r="J515" s="50"/>
    </row>
    <row r="516" spans="1:10" x14ac:dyDescent="0.35">
      <c r="A516" s="52" t="s">
        <v>776</v>
      </c>
      <c r="B516" s="52" t="s">
        <v>786</v>
      </c>
      <c r="C516" s="52" t="s">
        <v>550</v>
      </c>
      <c r="D516" s="57">
        <v>0.04</v>
      </c>
      <c r="E516" s="68">
        <v>1</v>
      </c>
      <c r="F516" s="69" t="s">
        <v>259</v>
      </c>
      <c r="G516" s="58">
        <v>6924</v>
      </c>
      <c r="H516" s="59">
        <f t="shared" si="8"/>
        <v>8239.56</v>
      </c>
      <c r="J516" s="50"/>
    </row>
    <row r="517" spans="1:10" x14ac:dyDescent="0.35">
      <c r="A517" s="52" t="s">
        <v>776</v>
      </c>
      <c r="B517" s="52" t="s">
        <v>787</v>
      </c>
      <c r="C517" s="52" t="s">
        <v>550</v>
      </c>
      <c r="D517" s="57">
        <v>0.24550000000000002</v>
      </c>
      <c r="E517" s="68">
        <v>1</v>
      </c>
      <c r="F517" s="69" t="s">
        <v>259</v>
      </c>
      <c r="G517" s="58">
        <v>7555</v>
      </c>
      <c r="H517" s="59">
        <f t="shared" si="8"/>
        <v>8990.4499999999989</v>
      </c>
      <c r="J517" s="50"/>
    </row>
    <row r="518" spans="1:10" x14ac:dyDescent="0.35">
      <c r="A518" s="52" t="s">
        <v>776</v>
      </c>
      <c r="B518" s="52" t="s">
        <v>788</v>
      </c>
      <c r="C518" s="52" t="s">
        <v>550</v>
      </c>
      <c r="D518" s="57">
        <v>2.6249999999999999E-2</v>
      </c>
      <c r="E518" s="68">
        <v>1</v>
      </c>
      <c r="F518" s="69" t="s">
        <v>259</v>
      </c>
      <c r="G518" s="58">
        <v>14487</v>
      </c>
      <c r="H518" s="59">
        <f t="shared" si="8"/>
        <v>17239.53</v>
      </c>
      <c r="J518" s="50"/>
    </row>
    <row r="519" spans="1:10" x14ac:dyDescent="0.35">
      <c r="A519" s="52" t="s">
        <v>776</v>
      </c>
      <c r="B519" s="52" t="s">
        <v>789</v>
      </c>
      <c r="C519" s="52" t="s">
        <v>550</v>
      </c>
      <c r="D519" s="57">
        <v>2.5000000000000001E-3</v>
      </c>
      <c r="E519" s="68">
        <v>1</v>
      </c>
      <c r="F519" s="69" t="s">
        <v>259</v>
      </c>
      <c r="G519" s="58">
        <v>9445</v>
      </c>
      <c r="H519" s="59">
        <f t="shared" si="8"/>
        <v>11239.55</v>
      </c>
      <c r="J519" s="50"/>
    </row>
    <row r="520" spans="1:10" x14ac:dyDescent="0.35">
      <c r="A520" s="52" t="s">
        <v>790</v>
      </c>
      <c r="B520" s="52" t="s">
        <v>791</v>
      </c>
      <c r="C520" s="52" t="s">
        <v>246</v>
      </c>
      <c r="D520" s="57">
        <v>0.16250000000000001</v>
      </c>
      <c r="E520" s="68">
        <v>1</v>
      </c>
      <c r="F520" s="69" t="s">
        <v>402</v>
      </c>
      <c r="G520" s="58">
        <v>3594</v>
      </c>
      <c r="H520" s="59">
        <f t="shared" si="8"/>
        <v>4276.8599999999997</v>
      </c>
    </row>
    <row r="521" spans="1:10" x14ac:dyDescent="0.35">
      <c r="A521" s="52" t="s">
        <v>792</v>
      </c>
      <c r="B521" s="52" t="s">
        <v>793</v>
      </c>
      <c r="C521" s="52" t="s">
        <v>794</v>
      </c>
      <c r="D521" s="57">
        <v>0.15</v>
      </c>
      <c r="E521" s="68">
        <v>10</v>
      </c>
      <c r="F521" s="69" t="s">
        <v>222</v>
      </c>
      <c r="G521" s="58">
        <v>32000</v>
      </c>
      <c r="H521" s="59">
        <f t="shared" si="8"/>
        <v>38080</v>
      </c>
    </row>
    <row r="522" spans="1:10" x14ac:dyDescent="0.35">
      <c r="A522" s="52" t="s">
        <v>795</v>
      </c>
      <c r="B522" s="52" t="s">
        <v>796</v>
      </c>
      <c r="C522" s="52" t="s">
        <v>232</v>
      </c>
      <c r="D522" s="57">
        <v>0.75</v>
      </c>
      <c r="E522" s="68">
        <v>8</v>
      </c>
      <c r="F522" s="69" t="s">
        <v>259</v>
      </c>
      <c r="G522" s="58">
        <v>3269</v>
      </c>
      <c r="H522" s="59">
        <f t="shared" si="8"/>
        <v>3890.1099999999997</v>
      </c>
      <c r="J522" s="50"/>
    </row>
    <row r="523" spans="1:10" x14ac:dyDescent="0.35">
      <c r="A523" s="52" t="s">
        <v>795</v>
      </c>
      <c r="B523" s="52" t="s">
        <v>797</v>
      </c>
      <c r="C523" s="52" t="s">
        <v>232</v>
      </c>
      <c r="D523" s="57">
        <v>0.5675</v>
      </c>
      <c r="E523" s="68">
        <v>1</v>
      </c>
      <c r="F523" s="69" t="s">
        <v>259</v>
      </c>
      <c r="G523" s="58">
        <v>1084</v>
      </c>
      <c r="H523" s="59">
        <f t="shared" si="8"/>
        <v>1289.96</v>
      </c>
      <c r="J523" s="50"/>
    </row>
    <row r="524" spans="1:10" x14ac:dyDescent="0.35">
      <c r="A524" s="52" t="s">
        <v>795</v>
      </c>
      <c r="B524" s="52" t="s">
        <v>798</v>
      </c>
      <c r="C524" s="52" t="s">
        <v>232</v>
      </c>
      <c r="D524" s="57">
        <v>1</v>
      </c>
      <c r="E524" s="68">
        <v>8</v>
      </c>
      <c r="F524" s="69" t="s">
        <v>259</v>
      </c>
      <c r="G524" s="58">
        <v>1891</v>
      </c>
      <c r="H524" s="59">
        <f t="shared" si="8"/>
        <v>2250.29</v>
      </c>
      <c r="J524" s="50"/>
    </row>
    <row r="525" spans="1:10" x14ac:dyDescent="0.35">
      <c r="A525" s="52" t="s">
        <v>795</v>
      </c>
      <c r="B525" s="52" t="s">
        <v>799</v>
      </c>
      <c r="C525" s="52" t="s">
        <v>232</v>
      </c>
      <c r="D525" s="57">
        <v>1</v>
      </c>
      <c r="E525" s="68">
        <v>8</v>
      </c>
      <c r="F525" s="69" t="s">
        <v>259</v>
      </c>
      <c r="G525" s="58">
        <v>2261</v>
      </c>
      <c r="H525" s="59">
        <f t="shared" si="8"/>
        <v>2690.5899999999997</v>
      </c>
      <c r="J525" s="50"/>
    </row>
    <row r="526" spans="1:10" x14ac:dyDescent="0.35">
      <c r="A526" s="52" t="s">
        <v>795</v>
      </c>
      <c r="B526" s="52" t="s">
        <v>800</v>
      </c>
      <c r="C526" s="52" t="s">
        <v>232</v>
      </c>
      <c r="D526" s="57">
        <v>1.875</v>
      </c>
      <c r="E526" s="68">
        <v>15</v>
      </c>
      <c r="F526" s="69" t="s">
        <v>259</v>
      </c>
      <c r="G526" s="58">
        <v>2513</v>
      </c>
      <c r="H526" s="59">
        <f t="shared" si="8"/>
        <v>2990.47</v>
      </c>
      <c r="J526" s="50"/>
    </row>
    <row r="527" spans="1:10" x14ac:dyDescent="0.35">
      <c r="A527" s="52" t="s">
        <v>795</v>
      </c>
      <c r="B527" s="52" t="s">
        <v>801</v>
      </c>
      <c r="C527" s="52" t="s">
        <v>232</v>
      </c>
      <c r="D527" s="57">
        <v>2.75</v>
      </c>
      <c r="E527" s="68">
        <v>1</v>
      </c>
      <c r="F527" s="69" t="s">
        <v>402</v>
      </c>
      <c r="G527" s="58">
        <v>1756</v>
      </c>
      <c r="H527" s="59">
        <f t="shared" si="8"/>
        <v>2089.64</v>
      </c>
      <c r="J527" s="50"/>
    </row>
    <row r="528" spans="1:10" x14ac:dyDescent="0.35">
      <c r="A528" s="52" t="s">
        <v>795</v>
      </c>
      <c r="B528" s="52" t="s">
        <v>802</v>
      </c>
      <c r="C528" s="52" t="s">
        <v>232</v>
      </c>
      <c r="D528" s="57">
        <v>0.3125</v>
      </c>
      <c r="E528" s="68">
        <v>1</v>
      </c>
      <c r="F528" s="69" t="s">
        <v>402</v>
      </c>
      <c r="G528" s="58">
        <v>1756</v>
      </c>
      <c r="H528" s="59">
        <f t="shared" si="8"/>
        <v>2089.64</v>
      </c>
      <c r="J528" s="50"/>
    </row>
    <row r="529" spans="1:10" x14ac:dyDescent="0.35">
      <c r="A529" s="52" t="s">
        <v>795</v>
      </c>
      <c r="B529" s="52" t="s">
        <v>803</v>
      </c>
      <c r="C529" s="52" t="s">
        <v>232</v>
      </c>
      <c r="D529" s="57">
        <v>8.9450000000000003</v>
      </c>
      <c r="E529" s="68">
        <v>750</v>
      </c>
      <c r="F529" s="69" t="s">
        <v>522</v>
      </c>
      <c r="G529" s="58">
        <v>2429</v>
      </c>
      <c r="H529" s="59">
        <f t="shared" si="8"/>
        <v>2890.5099999999998</v>
      </c>
      <c r="J529" s="50"/>
    </row>
    <row r="530" spans="1:10" x14ac:dyDescent="0.35">
      <c r="A530" s="52" t="s">
        <v>804</v>
      </c>
      <c r="B530" s="52" t="s">
        <v>805</v>
      </c>
      <c r="C530" s="52" t="s">
        <v>524</v>
      </c>
      <c r="D530" s="57">
        <v>0.15</v>
      </c>
      <c r="E530" s="68">
        <v>1</v>
      </c>
      <c r="F530" s="69" t="s">
        <v>402</v>
      </c>
      <c r="G530" s="58">
        <v>84990</v>
      </c>
      <c r="H530" s="59">
        <f t="shared" si="8"/>
        <v>101138.09999999999</v>
      </c>
    </row>
    <row r="531" spans="1:10" x14ac:dyDescent="0.35">
      <c r="A531" s="52" t="s">
        <v>806</v>
      </c>
      <c r="B531" s="52" t="s">
        <v>807</v>
      </c>
      <c r="C531" s="52" t="s">
        <v>808</v>
      </c>
      <c r="D531" s="57">
        <v>0.63</v>
      </c>
      <c r="E531" s="68">
        <v>1</v>
      </c>
      <c r="F531" s="69" t="s">
        <v>402</v>
      </c>
      <c r="G531" s="58">
        <v>3800</v>
      </c>
      <c r="H531" s="59">
        <f t="shared" si="8"/>
        <v>4522</v>
      </c>
    </row>
    <row r="532" spans="1:10" x14ac:dyDescent="0.35">
      <c r="A532" s="52" t="s">
        <v>806</v>
      </c>
      <c r="B532" s="52" t="s">
        <v>809</v>
      </c>
      <c r="C532" s="52" t="s">
        <v>810</v>
      </c>
      <c r="D532" s="57">
        <v>2.3000000000000003E-2</v>
      </c>
      <c r="E532" s="68">
        <v>720</v>
      </c>
      <c r="F532" s="69" t="s">
        <v>522</v>
      </c>
      <c r="G532" s="58">
        <v>16234</v>
      </c>
      <c r="H532" s="59">
        <f t="shared" si="8"/>
        <v>19318.46</v>
      </c>
      <c r="J532" s="50"/>
    </row>
    <row r="533" spans="1:10" x14ac:dyDescent="0.35">
      <c r="A533" s="52" t="s">
        <v>806</v>
      </c>
      <c r="B533" s="52" t="s">
        <v>811</v>
      </c>
      <c r="C533" s="52" t="s">
        <v>812</v>
      </c>
      <c r="D533" s="57">
        <v>0.21250000000000002</v>
      </c>
      <c r="E533" s="68">
        <v>1</v>
      </c>
      <c r="F533" s="69" t="s">
        <v>402</v>
      </c>
      <c r="G533" s="58">
        <v>16800</v>
      </c>
      <c r="H533" s="59">
        <f t="shared" si="8"/>
        <v>19992</v>
      </c>
    </row>
    <row r="534" spans="1:10" x14ac:dyDescent="0.35">
      <c r="A534" s="52" t="s">
        <v>806</v>
      </c>
      <c r="B534" s="52" t="s">
        <v>813</v>
      </c>
      <c r="C534" s="52" t="s">
        <v>812</v>
      </c>
      <c r="D534" s="57">
        <v>0.02</v>
      </c>
      <c r="E534" s="68">
        <v>1</v>
      </c>
      <c r="F534" s="69" t="s">
        <v>402</v>
      </c>
      <c r="G534" s="58">
        <v>14800</v>
      </c>
      <c r="H534" s="59">
        <f t="shared" si="8"/>
        <v>17612</v>
      </c>
    </row>
    <row r="535" spans="1:10" x14ac:dyDescent="0.35">
      <c r="A535" s="52" t="s">
        <v>806</v>
      </c>
      <c r="B535" s="52" t="s">
        <v>814</v>
      </c>
      <c r="C535" s="52" t="s">
        <v>812</v>
      </c>
      <c r="D535" s="57">
        <v>0.06</v>
      </c>
      <c r="E535" s="68">
        <v>1</v>
      </c>
      <c r="F535" s="69" t="s">
        <v>402</v>
      </c>
      <c r="G535" s="58">
        <v>17500</v>
      </c>
      <c r="H535" s="59">
        <f t="shared" si="8"/>
        <v>20825</v>
      </c>
    </row>
    <row r="536" spans="1:10" x14ac:dyDescent="0.35">
      <c r="A536" s="52" t="s">
        <v>806</v>
      </c>
      <c r="B536" s="52" t="s">
        <v>815</v>
      </c>
      <c r="C536" s="52" t="s">
        <v>812</v>
      </c>
      <c r="D536" s="57">
        <v>0.04</v>
      </c>
      <c r="E536" s="68">
        <v>1</v>
      </c>
      <c r="F536" s="69" t="s">
        <v>402</v>
      </c>
      <c r="G536" s="58">
        <v>17500</v>
      </c>
      <c r="H536" s="59">
        <f t="shared" si="8"/>
        <v>20825</v>
      </c>
    </row>
    <row r="537" spans="1:10" x14ac:dyDescent="0.35">
      <c r="A537" s="52" t="s">
        <v>806</v>
      </c>
      <c r="B537" s="52" t="s">
        <v>816</v>
      </c>
      <c r="C537" s="52" t="s">
        <v>812</v>
      </c>
      <c r="D537" s="57">
        <v>0.54700000000000004</v>
      </c>
      <c r="E537" s="68">
        <v>1</v>
      </c>
      <c r="F537" s="69" t="s">
        <v>402</v>
      </c>
      <c r="G537" s="58">
        <v>14800</v>
      </c>
      <c r="H537" s="59">
        <f t="shared" si="8"/>
        <v>17612</v>
      </c>
    </row>
    <row r="538" spans="1:10" x14ac:dyDescent="0.35">
      <c r="A538" s="52" t="s">
        <v>806</v>
      </c>
      <c r="B538" s="52" t="s">
        <v>817</v>
      </c>
      <c r="C538" s="52" t="s">
        <v>812</v>
      </c>
      <c r="D538" s="57">
        <v>5.6250000000000001E-2</v>
      </c>
      <c r="E538" s="68">
        <v>1</v>
      </c>
      <c r="F538" s="69" t="s">
        <v>402</v>
      </c>
      <c r="G538" s="58">
        <v>17800</v>
      </c>
      <c r="H538" s="59">
        <f t="shared" si="8"/>
        <v>21182</v>
      </c>
    </row>
    <row r="539" spans="1:10" x14ac:dyDescent="0.35">
      <c r="A539" s="52" t="s">
        <v>806</v>
      </c>
      <c r="B539" s="52" t="s">
        <v>818</v>
      </c>
      <c r="C539" s="52" t="s">
        <v>812</v>
      </c>
      <c r="D539" s="57">
        <v>0.13</v>
      </c>
      <c r="E539" s="68">
        <v>1</v>
      </c>
      <c r="F539" s="69" t="s">
        <v>402</v>
      </c>
      <c r="G539" s="58">
        <v>2000</v>
      </c>
      <c r="H539" s="59">
        <f t="shared" si="8"/>
        <v>2380</v>
      </c>
    </row>
    <row r="540" spans="1:10" x14ac:dyDescent="0.35">
      <c r="A540" s="52" t="s">
        <v>806</v>
      </c>
      <c r="B540" s="52" t="s">
        <v>819</v>
      </c>
      <c r="C540" s="52" t="s">
        <v>812</v>
      </c>
      <c r="D540" s="57">
        <v>7.4999999999999997E-2</v>
      </c>
      <c r="E540" s="68">
        <v>1</v>
      </c>
      <c r="F540" s="69" t="s">
        <v>402</v>
      </c>
      <c r="G540" s="58">
        <v>11800</v>
      </c>
      <c r="H540" s="59">
        <f t="shared" si="8"/>
        <v>14042</v>
      </c>
    </row>
    <row r="541" spans="1:10" x14ac:dyDescent="0.35">
      <c r="A541" s="52" t="s">
        <v>806</v>
      </c>
      <c r="B541" s="52" t="s">
        <v>820</v>
      </c>
      <c r="C541" s="52" t="s">
        <v>812</v>
      </c>
      <c r="D541" s="57">
        <v>4.3749999999999997E-2</v>
      </c>
      <c r="E541" s="68">
        <v>1</v>
      </c>
      <c r="F541" s="69" t="s">
        <v>402</v>
      </c>
      <c r="G541" s="58">
        <v>23800</v>
      </c>
      <c r="H541" s="59">
        <f t="shared" si="8"/>
        <v>28322</v>
      </c>
    </row>
    <row r="542" spans="1:10" x14ac:dyDescent="0.35">
      <c r="A542" s="52" t="s">
        <v>806</v>
      </c>
      <c r="B542" s="52" t="s">
        <v>821</v>
      </c>
      <c r="C542" s="52" t="s">
        <v>812</v>
      </c>
      <c r="D542" s="57">
        <v>0.4</v>
      </c>
      <c r="E542" s="68">
        <v>1</v>
      </c>
      <c r="F542" s="69" t="s">
        <v>402</v>
      </c>
      <c r="G542" s="58">
        <v>9000</v>
      </c>
      <c r="H542" s="59">
        <f t="shared" si="8"/>
        <v>10710</v>
      </c>
    </row>
    <row r="543" spans="1:10" x14ac:dyDescent="0.35">
      <c r="A543" s="52" t="s">
        <v>806</v>
      </c>
      <c r="B543" s="52" t="s">
        <v>822</v>
      </c>
      <c r="C543" s="52" t="s">
        <v>812</v>
      </c>
      <c r="D543" s="57">
        <v>0.06</v>
      </c>
      <c r="E543" s="68">
        <v>1</v>
      </c>
      <c r="F543" s="69" t="s">
        <v>402</v>
      </c>
      <c r="G543" s="58">
        <v>11800</v>
      </c>
      <c r="H543" s="59">
        <f t="shared" si="8"/>
        <v>14042</v>
      </c>
    </row>
    <row r="544" spans="1:10" x14ac:dyDescent="0.35">
      <c r="A544" s="52" t="s">
        <v>806</v>
      </c>
      <c r="B544" s="52" t="s">
        <v>823</v>
      </c>
      <c r="C544" s="52" t="s">
        <v>812</v>
      </c>
      <c r="D544" s="57">
        <v>0.03</v>
      </c>
      <c r="E544" s="68">
        <v>1</v>
      </c>
      <c r="F544" s="69" t="s">
        <v>402</v>
      </c>
      <c r="G544" s="58">
        <v>38000</v>
      </c>
      <c r="H544" s="59">
        <f t="shared" si="8"/>
        <v>45220</v>
      </c>
    </row>
    <row r="545" spans="1:8" x14ac:dyDescent="0.35">
      <c r="A545" s="52" t="s">
        <v>806</v>
      </c>
      <c r="B545" s="52" t="s">
        <v>824</v>
      </c>
      <c r="C545" s="52" t="s">
        <v>812</v>
      </c>
      <c r="D545" s="57">
        <v>0.52</v>
      </c>
      <c r="E545" s="68">
        <v>1</v>
      </c>
      <c r="F545" s="69" t="s">
        <v>402</v>
      </c>
      <c r="G545" s="58">
        <v>3800</v>
      </c>
      <c r="H545" s="59">
        <f t="shared" si="8"/>
        <v>4522</v>
      </c>
    </row>
    <row r="546" spans="1:8" x14ac:dyDescent="0.35">
      <c r="A546" s="52" t="s">
        <v>806</v>
      </c>
      <c r="B546" s="52" t="s">
        <v>825</v>
      </c>
      <c r="C546" s="52" t="s">
        <v>246</v>
      </c>
      <c r="D546" s="57">
        <v>6.2500000000000003E-3</v>
      </c>
      <c r="E546" s="68">
        <v>100</v>
      </c>
      <c r="F546" s="69" t="s">
        <v>522</v>
      </c>
      <c r="G546" s="58">
        <v>16900</v>
      </c>
      <c r="H546" s="59">
        <f t="shared" si="8"/>
        <v>20111</v>
      </c>
    </row>
    <row r="547" spans="1:8" x14ac:dyDescent="0.35">
      <c r="A547" s="52" t="s">
        <v>806</v>
      </c>
      <c r="B547" s="52" t="s">
        <v>826</v>
      </c>
      <c r="C547" s="52" t="s">
        <v>812</v>
      </c>
      <c r="D547" s="57">
        <v>0.13700000000000001</v>
      </c>
      <c r="E547" s="68">
        <v>1</v>
      </c>
      <c r="F547" s="69" t="s">
        <v>402</v>
      </c>
      <c r="G547" s="58">
        <v>26800</v>
      </c>
      <c r="H547" s="59">
        <f t="shared" si="8"/>
        <v>31892</v>
      </c>
    </row>
    <row r="548" spans="1:8" x14ac:dyDescent="0.35">
      <c r="A548" s="52" t="s">
        <v>806</v>
      </c>
      <c r="B548" s="52" t="s">
        <v>827</v>
      </c>
      <c r="C548" s="52" t="s">
        <v>812</v>
      </c>
      <c r="D548" s="57">
        <v>0.22000000000000003</v>
      </c>
      <c r="E548" s="68">
        <v>1</v>
      </c>
      <c r="F548" s="69" t="s">
        <v>402</v>
      </c>
      <c r="G548" s="58">
        <v>9800</v>
      </c>
      <c r="H548" s="59">
        <f t="shared" si="8"/>
        <v>11662</v>
      </c>
    </row>
    <row r="549" spans="1:8" x14ac:dyDescent="0.35">
      <c r="A549" s="52" t="s">
        <v>806</v>
      </c>
      <c r="B549" s="52" t="s">
        <v>828</v>
      </c>
      <c r="C549" s="52" t="s">
        <v>812</v>
      </c>
      <c r="D549" s="57">
        <v>0.30000000000000004</v>
      </c>
      <c r="E549" s="68">
        <v>1</v>
      </c>
      <c r="F549" s="69" t="s">
        <v>402</v>
      </c>
      <c r="G549" s="58">
        <v>7800</v>
      </c>
      <c r="H549" s="59">
        <f t="shared" si="8"/>
        <v>9282</v>
      </c>
    </row>
    <row r="550" spans="1:8" x14ac:dyDescent="0.35">
      <c r="A550" s="52" t="s">
        <v>806</v>
      </c>
      <c r="B550" s="52" t="s">
        <v>829</v>
      </c>
      <c r="C550" s="52" t="s">
        <v>812</v>
      </c>
      <c r="D550" s="57">
        <v>2</v>
      </c>
      <c r="E550" s="68">
        <v>1</v>
      </c>
      <c r="F550" s="69" t="s">
        <v>402</v>
      </c>
      <c r="G550" s="58">
        <v>4200</v>
      </c>
      <c r="H550" s="59">
        <f t="shared" si="8"/>
        <v>4998</v>
      </c>
    </row>
    <row r="551" spans="1:8" x14ac:dyDescent="0.35">
      <c r="A551" s="52" t="s">
        <v>806</v>
      </c>
      <c r="B551" s="52" t="s">
        <v>830</v>
      </c>
      <c r="C551" s="52" t="s">
        <v>812</v>
      </c>
      <c r="D551" s="57">
        <v>0.3</v>
      </c>
      <c r="E551" s="68">
        <v>1</v>
      </c>
      <c r="F551" s="69" t="s">
        <v>402</v>
      </c>
      <c r="G551" s="58">
        <v>8400</v>
      </c>
      <c r="H551" s="59">
        <f t="shared" si="8"/>
        <v>9996</v>
      </c>
    </row>
    <row r="552" spans="1:8" x14ac:dyDescent="0.35">
      <c r="A552" s="52" t="s">
        <v>806</v>
      </c>
      <c r="B552" s="52" t="s">
        <v>831</v>
      </c>
      <c r="C552" s="52" t="s">
        <v>812</v>
      </c>
      <c r="D552" s="57">
        <v>3</v>
      </c>
      <c r="E552" s="68">
        <v>1</v>
      </c>
      <c r="F552" s="69" t="s">
        <v>259</v>
      </c>
      <c r="G552" s="58">
        <v>980</v>
      </c>
      <c r="H552" s="59">
        <f t="shared" si="8"/>
        <v>1166.2</v>
      </c>
    </row>
    <row r="553" spans="1:8" x14ac:dyDescent="0.35">
      <c r="A553" s="52" t="s">
        <v>806</v>
      </c>
      <c r="B553" s="52" t="s">
        <v>832</v>
      </c>
      <c r="C553" s="52" t="s">
        <v>812</v>
      </c>
      <c r="D553" s="57">
        <v>0.05</v>
      </c>
      <c r="E553" s="68">
        <v>1</v>
      </c>
      <c r="F553" s="69" t="s">
        <v>402</v>
      </c>
      <c r="G553" s="58">
        <v>29800</v>
      </c>
      <c r="H553" s="59">
        <f t="shared" si="8"/>
        <v>35462</v>
      </c>
    </row>
    <row r="554" spans="1:8" x14ac:dyDescent="0.35">
      <c r="A554" s="52" t="s">
        <v>806</v>
      </c>
      <c r="B554" s="52" t="s">
        <v>833</v>
      </c>
      <c r="C554" s="52" t="s">
        <v>812</v>
      </c>
      <c r="D554" s="57">
        <v>0.02</v>
      </c>
      <c r="E554" s="68">
        <v>1</v>
      </c>
      <c r="F554" s="69" t="s">
        <v>402</v>
      </c>
      <c r="G554" s="58">
        <v>4200</v>
      </c>
      <c r="H554" s="59">
        <f t="shared" si="8"/>
        <v>4998</v>
      </c>
    </row>
    <row r="555" spans="1:8" x14ac:dyDescent="0.35">
      <c r="A555" s="52" t="s">
        <v>806</v>
      </c>
      <c r="B555" s="52" t="s">
        <v>834</v>
      </c>
      <c r="C555" s="52" t="s">
        <v>812</v>
      </c>
      <c r="D555" s="57">
        <v>4.4999999999999998E-2</v>
      </c>
      <c r="E555" s="68">
        <v>1</v>
      </c>
      <c r="F555" s="69" t="s">
        <v>402</v>
      </c>
      <c r="G555" s="58">
        <v>12000</v>
      </c>
      <c r="H555" s="59">
        <f t="shared" si="8"/>
        <v>14280</v>
      </c>
    </row>
    <row r="556" spans="1:8" x14ac:dyDescent="0.35">
      <c r="A556" s="52" t="s">
        <v>806</v>
      </c>
      <c r="B556" s="52" t="s">
        <v>835</v>
      </c>
      <c r="C556" s="52" t="s">
        <v>812</v>
      </c>
      <c r="D556" s="57">
        <v>0.106875</v>
      </c>
      <c r="E556" s="68">
        <v>1</v>
      </c>
      <c r="F556" s="69" t="s">
        <v>402</v>
      </c>
      <c r="G556" s="58">
        <v>16800</v>
      </c>
      <c r="H556" s="59">
        <f t="shared" si="8"/>
        <v>19992</v>
      </c>
    </row>
    <row r="557" spans="1:8" x14ac:dyDescent="0.35">
      <c r="A557" s="52" t="s">
        <v>806</v>
      </c>
      <c r="B557" s="52" t="s">
        <v>836</v>
      </c>
      <c r="C557" s="52" t="s">
        <v>812</v>
      </c>
      <c r="D557" s="57">
        <v>0.63124999999999998</v>
      </c>
      <c r="E557" s="68">
        <v>1</v>
      </c>
      <c r="F557" s="69" t="s">
        <v>402</v>
      </c>
      <c r="G557" s="58">
        <v>7800</v>
      </c>
      <c r="H557" s="59">
        <f t="shared" si="8"/>
        <v>9282</v>
      </c>
    </row>
    <row r="558" spans="1:8" x14ac:dyDescent="0.35">
      <c r="A558" s="52" t="s">
        <v>806</v>
      </c>
      <c r="B558" s="52" t="s">
        <v>837</v>
      </c>
      <c r="C558" s="52" t="s">
        <v>812</v>
      </c>
      <c r="D558" s="57">
        <v>0.21249999999999999</v>
      </c>
      <c r="E558" s="68">
        <v>1</v>
      </c>
      <c r="F558" s="69" t="s">
        <v>402</v>
      </c>
      <c r="G558" s="58">
        <v>19800</v>
      </c>
      <c r="H558" s="59">
        <f t="shared" si="8"/>
        <v>23562</v>
      </c>
    </row>
    <row r="559" spans="1:8" x14ac:dyDescent="0.35">
      <c r="A559" s="52" t="s">
        <v>806</v>
      </c>
      <c r="B559" s="52" t="s">
        <v>838</v>
      </c>
      <c r="C559" s="52" t="s">
        <v>812</v>
      </c>
      <c r="D559" s="57">
        <v>0.34500000000000008</v>
      </c>
      <c r="E559" s="68">
        <v>1</v>
      </c>
      <c r="F559" s="69" t="s">
        <v>402</v>
      </c>
      <c r="G559" s="58">
        <v>23800</v>
      </c>
      <c r="H559" s="59">
        <f t="shared" si="8"/>
        <v>28322</v>
      </c>
    </row>
    <row r="560" spans="1:8" x14ac:dyDescent="0.35">
      <c r="A560" s="52" t="s">
        <v>839</v>
      </c>
      <c r="B560" s="52" t="s">
        <v>840</v>
      </c>
      <c r="C560" s="52" t="s">
        <v>527</v>
      </c>
      <c r="D560" s="57">
        <v>0.44187500000000002</v>
      </c>
      <c r="E560" s="68">
        <v>1</v>
      </c>
      <c r="F560" s="69" t="s">
        <v>402</v>
      </c>
      <c r="G560" s="58">
        <v>3980</v>
      </c>
      <c r="H560" s="59">
        <f t="shared" si="8"/>
        <v>4736.2</v>
      </c>
    </row>
    <row r="561" spans="1:10" x14ac:dyDescent="0.35">
      <c r="A561" s="52" t="s">
        <v>839</v>
      </c>
      <c r="B561" s="52" t="s">
        <v>841</v>
      </c>
      <c r="C561" s="52" t="s">
        <v>527</v>
      </c>
      <c r="D561" s="57">
        <v>0.39749999999999996</v>
      </c>
      <c r="E561" s="68">
        <v>1</v>
      </c>
      <c r="F561" s="69" t="s">
        <v>402</v>
      </c>
      <c r="G561" s="58">
        <v>3980</v>
      </c>
      <c r="H561" s="59">
        <f t="shared" si="8"/>
        <v>4736.2</v>
      </c>
    </row>
    <row r="562" spans="1:10" x14ac:dyDescent="0.35">
      <c r="A562" s="52" t="s">
        <v>839</v>
      </c>
      <c r="B562" s="52" t="s">
        <v>842</v>
      </c>
      <c r="C562" s="52" t="s">
        <v>527</v>
      </c>
      <c r="D562" s="57">
        <v>0.20750000000000002</v>
      </c>
      <c r="E562" s="68">
        <v>1</v>
      </c>
      <c r="F562" s="69" t="s">
        <v>402</v>
      </c>
      <c r="G562" s="58">
        <v>5980</v>
      </c>
      <c r="H562" s="59">
        <f t="shared" si="8"/>
        <v>7116.2</v>
      </c>
    </row>
    <row r="563" spans="1:10" x14ac:dyDescent="0.35">
      <c r="A563" s="52" t="s">
        <v>839</v>
      </c>
      <c r="B563" s="52" t="s">
        <v>843</v>
      </c>
      <c r="C563" s="52" t="s">
        <v>527</v>
      </c>
      <c r="D563" s="57">
        <v>1.1550000000000002</v>
      </c>
      <c r="E563" s="68">
        <v>1</v>
      </c>
      <c r="F563" s="69" t="s">
        <v>402</v>
      </c>
      <c r="G563" s="58">
        <v>8990</v>
      </c>
      <c r="H563" s="59">
        <f t="shared" si="8"/>
        <v>10698.1</v>
      </c>
    </row>
    <row r="564" spans="1:10" x14ac:dyDescent="0.35">
      <c r="A564" s="52" t="s">
        <v>839</v>
      </c>
      <c r="B564" s="52" t="s">
        <v>844</v>
      </c>
      <c r="C564" s="52" t="s">
        <v>527</v>
      </c>
      <c r="D564" s="57">
        <v>0.25124999999999997</v>
      </c>
      <c r="E564" s="68">
        <v>1</v>
      </c>
      <c r="F564" s="69" t="s">
        <v>402</v>
      </c>
      <c r="G564" s="58">
        <v>5680</v>
      </c>
      <c r="H564" s="59">
        <f t="shared" si="8"/>
        <v>6759.2</v>
      </c>
    </row>
    <row r="565" spans="1:10" x14ac:dyDescent="0.35">
      <c r="A565" s="52" t="s">
        <v>839</v>
      </c>
      <c r="B565" s="52" t="s">
        <v>845</v>
      </c>
      <c r="C565" s="52" t="s">
        <v>527</v>
      </c>
      <c r="D565" s="57">
        <v>1.3187500000000001</v>
      </c>
      <c r="E565" s="68">
        <v>1</v>
      </c>
      <c r="F565" s="69" t="s">
        <v>402</v>
      </c>
      <c r="G565" s="58">
        <v>4980</v>
      </c>
      <c r="H565" s="59">
        <f t="shared" si="8"/>
        <v>5926.2</v>
      </c>
    </row>
    <row r="566" spans="1:10" x14ac:dyDescent="0.35">
      <c r="A566" s="52" t="s">
        <v>839</v>
      </c>
      <c r="B566" s="52" t="s">
        <v>846</v>
      </c>
      <c r="C566" s="52" t="s">
        <v>527</v>
      </c>
      <c r="D566" s="57">
        <v>0.4375</v>
      </c>
      <c r="E566" s="68">
        <v>1</v>
      </c>
      <c r="F566" s="69" t="s">
        <v>402</v>
      </c>
      <c r="G566" s="58">
        <v>3950</v>
      </c>
      <c r="H566" s="59">
        <f t="shared" si="8"/>
        <v>4700.5</v>
      </c>
    </row>
    <row r="567" spans="1:10" x14ac:dyDescent="0.35">
      <c r="A567" s="52" t="s">
        <v>847</v>
      </c>
      <c r="B567" s="52" t="s">
        <v>848</v>
      </c>
      <c r="C567" s="52" t="s">
        <v>232</v>
      </c>
      <c r="D567" s="57">
        <v>2</v>
      </c>
      <c r="E567" s="68">
        <v>100</v>
      </c>
      <c r="F567" s="69" t="s">
        <v>259</v>
      </c>
      <c r="G567" s="58">
        <v>6008</v>
      </c>
      <c r="H567" s="59">
        <f t="shared" si="8"/>
        <v>7149.5199999999995</v>
      </c>
      <c r="J567" s="50"/>
    </row>
    <row r="568" spans="1:10" x14ac:dyDescent="0.35">
      <c r="A568" s="52" t="s">
        <v>847</v>
      </c>
      <c r="B568" s="52" t="s">
        <v>849</v>
      </c>
      <c r="C568" s="52" t="s">
        <v>232</v>
      </c>
      <c r="D568" s="57">
        <v>6.9</v>
      </c>
      <c r="E568" s="68">
        <v>20</v>
      </c>
      <c r="F568" s="69" t="s">
        <v>259</v>
      </c>
      <c r="G568" s="58">
        <v>1672</v>
      </c>
      <c r="H568" s="59">
        <f t="shared" si="8"/>
        <v>1989.6799999999998</v>
      </c>
      <c r="J568" s="50"/>
    </row>
    <row r="569" spans="1:10" x14ac:dyDescent="0.35">
      <c r="A569" s="52" t="s">
        <v>847</v>
      </c>
      <c r="B569" s="52" t="s">
        <v>850</v>
      </c>
      <c r="C569" s="52" t="s">
        <v>232</v>
      </c>
      <c r="D569" s="57">
        <v>5.0000000000000001E-3</v>
      </c>
      <c r="E569" s="68">
        <v>20</v>
      </c>
      <c r="F569" s="69" t="s">
        <v>259</v>
      </c>
      <c r="G569" s="58">
        <v>1555</v>
      </c>
      <c r="H569" s="59">
        <f t="shared" si="8"/>
        <v>1850.4499999999998</v>
      </c>
      <c r="J569" s="50"/>
    </row>
    <row r="570" spans="1:10" x14ac:dyDescent="0.35">
      <c r="A570" s="52" t="s">
        <v>847</v>
      </c>
      <c r="B570" s="52" t="s">
        <v>851</v>
      </c>
      <c r="C570" s="52" t="s">
        <v>232</v>
      </c>
      <c r="D570" s="57">
        <v>1.175E-2</v>
      </c>
      <c r="E570" s="68">
        <v>20</v>
      </c>
      <c r="F570" s="69" t="s">
        <v>259</v>
      </c>
      <c r="G570" s="58">
        <v>1672</v>
      </c>
      <c r="H570" s="59">
        <f t="shared" si="8"/>
        <v>1989.6799999999998</v>
      </c>
      <c r="J570" s="50"/>
    </row>
    <row r="571" spans="1:10" x14ac:dyDescent="0.35">
      <c r="A571" s="52" t="s">
        <v>852</v>
      </c>
      <c r="B571" s="52" t="s">
        <v>853</v>
      </c>
      <c r="C571" s="52" t="s">
        <v>527</v>
      </c>
      <c r="D571" s="57">
        <v>6.5000000000000002E-2</v>
      </c>
      <c r="E571" s="68">
        <v>1</v>
      </c>
      <c r="F571" s="69" t="s">
        <v>402</v>
      </c>
      <c r="G571" s="58">
        <v>15990</v>
      </c>
      <c r="H571" s="59">
        <f t="shared" si="8"/>
        <v>19028.099999999999</v>
      </c>
    </row>
    <row r="572" spans="1:10" x14ac:dyDescent="0.35">
      <c r="A572" s="52" t="s">
        <v>852</v>
      </c>
      <c r="B572" s="52" t="s">
        <v>854</v>
      </c>
      <c r="C572" s="52" t="s">
        <v>527</v>
      </c>
      <c r="D572" s="57">
        <v>0.11000000000000001</v>
      </c>
      <c r="E572" s="68">
        <v>100</v>
      </c>
      <c r="F572" s="69" t="s">
        <v>522</v>
      </c>
      <c r="G572" s="58">
        <v>980</v>
      </c>
      <c r="H572" s="59">
        <f t="shared" si="8"/>
        <v>1166.2</v>
      </c>
    </row>
    <row r="573" spans="1:10" x14ac:dyDescent="0.35">
      <c r="A573" s="52" t="s">
        <v>852</v>
      </c>
      <c r="B573" s="52" t="s">
        <v>855</v>
      </c>
      <c r="C573" s="52" t="s">
        <v>527</v>
      </c>
      <c r="D573" s="57">
        <v>0.05</v>
      </c>
      <c r="E573" s="68">
        <v>1</v>
      </c>
      <c r="F573" s="69" t="s">
        <v>402</v>
      </c>
      <c r="G573" s="58">
        <v>9950</v>
      </c>
      <c r="H573" s="59">
        <f t="shared" si="8"/>
        <v>11840.5</v>
      </c>
    </row>
    <row r="574" spans="1:10" x14ac:dyDescent="0.35">
      <c r="A574" s="52" t="s">
        <v>852</v>
      </c>
      <c r="B574" s="52" t="s">
        <v>856</v>
      </c>
      <c r="C574" s="52" t="s">
        <v>527</v>
      </c>
      <c r="D574" s="57">
        <v>7.4999999999999997E-2</v>
      </c>
      <c r="E574" s="68">
        <v>1</v>
      </c>
      <c r="F574" s="69" t="s">
        <v>402</v>
      </c>
      <c r="G574" s="58">
        <v>12598</v>
      </c>
      <c r="H574" s="59">
        <f t="shared" si="8"/>
        <v>14991.619999999999</v>
      </c>
    </row>
    <row r="575" spans="1:10" x14ac:dyDescent="0.35">
      <c r="A575" s="52" t="s">
        <v>852</v>
      </c>
      <c r="B575" s="52" t="s">
        <v>857</v>
      </c>
      <c r="C575" s="52" t="s">
        <v>527</v>
      </c>
      <c r="D575" s="57">
        <v>7.4999999999999997E-2</v>
      </c>
      <c r="E575" s="68">
        <v>1</v>
      </c>
      <c r="F575" s="69" t="s">
        <v>402</v>
      </c>
      <c r="G575" s="58">
        <v>12990</v>
      </c>
      <c r="H575" s="59">
        <f t="shared" si="8"/>
        <v>15458.099999999999</v>
      </c>
    </row>
    <row r="576" spans="1:10" x14ac:dyDescent="0.35">
      <c r="A576" s="52" t="s">
        <v>852</v>
      </c>
      <c r="B576" s="52" t="s">
        <v>858</v>
      </c>
      <c r="C576" s="52" t="s">
        <v>527</v>
      </c>
      <c r="D576" s="57">
        <v>0.25937500000000002</v>
      </c>
      <c r="E576" s="68">
        <v>1</v>
      </c>
      <c r="F576" s="69" t="s">
        <v>402</v>
      </c>
      <c r="G576" s="58">
        <v>17640</v>
      </c>
      <c r="H576" s="59">
        <f t="shared" si="8"/>
        <v>20991.599999999999</v>
      </c>
    </row>
    <row r="577" spans="1:8" x14ac:dyDescent="0.35">
      <c r="A577" s="52" t="s">
        <v>852</v>
      </c>
      <c r="B577" s="52" t="s">
        <v>859</v>
      </c>
      <c r="C577" s="52" t="s">
        <v>527</v>
      </c>
      <c r="D577" s="57">
        <v>0.43000000000000005</v>
      </c>
      <c r="E577" s="68">
        <v>1</v>
      </c>
      <c r="F577" s="69" t="s">
        <v>402</v>
      </c>
      <c r="G577" s="58">
        <v>15990</v>
      </c>
      <c r="H577" s="59">
        <f t="shared" si="8"/>
        <v>19028.099999999999</v>
      </c>
    </row>
    <row r="578" spans="1:8" x14ac:dyDescent="0.35">
      <c r="A578" s="52" t="s">
        <v>852</v>
      </c>
      <c r="B578" s="52" t="s">
        <v>860</v>
      </c>
      <c r="C578" s="52" t="s">
        <v>527</v>
      </c>
      <c r="D578" s="57">
        <v>0.35000000000000003</v>
      </c>
      <c r="E578" s="68">
        <v>1</v>
      </c>
      <c r="F578" s="69" t="s">
        <v>402</v>
      </c>
      <c r="G578" s="58">
        <v>13990</v>
      </c>
      <c r="H578" s="59">
        <f t="shared" ref="H578:H606" si="9">G578*1.19</f>
        <v>16648.099999999999</v>
      </c>
    </row>
    <row r="579" spans="1:8" x14ac:dyDescent="0.35">
      <c r="A579" s="52" t="s">
        <v>852</v>
      </c>
      <c r="B579" s="52" t="s">
        <v>861</v>
      </c>
      <c r="C579" s="52" t="s">
        <v>527</v>
      </c>
      <c r="D579" s="57">
        <v>0.1</v>
      </c>
      <c r="E579" s="68">
        <v>1</v>
      </c>
      <c r="F579" s="69" t="s">
        <v>402</v>
      </c>
      <c r="G579" s="58">
        <v>25000</v>
      </c>
      <c r="H579" s="59">
        <f t="shared" si="9"/>
        <v>29750</v>
      </c>
    </row>
    <row r="580" spans="1:8" x14ac:dyDescent="0.35">
      <c r="A580" s="52" t="s">
        <v>852</v>
      </c>
      <c r="B580" s="52" t="s">
        <v>862</v>
      </c>
      <c r="C580" s="52" t="s">
        <v>527</v>
      </c>
      <c r="D580" s="57">
        <v>0.15</v>
      </c>
      <c r="E580" s="68">
        <v>1</v>
      </c>
      <c r="F580" s="69" t="s">
        <v>402</v>
      </c>
      <c r="G580" s="58">
        <v>27998</v>
      </c>
      <c r="H580" s="59">
        <f t="shared" si="9"/>
        <v>33317.619999999995</v>
      </c>
    </row>
    <row r="581" spans="1:8" x14ac:dyDescent="0.35">
      <c r="A581" s="52" t="s">
        <v>852</v>
      </c>
      <c r="B581" s="52" t="s">
        <v>863</v>
      </c>
      <c r="C581" s="52" t="s">
        <v>527</v>
      </c>
      <c r="D581" s="57">
        <v>0.125</v>
      </c>
      <c r="E581" s="68">
        <v>1</v>
      </c>
      <c r="F581" s="69" t="s">
        <v>402</v>
      </c>
      <c r="G581" s="58">
        <v>6980</v>
      </c>
      <c r="H581" s="59">
        <f t="shared" si="9"/>
        <v>8306.1999999999989</v>
      </c>
    </row>
    <row r="582" spans="1:8" x14ac:dyDescent="0.35">
      <c r="A582" s="52" t="s">
        <v>852</v>
      </c>
      <c r="B582" s="52" t="s">
        <v>864</v>
      </c>
      <c r="C582" s="52" t="s">
        <v>527</v>
      </c>
      <c r="D582" s="57">
        <v>0.96000000000000008</v>
      </c>
      <c r="E582" s="68">
        <v>1</v>
      </c>
      <c r="F582" s="69" t="s">
        <v>402</v>
      </c>
      <c r="G582" s="58">
        <v>2498</v>
      </c>
      <c r="H582" s="59">
        <f t="shared" si="9"/>
        <v>2972.62</v>
      </c>
    </row>
    <row r="583" spans="1:8" x14ac:dyDescent="0.35">
      <c r="A583" s="52" t="s">
        <v>852</v>
      </c>
      <c r="B583" s="52" t="s">
        <v>865</v>
      </c>
      <c r="C583" s="52" t="s">
        <v>527</v>
      </c>
      <c r="D583" s="57">
        <v>0.16499999999999998</v>
      </c>
      <c r="E583" s="68">
        <v>1</v>
      </c>
      <c r="F583" s="69" t="s">
        <v>402</v>
      </c>
      <c r="G583" s="58">
        <v>15998</v>
      </c>
      <c r="H583" s="59">
        <f t="shared" si="9"/>
        <v>19037.62</v>
      </c>
    </row>
    <row r="584" spans="1:8" x14ac:dyDescent="0.35">
      <c r="A584" s="52" t="s">
        <v>852</v>
      </c>
      <c r="B584" s="52" t="s">
        <v>866</v>
      </c>
      <c r="C584" s="52" t="s">
        <v>527</v>
      </c>
      <c r="D584" s="57">
        <v>0.48125000000000007</v>
      </c>
      <c r="E584" s="68">
        <v>1</v>
      </c>
      <c r="F584" s="69" t="s">
        <v>402</v>
      </c>
      <c r="G584" s="58">
        <v>21990</v>
      </c>
      <c r="H584" s="59">
        <f t="shared" si="9"/>
        <v>26168.1</v>
      </c>
    </row>
    <row r="585" spans="1:8" x14ac:dyDescent="0.35">
      <c r="A585" s="52" t="s">
        <v>852</v>
      </c>
      <c r="B585" s="52" t="s">
        <v>867</v>
      </c>
      <c r="C585" s="52" t="s">
        <v>527</v>
      </c>
      <c r="D585" s="57">
        <v>0.21</v>
      </c>
      <c r="E585" s="68">
        <v>1</v>
      </c>
      <c r="F585" s="69" t="s">
        <v>402</v>
      </c>
      <c r="G585" s="58">
        <v>21990</v>
      </c>
      <c r="H585" s="59">
        <f t="shared" si="9"/>
        <v>26168.1</v>
      </c>
    </row>
    <row r="586" spans="1:8" x14ac:dyDescent="0.35">
      <c r="A586" s="52" t="s">
        <v>852</v>
      </c>
      <c r="B586" s="52" t="s">
        <v>868</v>
      </c>
      <c r="C586" s="52" t="s">
        <v>527</v>
      </c>
      <c r="D586" s="57">
        <v>3.7499999999999999E-3</v>
      </c>
      <c r="E586" s="68">
        <v>1</v>
      </c>
      <c r="F586" s="69" t="s">
        <v>402</v>
      </c>
      <c r="G586" s="58">
        <v>19950</v>
      </c>
      <c r="H586" s="59">
        <f t="shared" si="9"/>
        <v>23740.5</v>
      </c>
    </row>
    <row r="587" spans="1:8" x14ac:dyDescent="0.35">
      <c r="A587" s="52" t="s">
        <v>852</v>
      </c>
      <c r="B587" s="52" t="s">
        <v>869</v>
      </c>
      <c r="C587" s="52" t="s">
        <v>527</v>
      </c>
      <c r="D587" s="57">
        <v>0.19500000000000001</v>
      </c>
      <c r="E587" s="68">
        <v>1</v>
      </c>
      <c r="F587" s="69" t="s">
        <v>402</v>
      </c>
      <c r="G587" s="58">
        <v>11980</v>
      </c>
      <c r="H587" s="59">
        <f t="shared" si="9"/>
        <v>14256.199999999999</v>
      </c>
    </row>
    <row r="588" spans="1:8" x14ac:dyDescent="0.35">
      <c r="A588" s="52" t="s">
        <v>852</v>
      </c>
      <c r="B588" s="52" t="s">
        <v>870</v>
      </c>
      <c r="C588" s="52" t="s">
        <v>527</v>
      </c>
      <c r="D588" s="57">
        <v>0.11</v>
      </c>
      <c r="E588" s="68">
        <v>1</v>
      </c>
      <c r="F588" s="69" t="s">
        <v>402</v>
      </c>
      <c r="G588" s="58">
        <v>17640</v>
      </c>
      <c r="H588" s="59">
        <f t="shared" si="9"/>
        <v>20991.599999999999</v>
      </c>
    </row>
    <row r="589" spans="1:8" x14ac:dyDescent="0.35">
      <c r="A589" s="52" t="s">
        <v>852</v>
      </c>
      <c r="B589" s="52" t="s">
        <v>871</v>
      </c>
      <c r="C589" s="52" t="s">
        <v>527</v>
      </c>
      <c r="D589" s="57">
        <v>0.06</v>
      </c>
      <c r="E589" s="68">
        <v>1</v>
      </c>
      <c r="F589" s="69" t="s">
        <v>402</v>
      </c>
      <c r="G589" s="58">
        <v>17640</v>
      </c>
      <c r="H589" s="59">
        <f t="shared" si="9"/>
        <v>20991.599999999999</v>
      </c>
    </row>
    <row r="590" spans="1:8" x14ac:dyDescent="0.35">
      <c r="A590" s="52" t="s">
        <v>852</v>
      </c>
      <c r="B590" s="52" t="s">
        <v>872</v>
      </c>
      <c r="C590" s="52" t="s">
        <v>527</v>
      </c>
      <c r="D590" s="57">
        <v>0.13375000000000001</v>
      </c>
      <c r="E590" s="68">
        <v>1</v>
      </c>
      <c r="F590" s="69" t="s">
        <v>402</v>
      </c>
      <c r="G590" s="58">
        <v>14990</v>
      </c>
      <c r="H590" s="59">
        <f t="shared" si="9"/>
        <v>17838.099999999999</v>
      </c>
    </row>
    <row r="591" spans="1:8" x14ac:dyDescent="0.35">
      <c r="A591" s="52" t="s">
        <v>852</v>
      </c>
      <c r="B591" s="52" t="s">
        <v>873</v>
      </c>
      <c r="C591" s="52" t="s">
        <v>527</v>
      </c>
      <c r="D591" s="57">
        <v>0.40687499999999999</v>
      </c>
      <c r="E591" s="68">
        <v>1</v>
      </c>
      <c r="F591" s="69" t="s">
        <v>402</v>
      </c>
      <c r="G591" s="58">
        <v>14990</v>
      </c>
      <c r="H591" s="59">
        <f t="shared" si="9"/>
        <v>17838.099999999999</v>
      </c>
    </row>
    <row r="592" spans="1:8" x14ac:dyDescent="0.35">
      <c r="A592" s="52" t="s">
        <v>852</v>
      </c>
      <c r="B592" s="52" t="s">
        <v>874</v>
      </c>
      <c r="C592" s="52" t="s">
        <v>527</v>
      </c>
      <c r="D592" s="57">
        <v>0.29499999999999998</v>
      </c>
      <c r="E592" s="68">
        <v>1</v>
      </c>
      <c r="F592" s="69" t="s">
        <v>402</v>
      </c>
      <c r="G592" s="58">
        <v>14990</v>
      </c>
      <c r="H592" s="59">
        <f t="shared" si="9"/>
        <v>17838.099999999999</v>
      </c>
    </row>
    <row r="593" spans="1:10" x14ac:dyDescent="0.35">
      <c r="A593" s="52" t="s">
        <v>852</v>
      </c>
      <c r="B593" s="52" t="s">
        <v>875</v>
      </c>
      <c r="C593" s="52" t="s">
        <v>527</v>
      </c>
      <c r="D593" s="57">
        <v>0.12</v>
      </c>
      <c r="E593" s="68">
        <v>1</v>
      </c>
      <c r="F593" s="69" t="s">
        <v>402</v>
      </c>
      <c r="G593" s="58">
        <v>12990</v>
      </c>
      <c r="H593" s="59">
        <f t="shared" si="9"/>
        <v>15458.099999999999</v>
      </c>
    </row>
    <row r="594" spans="1:10" x14ac:dyDescent="0.35">
      <c r="A594" s="52" t="s">
        <v>876</v>
      </c>
      <c r="B594" s="52" t="s">
        <v>877</v>
      </c>
      <c r="C594" s="52" t="s">
        <v>550</v>
      </c>
      <c r="D594" s="57">
        <v>6.5375000000000003E-2</v>
      </c>
      <c r="E594" s="68">
        <v>1</v>
      </c>
      <c r="F594" s="69" t="s">
        <v>259</v>
      </c>
      <c r="G594" s="58">
        <v>5773</v>
      </c>
      <c r="H594" s="59">
        <f t="shared" si="9"/>
        <v>6869.87</v>
      </c>
      <c r="J594" s="50"/>
    </row>
    <row r="595" spans="1:10" x14ac:dyDescent="0.35">
      <c r="A595" s="52" t="s">
        <v>876</v>
      </c>
      <c r="B595" s="52" t="s">
        <v>878</v>
      </c>
      <c r="C595" s="52" t="s">
        <v>229</v>
      </c>
      <c r="D595" s="57">
        <v>1.2229374999999998</v>
      </c>
      <c r="E595" s="68">
        <v>1</v>
      </c>
      <c r="F595" s="69" t="s">
        <v>222</v>
      </c>
      <c r="G595" s="58">
        <v>1493</v>
      </c>
      <c r="H595" s="59">
        <f t="shared" si="9"/>
        <v>1776.6699999999998</v>
      </c>
    </row>
    <row r="596" spans="1:10" x14ac:dyDescent="0.35">
      <c r="A596" s="52" t="s">
        <v>876</v>
      </c>
      <c r="B596" s="52" t="s">
        <v>879</v>
      </c>
      <c r="C596" s="52" t="s">
        <v>550</v>
      </c>
      <c r="D596" s="57">
        <v>0.2</v>
      </c>
      <c r="E596" s="68">
        <v>1</v>
      </c>
      <c r="F596" s="69" t="s">
        <v>259</v>
      </c>
      <c r="G596" s="58">
        <v>4294</v>
      </c>
      <c r="H596" s="59">
        <f t="shared" si="9"/>
        <v>5109.8599999999997</v>
      </c>
      <c r="J596" s="50"/>
    </row>
    <row r="597" spans="1:10" x14ac:dyDescent="0.35">
      <c r="A597" s="52" t="s">
        <v>876</v>
      </c>
      <c r="B597" s="52" t="s">
        <v>880</v>
      </c>
      <c r="C597" s="52" t="s">
        <v>550</v>
      </c>
      <c r="D597" s="57">
        <v>6.2E-2</v>
      </c>
      <c r="E597" s="68">
        <v>1</v>
      </c>
      <c r="F597" s="69" t="s">
        <v>259</v>
      </c>
      <c r="G597" s="58">
        <v>6605</v>
      </c>
      <c r="H597" s="59">
        <f t="shared" si="9"/>
        <v>7859.95</v>
      </c>
      <c r="J597" s="50"/>
    </row>
    <row r="598" spans="1:10" x14ac:dyDescent="0.35">
      <c r="A598" s="52" t="s">
        <v>876</v>
      </c>
      <c r="B598" s="52" t="s">
        <v>881</v>
      </c>
      <c r="C598" s="52" t="s">
        <v>550</v>
      </c>
      <c r="D598" s="57">
        <v>6.2E-2</v>
      </c>
      <c r="E598" s="68">
        <v>1</v>
      </c>
      <c r="F598" s="69" t="s">
        <v>259</v>
      </c>
      <c r="G598" s="58">
        <v>4193</v>
      </c>
      <c r="H598" s="59">
        <f t="shared" si="9"/>
        <v>4989.67</v>
      </c>
      <c r="J598" s="50"/>
    </row>
    <row r="599" spans="1:10" x14ac:dyDescent="0.35">
      <c r="A599" s="52" t="s">
        <v>876</v>
      </c>
      <c r="B599" s="52" t="s">
        <v>882</v>
      </c>
      <c r="C599" s="52" t="s">
        <v>229</v>
      </c>
      <c r="D599" s="57">
        <v>1.3925000000000001</v>
      </c>
      <c r="E599" s="68">
        <v>1</v>
      </c>
      <c r="F599" s="69" t="s">
        <v>222</v>
      </c>
      <c r="G599" s="58">
        <v>1677</v>
      </c>
      <c r="H599" s="59">
        <f t="shared" si="9"/>
        <v>1995.6299999999999</v>
      </c>
    </row>
    <row r="600" spans="1:10" x14ac:dyDescent="0.35">
      <c r="A600" s="52" t="s">
        <v>884</v>
      </c>
      <c r="B600" s="52" t="s">
        <v>885</v>
      </c>
      <c r="C600" s="52" t="s">
        <v>229</v>
      </c>
      <c r="D600" s="57">
        <v>0.03</v>
      </c>
      <c r="E600" s="68">
        <v>120</v>
      </c>
      <c r="F600" s="69" t="s">
        <v>522</v>
      </c>
      <c r="G600" s="58">
        <v>256</v>
      </c>
      <c r="H600" s="59">
        <f t="shared" si="9"/>
        <v>304.64</v>
      </c>
    </row>
    <row r="601" spans="1:10" x14ac:dyDescent="0.35">
      <c r="A601" s="52" t="s">
        <v>884</v>
      </c>
      <c r="B601" s="52" t="s">
        <v>886</v>
      </c>
      <c r="C601" s="52" t="s">
        <v>229</v>
      </c>
      <c r="D601" s="57">
        <v>0.40750000000000003</v>
      </c>
      <c r="E601" s="68">
        <v>1</v>
      </c>
      <c r="F601" s="69" t="s">
        <v>222</v>
      </c>
      <c r="G601" s="58">
        <v>1696</v>
      </c>
      <c r="H601" s="59">
        <f t="shared" si="9"/>
        <v>2018.24</v>
      </c>
    </row>
    <row r="602" spans="1:10" x14ac:dyDescent="0.35">
      <c r="A602" s="52" t="s">
        <v>884</v>
      </c>
      <c r="B602" s="52" t="s">
        <v>887</v>
      </c>
      <c r="C602" s="52" t="s">
        <v>232</v>
      </c>
      <c r="D602" s="57">
        <v>5.6250000000000001E-2</v>
      </c>
      <c r="E602" s="68">
        <v>1</v>
      </c>
      <c r="F602" s="69" t="s">
        <v>222</v>
      </c>
      <c r="G602" s="58">
        <v>1840</v>
      </c>
      <c r="H602" s="59">
        <f t="shared" si="9"/>
        <v>2189.6</v>
      </c>
      <c r="J602" s="50"/>
    </row>
    <row r="603" spans="1:10" x14ac:dyDescent="0.35">
      <c r="A603" s="52" t="s">
        <v>888</v>
      </c>
      <c r="B603" s="52" t="s">
        <v>889</v>
      </c>
      <c r="C603" s="52" t="s">
        <v>246</v>
      </c>
      <c r="D603" s="57">
        <v>3.7500000000000001E-4</v>
      </c>
      <c r="E603" s="68">
        <v>1</v>
      </c>
      <c r="F603" s="69" t="s">
        <v>259</v>
      </c>
      <c r="G603" s="58">
        <v>4905</v>
      </c>
      <c r="H603" s="59">
        <f t="shared" si="9"/>
        <v>5836.95</v>
      </c>
    </row>
    <row r="604" spans="1:10" x14ac:dyDescent="0.35">
      <c r="A604" s="52" t="s">
        <v>890</v>
      </c>
      <c r="B604" s="52" t="s">
        <v>891</v>
      </c>
      <c r="C604" s="52" t="s">
        <v>229</v>
      </c>
      <c r="D604" s="57">
        <v>0.46599999999999997</v>
      </c>
      <c r="E604" s="68">
        <v>390</v>
      </c>
      <c r="F604" s="69" t="s">
        <v>522</v>
      </c>
      <c r="G604" s="58">
        <v>1592</v>
      </c>
      <c r="H604" s="59">
        <f t="shared" si="9"/>
        <v>1894.48</v>
      </c>
    </row>
    <row r="605" spans="1:10" x14ac:dyDescent="0.35">
      <c r="A605" s="52" t="s">
        <v>890</v>
      </c>
      <c r="B605" s="52" t="s">
        <v>892</v>
      </c>
      <c r="C605" s="52" t="s">
        <v>893</v>
      </c>
      <c r="D605" s="57">
        <v>1.375</v>
      </c>
      <c r="E605" s="68">
        <v>1</v>
      </c>
      <c r="F605" s="69" t="s">
        <v>259</v>
      </c>
      <c r="G605" s="58">
        <v>1125</v>
      </c>
      <c r="H605" s="59">
        <f t="shared" si="9"/>
        <v>1338.75</v>
      </c>
    </row>
    <row r="606" spans="1:10" x14ac:dyDescent="0.35">
      <c r="A606" s="52" t="s">
        <v>790</v>
      </c>
      <c r="B606" s="52" t="s">
        <v>894</v>
      </c>
      <c r="C606" s="52" t="s">
        <v>232</v>
      </c>
      <c r="D606" s="57">
        <v>6.25E-2</v>
      </c>
      <c r="E606" s="68">
        <v>330</v>
      </c>
      <c r="F606" s="69" t="s">
        <v>522</v>
      </c>
      <c r="G606" s="58">
        <v>5370</v>
      </c>
      <c r="H606" s="59">
        <f t="shared" si="9"/>
        <v>6390.2999999999993</v>
      </c>
      <c r="J606" s="50"/>
    </row>
  </sheetData>
  <autoFilter ref="A1:H606" xr:uid="{317ADD6F-CCF4-44B8-8284-DDEDF9C5334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DETALLE RAMO MADRE </vt:lpstr>
      <vt:lpstr>DETALLE DE SUB-RAMOS MENSUALES</vt:lpstr>
      <vt:lpstr>INGREDIENTES DE SUB-RAMOS</vt:lpstr>
      <vt:lpstr>DETALLE PRECIO INGREDIENTES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Fuentes</dc:creator>
  <cp:lastModifiedBy>Lucas Sánchez Carreño</cp:lastModifiedBy>
  <dcterms:created xsi:type="dcterms:W3CDTF">2026-06-24T15:54:26Z</dcterms:created>
  <dcterms:modified xsi:type="dcterms:W3CDTF">2026-06-24T20:54:27Z</dcterms:modified>
</cp:coreProperties>
</file>