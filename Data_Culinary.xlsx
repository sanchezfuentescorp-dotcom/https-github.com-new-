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moov\Downloads\"/>
    </mc:Choice>
  </mc:AlternateContent>
  <xr:revisionPtr revIDLastSave="0" documentId="13_ncr:1_{00F187C1-E81F-404C-96AB-813BB7078B0B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DASHBOARD" sheetId="1" r:id="rId1"/>
    <sheet name="PROVEEDORES" sheetId="2" r:id="rId2"/>
    <sheet name="CONSOLIDADO PRECIOS" sheetId="3" r:id="rId3"/>
    <sheet name="RESUMEN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6" i="3" l="1"/>
  <c r="B36" i="4"/>
  <c r="B35" i="4"/>
  <c r="B34" i="4"/>
  <c r="B33" i="4"/>
  <c r="B32" i="4"/>
  <c r="B31" i="4"/>
  <c r="B30" i="4"/>
  <c r="B29" i="4"/>
  <c r="B28" i="4"/>
  <c r="B27" i="4"/>
  <c r="B26" i="4"/>
  <c r="B25" i="4"/>
  <c r="B24" i="4"/>
  <c r="B23" i="4"/>
  <c r="B22" i="4"/>
  <c r="B21" i="4"/>
  <c r="B20" i="4"/>
  <c r="B19" i="4"/>
  <c r="B18" i="4"/>
  <c r="B17" i="4"/>
  <c r="B16" i="4"/>
  <c r="B15" i="4"/>
  <c r="B14" i="4"/>
  <c r="B13" i="4"/>
  <c r="B12" i="4"/>
  <c r="B11" i="4"/>
  <c r="B10" i="4"/>
  <c r="B9" i="4"/>
  <c r="B8" i="4"/>
  <c r="B7" i="4"/>
  <c r="B6" i="4"/>
  <c r="B5" i="4"/>
  <c r="B4" i="4"/>
  <c r="B3" i="4"/>
  <c r="B37" i="4" s="1"/>
  <c r="T646" i="3"/>
  <c r="U646" i="3" s="1"/>
  <c r="R646" i="3"/>
  <c r="Q646" i="3"/>
  <c r="P646" i="3"/>
  <c r="M646" i="3"/>
  <c r="L646" i="3"/>
  <c r="K646" i="3"/>
  <c r="H646" i="3"/>
  <c r="G646" i="3"/>
  <c r="F646" i="3"/>
  <c r="U645" i="3"/>
  <c r="T645" i="3"/>
  <c r="R645" i="3"/>
  <c r="Q645" i="3"/>
  <c r="P645" i="3"/>
  <c r="M645" i="3"/>
  <c r="L645" i="3"/>
  <c r="K645" i="3"/>
  <c r="H645" i="3"/>
  <c r="G645" i="3"/>
  <c r="F645" i="3"/>
  <c r="U644" i="3"/>
  <c r="T644" i="3"/>
  <c r="R644" i="3"/>
  <c r="Q644" i="3"/>
  <c r="P644" i="3"/>
  <c r="M644" i="3"/>
  <c r="L644" i="3"/>
  <c r="K644" i="3"/>
  <c r="H644" i="3"/>
  <c r="G644" i="3"/>
  <c r="F644" i="3"/>
  <c r="T642" i="3"/>
  <c r="U642" i="3" s="1"/>
  <c r="R642" i="3"/>
  <c r="Q642" i="3"/>
  <c r="P642" i="3"/>
  <c r="M642" i="3"/>
  <c r="L642" i="3"/>
  <c r="K642" i="3"/>
  <c r="H642" i="3"/>
  <c r="G642" i="3"/>
  <c r="F642" i="3"/>
  <c r="T641" i="3"/>
  <c r="U641" i="3" s="1"/>
  <c r="R641" i="3"/>
  <c r="Q641" i="3"/>
  <c r="P641" i="3"/>
  <c r="M641" i="3"/>
  <c r="L641" i="3"/>
  <c r="K641" i="3"/>
  <c r="H641" i="3"/>
  <c r="G641" i="3"/>
  <c r="F641" i="3"/>
  <c r="U640" i="3"/>
  <c r="T640" i="3"/>
  <c r="R640" i="3"/>
  <c r="Q640" i="3"/>
  <c r="P640" i="3"/>
  <c r="M640" i="3"/>
  <c r="L640" i="3"/>
  <c r="K640" i="3"/>
  <c r="H640" i="3"/>
  <c r="G640" i="3"/>
  <c r="F640" i="3"/>
  <c r="T639" i="3"/>
  <c r="U639" i="3" s="1"/>
  <c r="R639" i="3"/>
  <c r="Q639" i="3"/>
  <c r="P639" i="3"/>
  <c r="M639" i="3"/>
  <c r="L639" i="3"/>
  <c r="K639" i="3"/>
  <c r="H639" i="3"/>
  <c r="G639" i="3"/>
  <c r="F639" i="3"/>
  <c r="U638" i="3"/>
  <c r="T638" i="3"/>
  <c r="R638" i="3"/>
  <c r="Q638" i="3"/>
  <c r="P638" i="3"/>
  <c r="M638" i="3"/>
  <c r="L638" i="3"/>
  <c r="K638" i="3"/>
  <c r="H638" i="3"/>
  <c r="G638" i="3"/>
  <c r="F638" i="3"/>
  <c r="T637" i="3"/>
  <c r="U637" i="3" s="1"/>
  <c r="R637" i="3"/>
  <c r="Q637" i="3"/>
  <c r="P637" i="3"/>
  <c r="M637" i="3"/>
  <c r="L637" i="3"/>
  <c r="K637" i="3"/>
  <c r="H637" i="3"/>
  <c r="G637" i="3"/>
  <c r="F637" i="3"/>
  <c r="U635" i="3"/>
  <c r="T635" i="3"/>
  <c r="M635" i="3"/>
  <c r="L635" i="3"/>
  <c r="K635" i="3"/>
  <c r="H635" i="3"/>
  <c r="G635" i="3"/>
  <c r="F635" i="3"/>
  <c r="U634" i="3"/>
  <c r="T634" i="3"/>
  <c r="M634" i="3"/>
  <c r="L634" i="3"/>
  <c r="K634" i="3"/>
  <c r="H634" i="3"/>
  <c r="G634" i="3"/>
  <c r="F634" i="3"/>
  <c r="U633" i="3"/>
  <c r="T633" i="3"/>
  <c r="M633" i="3"/>
  <c r="L633" i="3"/>
  <c r="K633" i="3"/>
  <c r="H633" i="3"/>
  <c r="G633" i="3"/>
  <c r="F633" i="3"/>
  <c r="U632" i="3"/>
  <c r="T632" i="3"/>
  <c r="M632" i="3"/>
  <c r="L632" i="3"/>
  <c r="K632" i="3"/>
  <c r="H632" i="3"/>
  <c r="G632" i="3"/>
  <c r="F632" i="3"/>
  <c r="U631" i="3"/>
  <c r="T631" i="3"/>
  <c r="M631" i="3"/>
  <c r="L631" i="3"/>
  <c r="K631" i="3"/>
  <c r="H631" i="3"/>
  <c r="G631" i="3"/>
  <c r="F631" i="3"/>
  <c r="U630" i="3"/>
  <c r="T630" i="3"/>
  <c r="M630" i="3"/>
  <c r="L630" i="3"/>
  <c r="K630" i="3"/>
  <c r="H630" i="3"/>
  <c r="G630" i="3"/>
  <c r="F630" i="3"/>
  <c r="U629" i="3"/>
  <c r="T629" i="3"/>
  <c r="M629" i="3"/>
  <c r="L629" i="3"/>
  <c r="K629" i="3"/>
  <c r="H629" i="3"/>
  <c r="G629" i="3"/>
  <c r="F629" i="3"/>
  <c r="U628" i="3"/>
  <c r="T628" i="3"/>
  <c r="M628" i="3"/>
  <c r="L628" i="3"/>
  <c r="K628" i="3"/>
  <c r="H628" i="3"/>
  <c r="G628" i="3"/>
  <c r="F628" i="3"/>
  <c r="U627" i="3"/>
  <c r="T627" i="3"/>
  <c r="M627" i="3"/>
  <c r="L627" i="3"/>
  <c r="K627" i="3"/>
  <c r="H627" i="3"/>
  <c r="G627" i="3"/>
  <c r="F627" i="3"/>
  <c r="U626" i="3"/>
  <c r="T626" i="3"/>
  <c r="M626" i="3"/>
  <c r="L626" i="3"/>
  <c r="K626" i="3"/>
  <c r="H626" i="3"/>
  <c r="G626" i="3"/>
  <c r="F626" i="3"/>
  <c r="U625" i="3"/>
  <c r="T625" i="3"/>
  <c r="M625" i="3"/>
  <c r="L625" i="3"/>
  <c r="K625" i="3"/>
  <c r="H625" i="3"/>
  <c r="G625" i="3"/>
  <c r="F625" i="3"/>
  <c r="U624" i="3"/>
  <c r="T624" i="3"/>
  <c r="M624" i="3"/>
  <c r="L624" i="3"/>
  <c r="K624" i="3"/>
  <c r="H624" i="3"/>
  <c r="G624" i="3"/>
  <c r="F624" i="3"/>
  <c r="U623" i="3"/>
  <c r="T623" i="3"/>
  <c r="M623" i="3"/>
  <c r="L623" i="3"/>
  <c r="K623" i="3"/>
  <c r="H623" i="3"/>
  <c r="G623" i="3"/>
  <c r="F623" i="3"/>
  <c r="U622" i="3"/>
  <c r="T622" i="3"/>
  <c r="M622" i="3"/>
  <c r="L622" i="3"/>
  <c r="K622" i="3"/>
  <c r="H622" i="3"/>
  <c r="G622" i="3"/>
  <c r="F622" i="3"/>
  <c r="U621" i="3"/>
  <c r="T621" i="3"/>
  <c r="M621" i="3"/>
  <c r="L621" i="3"/>
  <c r="K621" i="3"/>
  <c r="H621" i="3"/>
  <c r="G621" i="3"/>
  <c r="F621" i="3"/>
  <c r="U620" i="3"/>
  <c r="T620" i="3"/>
  <c r="M620" i="3"/>
  <c r="L620" i="3"/>
  <c r="K620" i="3"/>
  <c r="H620" i="3"/>
  <c r="G620" i="3"/>
  <c r="F620" i="3"/>
  <c r="U619" i="3"/>
  <c r="T619" i="3"/>
  <c r="M619" i="3"/>
  <c r="L619" i="3"/>
  <c r="K619" i="3"/>
  <c r="H619" i="3"/>
  <c r="G619" i="3"/>
  <c r="F619" i="3"/>
  <c r="U618" i="3"/>
  <c r="T618" i="3"/>
  <c r="M618" i="3"/>
  <c r="L618" i="3"/>
  <c r="K618" i="3"/>
  <c r="H618" i="3"/>
  <c r="G618" i="3"/>
  <c r="F618" i="3"/>
  <c r="U617" i="3"/>
  <c r="T617" i="3"/>
  <c r="M617" i="3"/>
  <c r="L617" i="3"/>
  <c r="K617" i="3"/>
  <c r="H617" i="3"/>
  <c r="G617" i="3"/>
  <c r="F617" i="3"/>
  <c r="U616" i="3"/>
  <c r="T616" i="3"/>
  <c r="M616" i="3"/>
  <c r="L616" i="3"/>
  <c r="K616" i="3"/>
  <c r="H616" i="3"/>
  <c r="G616" i="3"/>
  <c r="F616" i="3"/>
  <c r="U615" i="3"/>
  <c r="T615" i="3"/>
  <c r="M615" i="3"/>
  <c r="L615" i="3"/>
  <c r="K615" i="3"/>
  <c r="H615" i="3"/>
  <c r="G615" i="3"/>
  <c r="F615" i="3"/>
  <c r="U614" i="3"/>
  <c r="T614" i="3"/>
  <c r="M614" i="3"/>
  <c r="L614" i="3"/>
  <c r="K614" i="3"/>
  <c r="H614" i="3"/>
  <c r="G614" i="3"/>
  <c r="F614" i="3"/>
  <c r="U613" i="3"/>
  <c r="D34" i="4" s="1"/>
  <c r="T613" i="3"/>
  <c r="M613" i="3"/>
  <c r="L613" i="3"/>
  <c r="K613" i="3"/>
  <c r="H613" i="3"/>
  <c r="G613" i="3"/>
  <c r="F613" i="3"/>
  <c r="U611" i="3"/>
  <c r="T611" i="3"/>
  <c r="R611" i="3"/>
  <c r="Q611" i="3"/>
  <c r="P611" i="3"/>
  <c r="M611" i="3"/>
  <c r="L611" i="3"/>
  <c r="K611" i="3"/>
  <c r="H611" i="3"/>
  <c r="G611" i="3"/>
  <c r="F611" i="3"/>
  <c r="U610" i="3"/>
  <c r="T610" i="3"/>
  <c r="R610" i="3"/>
  <c r="Q610" i="3"/>
  <c r="P610" i="3"/>
  <c r="M610" i="3"/>
  <c r="L610" i="3"/>
  <c r="K610" i="3"/>
  <c r="H610" i="3"/>
  <c r="G610" i="3"/>
  <c r="F610" i="3"/>
  <c r="U609" i="3"/>
  <c r="T609" i="3"/>
  <c r="R609" i="3"/>
  <c r="Q609" i="3"/>
  <c r="P609" i="3"/>
  <c r="M609" i="3"/>
  <c r="L609" i="3"/>
  <c r="K609" i="3"/>
  <c r="H609" i="3"/>
  <c r="G609" i="3"/>
  <c r="F609" i="3"/>
  <c r="T608" i="3"/>
  <c r="U608" i="3" s="1"/>
  <c r="R608" i="3"/>
  <c r="Q608" i="3"/>
  <c r="P608" i="3"/>
  <c r="M608" i="3"/>
  <c r="L608" i="3"/>
  <c r="K608" i="3"/>
  <c r="H608" i="3"/>
  <c r="G608" i="3"/>
  <c r="F608" i="3"/>
  <c r="U606" i="3"/>
  <c r="T606" i="3"/>
  <c r="M606" i="3"/>
  <c r="L606" i="3"/>
  <c r="K606" i="3"/>
  <c r="H606" i="3"/>
  <c r="G606" i="3"/>
  <c r="F606" i="3"/>
  <c r="U605" i="3"/>
  <c r="T605" i="3"/>
  <c r="M605" i="3"/>
  <c r="L605" i="3"/>
  <c r="K605" i="3"/>
  <c r="H605" i="3"/>
  <c r="G605" i="3"/>
  <c r="F605" i="3"/>
  <c r="U604" i="3"/>
  <c r="T604" i="3"/>
  <c r="M604" i="3"/>
  <c r="L604" i="3"/>
  <c r="K604" i="3"/>
  <c r="H604" i="3"/>
  <c r="G604" i="3"/>
  <c r="F604" i="3"/>
  <c r="U603" i="3"/>
  <c r="T603" i="3"/>
  <c r="M603" i="3"/>
  <c r="L603" i="3"/>
  <c r="K603" i="3"/>
  <c r="H603" i="3"/>
  <c r="G603" i="3"/>
  <c r="F603" i="3"/>
  <c r="U602" i="3"/>
  <c r="T602" i="3"/>
  <c r="M602" i="3"/>
  <c r="L602" i="3"/>
  <c r="K602" i="3"/>
  <c r="H602" i="3"/>
  <c r="G602" i="3"/>
  <c r="F602" i="3"/>
  <c r="U601" i="3"/>
  <c r="T601" i="3"/>
  <c r="M601" i="3"/>
  <c r="L601" i="3"/>
  <c r="K601" i="3"/>
  <c r="H601" i="3"/>
  <c r="G601" i="3"/>
  <c r="F601" i="3"/>
  <c r="U600" i="3"/>
  <c r="T600" i="3"/>
  <c r="M600" i="3"/>
  <c r="L600" i="3"/>
  <c r="K600" i="3"/>
  <c r="H600" i="3"/>
  <c r="G600" i="3"/>
  <c r="F600" i="3"/>
  <c r="U599" i="3"/>
  <c r="D32" i="4" s="1"/>
  <c r="H41" i="1" s="1"/>
  <c r="T599" i="3"/>
  <c r="M599" i="3"/>
  <c r="L599" i="3"/>
  <c r="K599" i="3"/>
  <c r="H599" i="3"/>
  <c r="G599" i="3"/>
  <c r="F599" i="3"/>
  <c r="U597" i="3"/>
  <c r="T597" i="3"/>
  <c r="R597" i="3"/>
  <c r="Q597" i="3"/>
  <c r="P597" i="3"/>
  <c r="M597" i="3"/>
  <c r="L597" i="3"/>
  <c r="K597" i="3"/>
  <c r="H597" i="3"/>
  <c r="G597" i="3"/>
  <c r="F597" i="3"/>
  <c r="U596" i="3"/>
  <c r="T596" i="3"/>
  <c r="R596" i="3"/>
  <c r="Q596" i="3"/>
  <c r="P596" i="3"/>
  <c r="M596" i="3"/>
  <c r="L596" i="3"/>
  <c r="K596" i="3"/>
  <c r="H596" i="3"/>
  <c r="G596" i="3"/>
  <c r="F596" i="3"/>
  <c r="U595" i="3"/>
  <c r="T595" i="3"/>
  <c r="R595" i="3"/>
  <c r="Q595" i="3"/>
  <c r="P595" i="3"/>
  <c r="M595" i="3"/>
  <c r="L595" i="3"/>
  <c r="K595" i="3"/>
  <c r="H595" i="3"/>
  <c r="G595" i="3"/>
  <c r="F595" i="3"/>
  <c r="T594" i="3"/>
  <c r="U594" i="3" s="1"/>
  <c r="R594" i="3"/>
  <c r="Q594" i="3"/>
  <c r="P594" i="3"/>
  <c r="M594" i="3"/>
  <c r="L594" i="3"/>
  <c r="K594" i="3"/>
  <c r="H594" i="3"/>
  <c r="G594" i="3"/>
  <c r="F594" i="3"/>
  <c r="U593" i="3"/>
  <c r="T593" i="3"/>
  <c r="R593" i="3"/>
  <c r="Q593" i="3"/>
  <c r="P593" i="3"/>
  <c r="M593" i="3"/>
  <c r="L593" i="3"/>
  <c r="K593" i="3"/>
  <c r="H593" i="3"/>
  <c r="G593" i="3"/>
  <c r="F593" i="3"/>
  <c r="U592" i="3"/>
  <c r="T592" i="3"/>
  <c r="R592" i="3"/>
  <c r="Q592" i="3"/>
  <c r="P592" i="3"/>
  <c r="M592" i="3"/>
  <c r="L592" i="3"/>
  <c r="K592" i="3"/>
  <c r="H592" i="3"/>
  <c r="G592" i="3"/>
  <c r="F592" i="3"/>
  <c r="U591" i="3"/>
  <c r="T591" i="3"/>
  <c r="R591" i="3"/>
  <c r="Q591" i="3"/>
  <c r="P591" i="3"/>
  <c r="M591" i="3"/>
  <c r="L591" i="3"/>
  <c r="K591" i="3"/>
  <c r="H591" i="3"/>
  <c r="G591" i="3"/>
  <c r="F591" i="3"/>
  <c r="T590" i="3"/>
  <c r="U590" i="3" s="1"/>
  <c r="R590" i="3"/>
  <c r="Q590" i="3"/>
  <c r="P590" i="3"/>
  <c r="M590" i="3"/>
  <c r="L590" i="3"/>
  <c r="K590" i="3"/>
  <c r="H590" i="3"/>
  <c r="G590" i="3"/>
  <c r="F590" i="3"/>
  <c r="U589" i="3"/>
  <c r="T589" i="3"/>
  <c r="R589" i="3"/>
  <c r="Q589" i="3"/>
  <c r="P589" i="3"/>
  <c r="M589" i="3"/>
  <c r="L589" i="3"/>
  <c r="K589" i="3"/>
  <c r="H589" i="3"/>
  <c r="G589" i="3"/>
  <c r="F589" i="3"/>
  <c r="U588" i="3"/>
  <c r="T588" i="3"/>
  <c r="R588" i="3"/>
  <c r="Q588" i="3"/>
  <c r="P588" i="3"/>
  <c r="M588" i="3"/>
  <c r="L588" i="3"/>
  <c r="K588" i="3"/>
  <c r="H588" i="3"/>
  <c r="G588" i="3"/>
  <c r="F588" i="3"/>
  <c r="T587" i="3"/>
  <c r="U587" i="3" s="1"/>
  <c r="R587" i="3"/>
  <c r="Q587" i="3"/>
  <c r="P587" i="3"/>
  <c r="M587" i="3"/>
  <c r="L587" i="3"/>
  <c r="K587" i="3"/>
  <c r="H587" i="3"/>
  <c r="G587" i="3"/>
  <c r="F587" i="3"/>
  <c r="T586" i="3"/>
  <c r="U586" i="3" s="1"/>
  <c r="R586" i="3"/>
  <c r="Q586" i="3"/>
  <c r="P586" i="3"/>
  <c r="M586" i="3"/>
  <c r="L586" i="3"/>
  <c r="K586" i="3"/>
  <c r="H586" i="3"/>
  <c r="G586" i="3"/>
  <c r="F586" i="3"/>
  <c r="U585" i="3"/>
  <c r="T585" i="3"/>
  <c r="R585" i="3"/>
  <c r="Q585" i="3"/>
  <c r="P585" i="3"/>
  <c r="M585" i="3"/>
  <c r="L585" i="3"/>
  <c r="K585" i="3"/>
  <c r="H585" i="3"/>
  <c r="G585" i="3"/>
  <c r="F585" i="3"/>
  <c r="U584" i="3"/>
  <c r="T584" i="3"/>
  <c r="R584" i="3"/>
  <c r="Q584" i="3"/>
  <c r="P584" i="3"/>
  <c r="M584" i="3"/>
  <c r="L584" i="3"/>
  <c r="K584" i="3"/>
  <c r="H584" i="3"/>
  <c r="G584" i="3"/>
  <c r="F584" i="3"/>
  <c r="U583" i="3"/>
  <c r="T583" i="3"/>
  <c r="R583" i="3"/>
  <c r="Q583" i="3"/>
  <c r="P583" i="3"/>
  <c r="M583" i="3"/>
  <c r="L583" i="3"/>
  <c r="K583" i="3"/>
  <c r="H583" i="3"/>
  <c r="G583" i="3"/>
  <c r="F583" i="3"/>
  <c r="T582" i="3"/>
  <c r="U582" i="3" s="1"/>
  <c r="R582" i="3"/>
  <c r="Q582" i="3"/>
  <c r="P582" i="3"/>
  <c r="M582" i="3"/>
  <c r="L582" i="3"/>
  <c r="K582" i="3"/>
  <c r="H582" i="3"/>
  <c r="G582" i="3"/>
  <c r="F582" i="3"/>
  <c r="U581" i="3"/>
  <c r="T581" i="3"/>
  <c r="R581" i="3"/>
  <c r="Q581" i="3"/>
  <c r="P581" i="3"/>
  <c r="M581" i="3"/>
  <c r="L581" i="3"/>
  <c r="K581" i="3"/>
  <c r="H581" i="3"/>
  <c r="G581" i="3"/>
  <c r="F581" i="3"/>
  <c r="U580" i="3"/>
  <c r="T580" i="3"/>
  <c r="R580" i="3"/>
  <c r="Q580" i="3"/>
  <c r="P580" i="3"/>
  <c r="M580" i="3"/>
  <c r="L580" i="3"/>
  <c r="K580" i="3"/>
  <c r="H580" i="3"/>
  <c r="G580" i="3"/>
  <c r="F580" i="3"/>
  <c r="U579" i="3"/>
  <c r="T579" i="3"/>
  <c r="R579" i="3"/>
  <c r="Q579" i="3"/>
  <c r="P579" i="3"/>
  <c r="M579" i="3"/>
  <c r="L579" i="3"/>
  <c r="K579" i="3"/>
  <c r="H579" i="3"/>
  <c r="G579" i="3"/>
  <c r="F579" i="3"/>
  <c r="T578" i="3"/>
  <c r="U578" i="3" s="1"/>
  <c r="R578" i="3"/>
  <c r="Q578" i="3"/>
  <c r="P578" i="3"/>
  <c r="M578" i="3"/>
  <c r="L578" i="3"/>
  <c r="K578" i="3"/>
  <c r="H578" i="3"/>
  <c r="G578" i="3"/>
  <c r="F578" i="3"/>
  <c r="U577" i="3"/>
  <c r="T577" i="3"/>
  <c r="R577" i="3"/>
  <c r="Q577" i="3"/>
  <c r="P577" i="3"/>
  <c r="M577" i="3"/>
  <c r="L577" i="3"/>
  <c r="K577" i="3"/>
  <c r="H577" i="3"/>
  <c r="G577" i="3"/>
  <c r="F577" i="3"/>
  <c r="U576" i="3"/>
  <c r="T576" i="3"/>
  <c r="R576" i="3"/>
  <c r="Q576" i="3"/>
  <c r="P576" i="3"/>
  <c r="M576" i="3"/>
  <c r="L576" i="3"/>
  <c r="K576" i="3"/>
  <c r="H576" i="3"/>
  <c r="G576" i="3"/>
  <c r="F576" i="3"/>
  <c r="T575" i="3"/>
  <c r="U575" i="3" s="1"/>
  <c r="R575" i="3"/>
  <c r="Q575" i="3"/>
  <c r="P575" i="3"/>
  <c r="M575" i="3"/>
  <c r="L575" i="3"/>
  <c r="K575" i="3"/>
  <c r="H575" i="3"/>
  <c r="G575" i="3"/>
  <c r="F575" i="3"/>
  <c r="T574" i="3"/>
  <c r="U574" i="3" s="1"/>
  <c r="R574" i="3"/>
  <c r="Q574" i="3"/>
  <c r="P574" i="3"/>
  <c r="M574" i="3"/>
  <c r="L574" i="3"/>
  <c r="K574" i="3"/>
  <c r="H574" i="3"/>
  <c r="G574" i="3"/>
  <c r="F574" i="3"/>
  <c r="U573" i="3"/>
  <c r="T573" i="3"/>
  <c r="R573" i="3"/>
  <c r="Q573" i="3"/>
  <c r="P573" i="3"/>
  <c r="M573" i="3"/>
  <c r="L573" i="3"/>
  <c r="K573" i="3"/>
  <c r="H573" i="3"/>
  <c r="G573" i="3"/>
  <c r="F573" i="3"/>
  <c r="U572" i="3"/>
  <c r="T572" i="3"/>
  <c r="R572" i="3"/>
  <c r="Q572" i="3"/>
  <c r="P572" i="3"/>
  <c r="M572" i="3"/>
  <c r="L572" i="3"/>
  <c r="K572" i="3"/>
  <c r="H572" i="3"/>
  <c r="G572" i="3"/>
  <c r="F572" i="3"/>
  <c r="U571" i="3"/>
  <c r="T571" i="3"/>
  <c r="R571" i="3"/>
  <c r="Q571" i="3"/>
  <c r="P571" i="3"/>
  <c r="M571" i="3"/>
  <c r="L571" i="3"/>
  <c r="K571" i="3"/>
  <c r="H571" i="3"/>
  <c r="G571" i="3"/>
  <c r="F571" i="3"/>
  <c r="T570" i="3"/>
  <c r="U570" i="3" s="1"/>
  <c r="R570" i="3"/>
  <c r="Q570" i="3"/>
  <c r="P570" i="3"/>
  <c r="M570" i="3"/>
  <c r="L570" i="3"/>
  <c r="K570" i="3"/>
  <c r="H570" i="3"/>
  <c r="G570" i="3"/>
  <c r="F570" i="3"/>
  <c r="U569" i="3"/>
  <c r="T569" i="3"/>
  <c r="R569" i="3"/>
  <c r="Q569" i="3"/>
  <c r="P569" i="3"/>
  <c r="M569" i="3"/>
  <c r="L569" i="3"/>
  <c r="K569" i="3"/>
  <c r="H569" i="3"/>
  <c r="G569" i="3"/>
  <c r="F569" i="3"/>
  <c r="U567" i="3"/>
  <c r="D30" i="4" s="1"/>
  <c r="H39" i="1" s="1"/>
  <c r="T567" i="3"/>
  <c r="R567" i="3"/>
  <c r="Q567" i="3"/>
  <c r="P567" i="3"/>
  <c r="M567" i="3"/>
  <c r="L567" i="3"/>
  <c r="K567" i="3"/>
  <c r="H567" i="3"/>
  <c r="G567" i="3"/>
  <c r="F567" i="3"/>
  <c r="U565" i="3"/>
  <c r="T565" i="3"/>
  <c r="M565" i="3"/>
  <c r="L565" i="3"/>
  <c r="K565" i="3"/>
  <c r="H565" i="3"/>
  <c r="G565" i="3"/>
  <c r="F565" i="3"/>
  <c r="T564" i="3"/>
  <c r="U564" i="3" s="1"/>
  <c r="M564" i="3"/>
  <c r="L564" i="3"/>
  <c r="K564" i="3"/>
  <c r="H564" i="3"/>
  <c r="G564" i="3"/>
  <c r="F564" i="3"/>
  <c r="U563" i="3"/>
  <c r="T563" i="3"/>
  <c r="M563" i="3"/>
  <c r="L563" i="3"/>
  <c r="K563" i="3"/>
  <c r="H563" i="3"/>
  <c r="G563" i="3"/>
  <c r="F563" i="3"/>
  <c r="U562" i="3"/>
  <c r="T562" i="3"/>
  <c r="M562" i="3"/>
  <c r="L562" i="3"/>
  <c r="K562" i="3"/>
  <c r="H562" i="3"/>
  <c r="G562" i="3"/>
  <c r="F562" i="3"/>
  <c r="T561" i="3"/>
  <c r="U561" i="3" s="1"/>
  <c r="M561" i="3"/>
  <c r="L561" i="3"/>
  <c r="K561" i="3"/>
  <c r="H561" i="3"/>
  <c r="G561" i="3"/>
  <c r="F561" i="3"/>
  <c r="U560" i="3"/>
  <c r="T560" i="3"/>
  <c r="M560" i="3"/>
  <c r="L560" i="3"/>
  <c r="K560" i="3"/>
  <c r="H560" i="3"/>
  <c r="G560" i="3"/>
  <c r="F560" i="3"/>
  <c r="U559" i="3"/>
  <c r="T559" i="3"/>
  <c r="M559" i="3"/>
  <c r="L559" i="3"/>
  <c r="K559" i="3"/>
  <c r="H559" i="3"/>
  <c r="G559" i="3"/>
  <c r="F559" i="3"/>
  <c r="T558" i="3"/>
  <c r="U558" i="3" s="1"/>
  <c r="M558" i="3"/>
  <c r="L558" i="3"/>
  <c r="K558" i="3"/>
  <c r="H558" i="3"/>
  <c r="G558" i="3"/>
  <c r="F558" i="3"/>
  <c r="U556" i="3"/>
  <c r="D28" i="4" s="1"/>
  <c r="T556" i="3"/>
  <c r="R556" i="3"/>
  <c r="Q556" i="3"/>
  <c r="P556" i="3"/>
  <c r="M556" i="3"/>
  <c r="L556" i="3"/>
  <c r="K556" i="3"/>
  <c r="H556" i="3"/>
  <c r="G556" i="3"/>
  <c r="F556" i="3"/>
  <c r="T554" i="3"/>
  <c r="U554" i="3" s="1"/>
  <c r="M554" i="3"/>
  <c r="L554" i="3"/>
  <c r="K554" i="3"/>
  <c r="H554" i="3"/>
  <c r="G554" i="3"/>
  <c r="F554" i="3"/>
  <c r="T553" i="3"/>
  <c r="U553" i="3" s="1"/>
  <c r="M553" i="3"/>
  <c r="L553" i="3"/>
  <c r="K553" i="3"/>
  <c r="H553" i="3"/>
  <c r="G553" i="3"/>
  <c r="F553" i="3"/>
  <c r="T551" i="3"/>
  <c r="U551" i="3" s="1"/>
  <c r="R551" i="3"/>
  <c r="Q551" i="3"/>
  <c r="P551" i="3"/>
  <c r="M551" i="3"/>
  <c r="L551" i="3"/>
  <c r="K551" i="3"/>
  <c r="H551" i="3"/>
  <c r="G551" i="3"/>
  <c r="F551" i="3"/>
  <c r="U550" i="3"/>
  <c r="T550" i="3"/>
  <c r="R550" i="3"/>
  <c r="Q550" i="3"/>
  <c r="P550" i="3"/>
  <c r="M550" i="3"/>
  <c r="L550" i="3"/>
  <c r="K550" i="3"/>
  <c r="H550" i="3"/>
  <c r="G550" i="3"/>
  <c r="F550" i="3"/>
  <c r="U549" i="3"/>
  <c r="T549" i="3"/>
  <c r="R549" i="3"/>
  <c r="Q549" i="3"/>
  <c r="P549" i="3"/>
  <c r="M549" i="3"/>
  <c r="L549" i="3"/>
  <c r="K549" i="3"/>
  <c r="H549" i="3"/>
  <c r="G549" i="3"/>
  <c r="F549" i="3"/>
  <c r="U548" i="3"/>
  <c r="T548" i="3"/>
  <c r="R548" i="3"/>
  <c r="Q548" i="3"/>
  <c r="P548" i="3"/>
  <c r="M548" i="3"/>
  <c r="L548" i="3"/>
  <c r="K548" i="3"/>
  <c r="H548" i="3"/>
  <c r="G548" i="3"/>
  <c r="F548" i="3"/>
  <c r="T547" i="3"/>
  <c r="U547" i="3" s="1"/>
  <c r="R547" i="3"/>
  <c r="Q547" i="3"/>
  <c r="P547" i="3"/>
  <c r="M547" i="3"/>
  <c r="L547" i="3"/>
  <c r="K547" i="3"/>
  <c r="H547" i="3"/>
  <c r="G547" i="3"/>
  <c r="F547" i="3"/>
  <c r="U546" i="3"/>
  <c r="T546" i="3"/>
  <c r="R546" i="3"/>
  <c r="Q546" i="3"/>
  <c r="P546" i="3"/>
  <c r="M546" i="3"/>
  <c r="L546" i="3"/>
  <c r="K546" i="3"/>
  <c r="H546" i="3"/>
  <c r="G546" i="3"/>
  <c r="F546" i="3"/>
  <c r="U545" i="3"/>
  <c r="T545" i="3"/>
  <c r="R545" i="3"/>
  <c r="Q545" i="3"/>
  <c r="P545" i="3"/>
  <c r="M545" i="3"/>
  <c r="L545" i="3"/>
  <c r="K545" i="3"/>
  <c r="H545" i="3"/>
  <c r="G545" i="3"/>
  <c r="F545" i="3"/>
  <c r="U544" i="3"/>
  <c r="T544" i="3"/>
  <c r="R544" i="3"/>
  <c r="Q544" i="3"/>
  <c r="P544" i="3"/>
  <c r="M544" i="3"/>
  <c r="L544" i="3"/>
  <c r="K544" i="3"/>
  <c r="H544" i="3"/>
  <c r="G544" i="3"/>
  <c r="F544" i="3"/>
  <c r="T543" i="3"/>
  <c r="U543" i="3" s="1"/>
  <c r="R543" i="3"/>
  <c r="Q543" i="3"/>
  <c r="P543" i="3"/>
  <c r="M543" i="3"/>
  <c r="L543" i="3"/>
  <c r="K543" i="3"/>
  <c r="H543" i="3"/>
  <c r="G543" i="3"/>
  <c r="F543" i="3"/>
  <c r="U542" i="3"/>
  <c r="T542" i="3"/>
  <c r="R542" i="3"/>
  <c r="Q542" i="3"/>
  <c r="P542" i="3"/>
  <c r="M542" i="3"/>
  <c r="L542" i="3"/>
  <c r="K542" i="3"/>
  <c r="H542" i="3"/>
  <c r="G542" i="3"/>
  <c r="F542" i="3"/>
  <c r="U541" i="3"/>
  <c r="T541" i="3"/>
  <c r="R541" i="3"/>
  <c r="Q541" i="3"/>
  <c r="P541" i="3"/>
  <c r="M541" i="3"/>
  <c r="L541" i="3"/>
  <c r="K541" i="3"/>
  <c r="H541" i="3"/>
  <c r="G541" i="3"/>
  <c r="F541" i="3"/>
  <c r="T540" i="3"/>
  <c r="U540" i="3" s="1"/>
  <c r="R540" i="3"/>
  <c r="Q540" i="3"/>
  <c r="P540" i="3"/>
  <c r="M540" i="3"/>
  <c r="L540" i="3"/>
  <c r="K540" i="3"/>
  <c r="H540" i="3"/>
  <c r="G540" i="3"/>
  <c r="F540" i="3"/>
  <c r="T539" i="3"/>
  <c r="U539" i="3" s="1"/>
  <c r="R539" i="3"/>
  <c r="Q539" i="3"/>
  <c r="P539" i="3"/>
  <c r="M539" i="3"/>
  <c r="L539" i="3"/>
  <c r="K539" i="3"/>
  <c r="H539" i="3"/>
  <c r="G539" i="3"/>
  <c r="F539" i="3"/>
  <c r="U537" i="3"/>
  <c r="T537" i="3"/>
  <c r="M537" i="3"/>
  <c r="L537" i="3"/>
  <c r="K537" i="3"/>
  <c r="H537" i="3"/>
  <c r="G537" i="3"/>
  <c r="F537" i="3"/>
  <c r="U536" i="3"/>
  <c r="C25" i="4" s="1"/>
  <c r="T536" i="3"/>
  <c r="M536" i="3"/>
  <c r="L536" i="3"/>
  <c r="K536" i="3"/>
  <c r="H536" i="3"/>
  <c r="G536" i="3"/>
  <c r="F536" i="3"/>
  <c r="U534" i="3"/>
  <c r="T534" i="3"/>
  <c r="R534" i="3"/>
  <c r="Q534" i="3"/>
  <c r="P534" i="3"/>
  <c r="M534" i="3"/>
  <c r="L534" i="3"/>
  <c r="K534" i="3"/>
  <c r="H534" i="3"/>
  <c r="G534" i="3"/>
  <c r="F534" i="3"/>
  <c r="U533" i="3"/>
  <c r="T533" i="3"/>
  <c r="R533" i="3"/>
  <c r="Q533" i="3"/>
  <c r="P533" i="3"/>
  <c r="M533" i="3"/>
  <c r="L533" i="3"/>
  <c r="K533" i="3"/>
  <c r="H533" i="3"/>
  <c r="G533" i="3"/>
  <c r="F533" i="3"/>
  <c r="T532" i="3"/>
  <c r="U532" i="3" s="1"/>
  <c r="R532" i="3"/>
  <c r="Q532" i="3"/>
  <c r="P532" i="3"/>
  <c r="M532" i="3"/>
  <c r="L532" i="3"/>
  <c r="K532" i="3"/>
  <c r="H532" i="3"/>
  <c r="G532" i="3"/>
  <c r="F532" i="3"/>
  <c r="T531" i="3"/>
  <c r="U531" i="3" s="1"/>
  <c r="R531" i="3"/>
  <c r="Q531" i="3"/>
  <c r="P531" i="3"/>
  <c r="M531" i="3"/>
  <c r="L531" i="3"/>
  <c r="K531" i="3"/>
  <c r="H531" i="3"/>
  <c r="G531" i="3"/>
  <c r="F531" i="3"/>
  <c r="U530" i="3"/>
  <c r="T530" i="3"/>
  <c r="R530" i="3"/>
  <c r="Q530" i="3"/>
  <c r="P530" i="3"/>
  <c r="M530" i="3"/>
  <c r="L530" i="3"/>
  <c r="K530" i="3"/>
  <c r="H530" i="3"/>
  <c r="G530" i="3"/>
  <c r="F530" i="3"/>
  <c r="U529" i="3"/>
  <c r="T529" i="3"/>
  <c r="R529" i="3"/>
  <c r="Q529" i="3"/>
  <c r="P529" i="3"/>
  <c r="M529" i="3"/>
  <c r="L529" i="3"/>
  <c r="K529" i="3"/>
  <c r="H529" i="3"/>
  <c r="G529" i="3"/>
  <c r="F529" i="3"/>
  <c r="U528" i="3"/>
  <c r="T528" i="3"/>
  <c r="R528" i="3"/>
  <c r="Q528" i="3"/>
  <c r="P528" i="3"/>
  <c r="M528" i="3"/>
  <c r="L528" i="3"/>
  <c r="K528" i="3"/>
  <c r="H528" i="3"/>
  <c r="G528" i="3"/>
  <c r="F528" i="3"/>
  <c r="T527" i="3"/>
  <c r="U527" i="3" s="1"/>
  <c r="R527" i="3"/>
  <c r="Q527" i="3"/>
  <c r="P527" i="3"/>
  <c r="M527" i="3"/>
  <c r="L527" i="3"/>
  <c r="K527" i="3"/>
  <c r="H527" i="3"/>
  <c r="G527" i="3"/>
  <c r="F527" i="3"/>
  <c r="U526" i="3"/>
  <c r="T526" i="3"/>
  <c r="R526" i="3"/>
  <c r="Q526" i="3"/>
  <c r="P526" i="3"/>
  <c r="M526" i="3"/>
  <c r="L526" i="3"/>
  <c r="K526" i="3"/>
  <c r="H526" i="3"/>
  <c r="G526" i="3"/>
  <c r="F526" i="3"/>
  <c r="U525" i="3"/>
  <c r="T525" i="3"/>
  <c r="R525" i="3"/>
  <c r="Q525" i="3"/>
  <c r="P525" i="3"/>
  <c r="M525" i="3"/>
  <c r="L525" i="3"/>
  <c r="K525" i="3"/>
  <c r="H525" i="3"/>
  <c r="G525" i="3"/>
  <c r="F525" i="3"/>
  <c r="U524" i="3"/>
  <c r="T524" i="3"/>
  <c r="R524" i="3"/>
  <c r="Q524" i="3"/>
  <c r="P524" i="3"/>
  <c r="M524" i="3"/>
  <c r="L524" i="3"/>
  <c r="K524" i="3"/>
  <c r="H524" i="3"/>
  <c r="G524" i="3"/>
  <c r="F524" i="3"/>
  <c r="T523" i="3"/>
  <c r="U523" i="3" s="1"/>
  <c r="R523" i="3"/>
  <c r="Q523" i="3"/>
  <c r="P523" i="3"/>
  <c r="M523" i="3"/>
  <c r="L523" i="3"/>
  <c r="K523" i="3"/>
  <c r="H523" i="3"/>
  <c r="G523" i="3"/>
  <c r="F523" i="3"/>
  <c r="U522" i="3"/>
  <c r="T522" i="3"/>
  <c r="R522" i="3"/>
  <c r="Q522" i="3"/>
  <c r="P522" i="3"/>
  <c r="M522" i="3"/>
  <c r="L522" i="3"/>
  <c r="K522" i="3"/>
  <c r="H522" i="3"/>
  <c r="G522" i="3"/>
  <c r="F522" i="3"/>
  <c r="U521" i="3"/>
  <c r="T521" i="3"/>
  <c r="R521" i="3"/>
  <c r="Q521" i="3"/>
  <c r="P521" i="3"/>
  <c r="M521" i="3"/>
  <c r="L521" i="3"/>
  <c r="K521" i="3"/>
  <c r="H521" i="3"/>
  <c r="G521" i="3"/>
  <c r="F521" i="3"/>
  <c r="T520" i="3"/>
  <c r="U520" i="3" s="1"/>
  <c r="R520" i="3"/>
  <c r="Q520" i="3"/>
  <c r="P520" i="3"/>
  <c r="M520" i="3"/>
  <c r="L520" i="3"/>
  <c r="K520" i="3"/>
  <c r="H520" i="3"/>
  <c r="G520" i="3"/>
  <c r="F520" i="3"/>
  <c r="T519" i="3"/>
  <c r="U519" i="3" s="1"/>
  <c r="R519" i="3"/>
  <c r="Q519" i="3"/>
  <c r="P519" i="3"/>
  <c r="M519" i="3"/>
  <c r="L519" i="3"/>
  <c r="K519" i="3"/>
  <c r="H519" i="3"/>
  <c r="G519" i="3"/>
  <c r="F519" i="3"/>
  <c r="U518" i="3"/>
  <c r="T518" i="3"/>
  <c r="R518" i="3"/>
  <c r="Q518" i="3"/>
  <c r="P518" i="3"/>
  <c r="M518" i="3"/>
  <c r="L518" i="3"/>
  <c r="K518" i="3"/>
  <c r="H518" i="3"/>
  <c r="G518" i="3"/>
  <c r="F518" i="3"/>
  <c r="U517" i="3"/>
  <c r="T517" i="3"/>
  <c r="R517" i="3"/>
  <c r="Q517" i="3"/>
  <c r="P517" i="3"/>
  <c r="M517" i="3"/>
  <c r="L517" i="3"/>
  <c r="K517" i="3"/>
  <c r="H517" i="3"/>
  <c r="G517" i="3"/>
  <c r="F517" i="3"/>
  <c r="U516" i="3"/>
  <c r="T516" i="3"/>
  <c r="R516" i="3"/>
  <c r="Q516" i="3"/>
  <c r="P516" i="3"/>
  <c r="M516" i="3"/>
  <c r="L516" i="3"/>
  <c r="K516" i="3"/>
  <c r="H516" i="3"/>
  <c r="G516" i="3"/>
  <c r="F516" i="3"/>
  <c r="T515" i="3"/>
  <c r="U515" i="3" s="1"/>
  <c r="R515" i="3"/>
  <c r="Q515" i="3"/>
  <c r="P515" i="3"/>
  <c r="M515" i="3"/>
  <c r="L515" i="3"/>
  <c r="K515" i="3"/>
  <c r="H515" i="3"/>
  <c r="G515" i="3"/>
  <c r="F515" i="3"/>
  <c r="U514" i="3"/>
  <c r="T514" i="3"/>
  <c r="R514" i="3"/>
  <c r="Q514" i="3"/>
  <c r="P514" i="3"/>
  <c r="M514" i="3"/>
  <c r="L514" i="3"/>
  <c r="K514" i="3"/>
  <c r="H514" i="3"/>
  <c r="G514" i="3"/>
  <c r="F514" i="3"/>
  <c r="U513" i="3"/>
  <c r="T513" i="3"/>
  <c r="R513" i="3"/>
  <c r="Q513" i="3"/>
  <c r="P513" i="3"/>
  <c r="M513" i="3"/>
  <c r="L513" i="3"/>
  <c r="K513" i="3"/>
  <c r="H513" i="3"/>
  <c r="G513" i="3"/>
  <c r="F513" i="3"/>
  <c r="U512" i="3"/>
  <c r="T512" i="3"/>
  <c r="R512" i="3"/>
  <c r="Q512" i="3"/>
  <c r="P512" i="3"/>
  <c r="M512" i="3"/>
  <c r="L512" i="3"/>
  <c r="K512" i="3"/>
  <c r="H512" i="3"/>
  <c r="G512" i="3"/>
  <c r="F512" i="3"/>
  <c r="T511" i="3"/>
  <c r="U511" i="3" s="1"/>
  <c r="R511" i="3"/>
  <c r="Q511" i="3"/>
  <c r="P511" i="3"/>
  <c r="M511" i="3"/>
  <c r="L511" i="3"/>
  <c r="K511" i="3"/>
  <c r="H511" i="3"/>
  <c r="G511" i="3"/>
  <c r="F511" i="3"/>
  <c r="U510" i="3"/>
  <c r="T510" i="3"/>
  <c r="R510" i="3"/>
  <c r="Q510" i="3"/>
  <c r="P510" i="3"/>
  <c r="M510" i="3"/>
  <c r="L510" i="3"/>
  <c r="K510" i="3"/>
  <c r="H510" i="3"/>
  <c r="G510" i="3"/>
  <c r="F510" i="3"/>
  <c r="U509" i="3"/>
  <c r="T509" i="3"/>
  <c r="R509" i="3"/>
  <c r="Q509" i="3"/>
  <c r="P509" i="3"/>
  <c r="M509" i="3"/>
  <c r="L509" i="3"/>
  <c r="K509" i="3"/>
  <c r="H509" i="3"/>
  <c r="G509" i="3"/>
  <c r="F509" i="3"/>
  <c r="T508" i="3"/>
  <c r="U508" i="3" s="1"/>
  <c r="R508" i="3"/>
  <c r="Q508" i="3"/>
  <c r="P508" i="3"/>
  <c r="M508" i="3"/>
  <c r="L508" i="3"/>
  <c r="K508" i="3"/>
  <c r="H508" i="3"/>
  <c r="G508" i="3"/>
  <c r="F508" i="3"/>
  <c r="T507" i="3"/>
  <c r="U507" i="3" s="1"/>
  <c r="R507" i="3"/>
  <c r="Q507" i="3"/>
  <c r="P507" i="3"/>
  <c r="M507" i="3"/>
  <c r="L507" i="3"/>
  <c r="K507" i="3"/>
  <c r="H507" i="3"/>
  <c r="G507" i="3"/>
  <c r="F507" i="3"/>
  <c r="U506" i="3"/>
  <c r="T506" i="3"/>
  <c r="R506" i="3"/>
  <c r="Q506" i="3"/>
  <c r="P506" i="3"/>
  <c r="M506" i="3"/>
  <c r="L506" i="3"/>
  <c r="K506" i="3"/>
  <c r="H506" i="3"/>
  <c r="G506" i="3"/>
  <c r="F506" i="3"/>
  <c r="U505" i="3"/>
  <c r="T505" i="3"/>
  <c r="R505" i="3"/>
  <c r="Q505" i="3"/>
  <c r="P505" i="3"/>
  <c r="M505" i="3"/>
  <c r="L505" i="3"/>
  <c r="K505" i="3"/>
  <c r="H505" i="3"/>
  <c r="G505" i="3"/>
  <c r="F505" i="3"/>
  <c r="U504" i="3"/>
  <c r="T504" i="3"/>
  <c r="R504" i="3"/>
  <c r="Q504" i="3"/>
  <c r="P504" i="3"/>
  <c r="M504" i="3"/>
  <c r="L504" i="3"/>
  <c r="K504" i="3"/>
  <c r="H504" i="3"/>
  <c r="G504" i="3"/>
  <c r="F504" i="3"/>
  <c r="T503" i="3"/>
  <c r="U503" i="3" s="1"/>
  <c r="R503" i="3"/>
  <c r="Q503" i="3"/>
  <c r="P503" i="3"/>
  <c r="M503" i="3"/>
  <c r="L503" i="3"/>
  <c r="K503" i="3"/>
  <c r="H503" i="3"/>
  <c r="G503" i="3"/>
  <c r="F503" i="3"/>
  <c r="U502" i="3"/>
  <c r="T502" i="3"/>
  <c r="R502" i="3"/>
  <c r="Q502" i="3"/>
  <c r="P502" i="3"/>
  <c r="M502" i="3"/>
  <c r="L502" i="3"/>
  <c r="K502" i="3"/>
  <c r="H502" i="3"/>
  <c r="G502" i="3"/>
  <c r="F502" i="3"/>
  <c r="U501" i="3"/>
  <c r="T501" i="3"/>
  <c r="R501" i="3"/>
  <c r="Q501" i="3"/>
  <c r="P501" i="3"/>
  <c r="M501" i="3"/>
  <c r="L501" i="3"/>
  <c r="K501" i="3"/>
  <c r="H501" i="3"/>
  <c r="G501" i="3"/>
  <c r="F501" i="3"/>
  <c r="U500" i="3"/>
  <c r="D24" i="4" s="1"/>
  <c r="H33" i="1" s="1"/>
  <c r="T500" i="3"/>
  <c r="R500" i="3"/>
  <c r="Q500" i="3"/>
  <c r="P500" i="3"/>
  <c r="M500" i="3"/>
  <c r="L500" i="3"/>
  <c r="K500" i="3"/>
  <c r="H500" i="3"/>
  <c r="G500" i="3"/>
  <c r="F500" i="3"/>
  <c r="T498" i="3"/>
  <c r="U498" i="3" s="1"/>
  <c r="R498" i="3"/>
  <c r="Q498" i="3"/>
  <c r="P498" i="3"/>
  <c r="M498" i="3"/>
  <c r="L498" i="3"/>
  <c r="K498" i="3"/>
  <c r="H498" i="3"/>
  <c r="G498" i="3"/>
  <c r="F498" i="3"/>
  <c r="U497" i="3"/>
  <c r="T497" i="3"/>
  <c r="R497" i="3"/>
  <c r="Q497" i="3"/>
  <c r="P497" i="3"/>
  <c r="M497" i="3"/>
  <c r="L497" i="3"/>
  <c r="K497" i="3"/>
  <c r="H497" i="3"/>
  <c r="G497" i="3"/>
  <c r="F497" i="3"/>
  <c r="U495" i="3"/>
  <c r="T495" i="3"/>
  <c r="R495" i="3"/>
  <c r="Q495" i="3"/>
  <c r="P495" i="3"/>
  <c r="M495" i="3"/>
  <c r="L495" i="3"/>
  <c r="K495" i="3"/>
  <c r="H495" i="3"/>
  <c r="G495" i="3"/>
  <c r="F495" i="3"/>
  <c r="T494" i="3"/>
  <c r="U494" i="3" s="1"/>
  <c r="R494" i="3"/>
  <c r="Q494" i="3"/>
  <c r="P494" i="3"/>
  <c r="M494" i="3"/>
  <c r="L494" i="3"/>
  <c r="K494" i="3"/>
  <c r="H494" i="3"/>
  <c r="G494" i="3"/>
  <c r="F494" i="3"/>
  <c r="T492" i="3"/>
  <c r="U492" i="3" s="1"/>
  <c r="M492" i="3"/>
  <c r="L492" i="3"/>
  <c r="K492" i="3"/>
  <c r="H492" i="3"/>
  <c r="G492" i="3"/>
  <c r="F492" i="3"/>
  <c r="T491" i="3"/>
  <c r="U491" i="3" s="1"/>
  <c r="M491" i="3"/>
  <c r="L491" i="3"/>
  <c r="K491" i="3"/>
  <c r="H491" i="3"/>
  <c r="G491" i="3"/>
  <c r="F491" i="3"/>
  <c r="T489" i="3"/>
  <c r="U489" i="3" s="1"/>
  <c r="M489" i="3"/>
  <c r="L489" i="3"/>
  <c r="K489" i="3"/>
  <c r="H489" i="3"/>
  <c r="G489" i="3"/>
  <c r="F489" i="3"/>
  <c r="T488" i="3"/>
  <c r="U488" i="3" s="1"/>
  <c r="M488" i="3"/>
  <c r="L488" i="3"/>
  <c r="K488" i="3"/>
  <c r="H488" i="3"/>
  <c r="G488" i="3"/>
  <c r="F488" i="3"/>
  <c r="T487" i="3"/>
  <c r="U487" i="3" s="1"/>
  <c r="M487" i="3"/>
  <c r="L487" i="3"/>
  <c r="K487" i="3"/>
  <c r="H487" i="3"/>
  <c r="G487" i="3"/>
  <c r="F487" i="3"/>
  <c r="T485" i="3"/>
  <c r="U485" i="3" s="1"/>
  <c r="R485" i="3"/>
  <c r="Q485" i="3"/>
  <c r="P485" i="3"/>
  <c r="M485" i="3"/>
  <c r="L485" i="3"/>
  <c r="K485" i="3"/>
  <c r="H485" i="3"/>
  <c r="G485" i="3"/>
  <c r="F485" i="3"/>
  <c r="U484" i="3"/>
  <c r="T484" i="3"/>
  <c r="R484" i="3"/>
  <c r="Q484" i="3"/>
  <c r="P484" i="3"/>
  <c r="M484" i="3"/>
  <c r="L484" i="3"/>
  <c r="K484" i="3"/>
  <c r="H484" i="3"/>
  <c r="G484" i="3"/>
  <c r="F484" i="3"/>
  <c r="U483" i="3"/>
  <c r="T483" i="3"/>
  <c r="R483" i="3"/>
  <c r="Q483" i="3"/>
  <c r="P483" i="3"/>
  <c r="M483" i="3"/>
  <c r="L483" i="3"/>
  <c r="K483" i="3"/>
  <c r="H483" i="3"/>
  <c r="G483" i="3"/>
  <c r="F483" i="3"/>
  <c r="T482" i="3"/>
  <c r="U482" i="3" s="1"/>
  <c r="R482" i="3"/>
  <c r="Q482" i="3"/>
  <c r="P482" i="3"/>
  <c r="M482" i="3"/>
  <c r="L482" i="3"/>
  <c r="K482" i="3"/>
  <c r="H482" i="3"/>
  <c r="G482" i="3"/>
  <c r="F482" i="3"/>
  <c r="T481" i="3"/>
  <c r="U481" i="3" s="1"/>
  <c r="R481" i="3"/>
  <c r="Q481" i="3"/>
  <c r="P481" i="3"/>
  <c r="M481" i="3"/>
  <c r="L481" i="3"/>
  <c r="K481" i="3"/>
  <c r="H481" i="3"/>
  <c r="G481" i="3"/>
  <c r="F481" i="3"/>
  <c r="U480" i="3"/>
  <c r="T480" i="3"/>
  <c r="R480" i="3"/>
  <c r="Q480" i="3"/>
  <c r="P480" i="3"/>
  <c r="M480" i="3"/>
  <c r="L480" i="3"/>
  <c r="K480" i="3"/>
  <c r="H480" i="3"/>
  <c r="G480" i="3"/>
  <c r="F480" i="3"/>
  <c r="U479" i="3"/>
  <c r="T479" i="3"/>
  <c r="R479" i="3"/>
  <c r="Q479" i="3"/>
  <c r="P479" i="3"/>
  <c r="M479" i="3"/>
  <c r="L479" i="3"/>
  <c r="K479" i="3"/>
  <c r="H479" i="3"/>
  <c r="G479" i="3"/>
  <c r="F479" i="3"/>
  <c r="U478" i="3"/>
  <c r="T478" i="3"/>
  <c r="R478" i="3"/>
  <c r="Q478" i="3"/>
  <c r="P478" i="3"/>
  <c r="M478" i="3"/>
  <c r="L478" i="3"/>
  <c r="K478" i="3"/>
  <c r="H478" i="3"/>
  <c r="G478" i="3"/>
  <c r="F478" i="3"/>
  <c r="T477" i="3"/>
  <c r="U477" i="3" s="1"/>
  <c r="R477" i="3"/>
  <c r="Q477" i="3"/>
  <c r="P477" i="3"/>
  <c r="M477" i="3"/>
  <c r="L477" i="3"/>
  <c r="K477" i="3"/>
  <c r="H477" i="3"/>
  <c r="G477" i="3"/>
  <c r="F477" i="3"/>
  <c r="U476" i="3"/>
  <c r="T476" i="3"/>
  <c r="R476" i="3"/>
  <c r="Q476" i="3"/>
  <c r="P476" i="3"/>
  <c r="M476" i="3"/>
  <c r="L476" i="3"/>
  <c r="K476" i="3"/>
  <c r="H476" i="3"/>
  <c r="G476" i="3"/>
  <c r="F476" i="3"/>
  <c r="U475" i="3"/>
  <c r="T475" i="3"/>
  <c r="R475" i="3"/>
  <c r="Q475" i="3"/>
  <c r="P475" i="3"/>
  <c r="M475" i="3"/>
  <c r="L475" i="3"/>
  <c r="K475" i="3"/>
  <c r="H475" i="3"/>
  <c r="G475" i="3"/>
  <c r="F475" i="3"/>
  <c r="U474" i="3"/>
  <c r="T474" i="3"/>
  <c r="R474" i="3"/>
  <c r="Q474" i="3"/>
  <c r="P474" i="3"/>
  <c r="M474" i="3"/>
  <c r="L474" i="3"/>
  <c r="K474" i="3"/>
  <c r="H474" i="3"/>
  <c r="G474" i="3"/>
  <c r="F474" i="3"/>
  <c r="T473" i="3"/>
  <c r="U473" i="3" s="1"/>
  <c r="R473" i="3"/>
  <c r="Q473" i="3"/>
  <c r="P473" i="3"/>
  <c r="M473" i="3"/>
  <c r="L473" i="3"/>
  <c r="K473" i="3"/>
  <c r="H473" i="3"/>
  <c r="G473" i="3"/>
  <c r="F473" i="3"/>
  <c r="U472" i="3"/>
  <c r="T472" i="3"/>
  <c r="R472" i="3"/>
  <c r="Q472" i="3"/>
  <c r="P472" i="3"/>
  <c r="M472" i="3"/>
  <c r="L472" i="3"/>
  <c r="K472" i="3"/>
  <c r="H472" i="3"/>
  <c r="G472" i="3"/>
  <c r="F472" i="3"/>
  <c r="U471" i="3"/>
  <c r="T471" i="3"/>
  <c r="R471" i="3"/>
  <c r="Q471" i="3"/>
  <c r="P471" i="3"/>
  <c r="M471" i="3"/>
  <c r="L471" i="3"/>
  <c r="K471" i="3"/>
  <c r="H471" i="3"/>
  <c r="G471" i="3"/>
  <c r="F471" i="3"/>
  <c r="T470" i="3"/>
  <c r="U470" i="3" s="1"/>
  <c r="R470" i="3"/>
  <c r="Q470" i="3"/>
  <c r="P470" i="3"/>
  <c r="M470" i="3"/>
  <c r="L470" i="3"/>
  <c r="K470" i="3"/>
  <c r="H470" i="3"/>
  <c r="G470" i="3"/>
  <c r="F470" i="3"/>
  <c r="T469" i="3"/>
  <c r="U469" i="3" s="1"/>
  <c r="R469" i="3"/>
  <c r="Q469" i="3"/>
  <c r="P469" i="3"/>
  <c r="M469" i="3"/>
  <c r="L469" i="3"/>
  <c r="K469" i="3"/>
  <c r="H469" i="3"/>
  <c r="G469" i="3"/>
  <c r="F469" i="3"/>
  <c r="U468" i="3"/>
  <c r="T468" i="3"/>
  <c r="R468" i="3"/>
  <c r="Q468" i="3"/>
  <c r="P468" i="3"/>
  <c r="M468" i="3"/>
  <c r="L468" i="3"/>
  <c r="K468" i="3"/>
  <c r="H468" i="3"/>
  <c r="G468" i="3"/>
  <c r="F468" i="3"/>
  <c r="U467" i="3"/>
  <c r="T467" i="3"/>
  <c r="R467" i="3"/>
  <c r="Q467" i="3"/>
  <c r="P467" i="3"/>
  <c r="M467" i="3"/>
  <c r="L467" i="3"/>
  <c r="K467" i="3"/>
  <c r="H467" i="3"/>
  <c r="G467" i="3"/>
  <c r="F467" i="3"/>
  <c r="U466" i="3"/>
  <c r="T466" i="3"/>
  <c r="R466" i="3"/>
  <c r="Q466" i="3"/>
  <c r="P466" i="3"/>
  <c r="M466" i="3"/>
  <c r="L466" i="3"/>
  <c r="K466" i="3"/>
  <c r="H466" i="3"/>
  <c r="G466" i="3"/>
  <c r="F466" i="3"/>
  <c r="T465" i="3"/>
  <c r="U465" i="3" s="1"/>
  <c r="R465" i="3"/>
  <c r="Q465" i="3"/>
  <c r="P465" i="3"/>
  <c r="M465" i="3"/>
  <c r="L465" i="3"/>
  <c r="K465" i="3"/>
  <c r="H465" i="3"/>
  <c r="G465" i="3"/>
  <c r="F465" i="3"/>
  <c r="U464" i="3"/>
  <c r="T464" i="3"/>
  <c r="R464" i="3"/>
  <c r="Q464" i="3"/>
  <c r="P464" i="3"/>
  <c r="M464" i="3"/>
  <c r="L464" i="3"/>
  <c r="K464" i="3"/>
  <c r="H464" i="3"/>
  <c r="G464" i="3"/>
  <c r="F464" i="3"/>
  <c r="U463" i="3"/>
  <c r="T463" i="3"/>
  <c r="R463" i="3"/>
  <c r="Q463" i="3"/>
  <c r="P463" i="3"/>
  <c r="M463" i="3"/>
  <c r="L463" i="3"/>
  <c r="K463" i="3"/>
  <c r="H463" i="3"/>
  <c r="G463" i="3"/>
  <c r="F463" i="3"/>
  <c r="U462" i="3"/>
  <c r="T462" i="3"/>
  <c r="R462" i="3"/>
  <c r="Q462" i="3"/>
  <c r="P462" i="3"/>
  <c r="M462" i="3"/>
  <c r="L462" i="3"/>
  <c r="K462" i="3"/>
  <c r="H462" i="3"/>
  <c r="G462" i="3"/>
  <c r="F462" i="3"/>
  <c r="T461" i="3"/>
  <c r="U461" i="3" s="1"/>
  <c r="R461" i="3"/>
  <c r="Q461" i="3"/>
  <c r="P461" i="3"/>
  <c r="M461" i="3"/>
  <c r="L461" i="3"/>
  <c r="K461" i="3"/>
  <c r="H461" i="3"/>
  <c r="G461" i="3"/>
  <c r="F461" i="3"/>
  <c r="U460" i="3"/>
  <c r="T460" i="3"/>
  <c r="R460" i="3"/>
  <c r="Q460" i="3"/>
  <c r="P460" i="3"/>
  <c r="M460" i="3"/>
  <c r="L460" i="3"/>
  <c r="K460" i="3"/>
  <c r="H460" i="3"/>
  <c r="G460" i="3"/>
  <c r="F460" i="3"/>
  <c r="U459" i="3"/>
  <c r="T459" i="3"/>
  <c r="R459" i="3"/>
  <c r="Q459" i="3"/>
  <c r="P459" i="3"/>
  <c r="M459" i="3"/>
  <c r="L459" i="3"/>
  <c r="K459" i="3"/>
  <c r="H459" i="3"/>
  <c r="G459" i="3"/>
  <c r="F459" i="3"/>
  <c r="T458" i="3"/>
  <c r="U458" i="3" s="1"/>
  <c r="R458" i="3"/>
  <c r="Q458" i="3"/>
  <c r="P458" i="3"/>
  <c r="M458" i="3"/>
  <c r="L458" i="3"/>
  <c r="K458" i="3"/>
  <c r="H458" i="3"/>
  <c r="G458" i="3"/>
  <c r="F458" i="3"/>
  <c r="T457" i="3"/>
  <c r="U457" i="3" s="1"/>
  <c r="R457" i="3"/>
  <c r="Q457" i="3"/>
  <c r="P457" i="3"/>
  <c r="M457" i="3"/>
  <c r="L457" i="3"/>
  <c r="K457" i="3"/>
  <c r="H457" i="3"/>
  <c r="G457" i="3"/>
  <c r="F457" i="3"/>
  <c r="U456" i="3"/>
  <c r="T456" i="3"/>
  <c r="R456" i="3"/>
  <c r="Q456" i="3"/>
  <c r="P456" i="3"/>
  <c r="M456" i="3"/>
  <c r="L456" i="3"/>
  <c r="K456" i="3"/>
  <c r="H456" i="3"/>
  <c r="G456" i="3"/>
  <c r="F456" i="3"/>
  <c r="U455" i="3"/>
  <c r="T455" i="3"/>
  <c r="R455" i="3"/>
  <c r="Q455" i="3"/>
  <c r="P455" i="3"/>
  <c r="M455" i="3"/>
  <c r="L455" i="3"/>
  <c r="K455" i="3"/>
  <c r="H455" i="3"/>
  <c r="G455" i="3"/>
  <c r="F455" i="3"/>
  <c r="U454" i="3"/>
  <c r="T454" i="3"/>
  <c r="R454" i="3"/>
  <c r="Q454" i="3"/>
  <c r="P454" i="3"/>
  <c r="M454" i="3"/>
  <c r="L454" i="3"/>
  <c r="K454" i="3"/>
  <c r="H454" i="3"/>
  <c r="G454" i="3"/>
  <c r="F454" i="3"/>
  <c r="T453" i="3"/>
  <c r="U453" i="3" s="1"/>
  <c r="R453" i="3"/>
  <c r="Q453" i="3"/>
  <c r="P453" i="3"/>
  <c r="M453" i="3"/>
  <c r="L453" i="3"/>
  <c r="K453" i="3"/>
  <c r="H453" i="3"/>
  <c r="G453" i="3"/>
  <c r="F453" i="3"/>
  <c r="U452" i="3"/>
  <c r="T452" i="3"/>
  <c r="R452" i="3"/>
  <c r="Q452" i="3"/>
  <c r="P452" i="3"/>
  <c r="M452" i="3"/>
  <c r="L452" i="3"/>
  <c r="K452" i="3"/>
  <c r="H452" i="3"/>
  <c r="G452" i="3"/>
  <c r="F452" i="3"/>
  <c r="U451" i="3"/>
  <c r="T451" i="3"/>
  <c r="R451" i="3"/>
  <c r="Q451" i="3"/>
  <c r="P451" i="3"/>
  <c r="M451" i="3"/>
  <c r="L451" i="3"/>
  <c r="K451" i="3"/>
  <c r="H451" i="3"/>
  <c r="G451" i="3"/>
  <c r="F451" i="3"/>
  <c r="U450" i="3"/>
  <c r="T450" i="3"/>
  <c r="R450" i="3"/>
  <c r="Q450" i="3"/>
  <c r="P450" i="3"/>
  <c r="M450" i="3"/>
  <c r="L450" i="3"/>
  <c r="K450" i="3"/>
  <c r="H450" i="3"/>
  <c r="G450" i="3"/>
  <c r="F450" i="3"/>
  <c r="T449" i="3"/>
  <c r="U449" i="3" s="1"/>
  <c r="R449" i="3"/>
  <c r="Q449" i="3"/>
  <c r="P449" i="3"/>
  <c r="M449" i="3"/>
  <c r="L449" i="3"/>
  <c r="K449" i="3"/>
  <c r="H449" i="3"/>
  <c r="G449" i="3"/>
  <c r="F449" i="3"/>
  <c r="U448" i="3"/>
  <c r="T448" i="3"/>
  <c r="R448" i="3"/>
  <c r="Q448" i="3"/>
  <c r="P448" i="3"/>
  <c r="M448" i="3"/>
  <c r="L448" i="3"/>
  <c r="K448" i="3"/>
  <c r="H448" i="3"/>
  <c r="G448" i="3"/>
  <c r="F448" i="3"/>
  <c r="U447" i="3"/>
  <c r="T447" i="3"/>
  <c r="R447" i="3"/>
  <c r="Q447" i="3"/>
  <c r="P447" i="3"/>
  <c r="M447" i="3"/>
  <c r="L447" i="3"/>
  <c r="K447" i="3"/>
  <c r="H447" i="3"/>
  <c r="G447" i="3"/>
  <c r="F447" i="3"/>
  <c r="T446" i="3"/>
  <c r="U446" i="3" s="1"/>
  <c r="R446" i="3"/>
  <c r="Q446" i="3"/>
  <c r="P446" i="3"/>
  <c r="M446" i="3"/>
  <c r="L446" i="3"/>
  <c r="K446" i="3"/>
  <c r="H446" i="3"/>
  <c r="G446" i="3"/>
  <c r="F446" i="3"/>
  <c r="T445" i="3"/>
  <c r="U445" i="3" s="1"/>
  <c r="R445" i="3"/>
  <c r="Q445" i="3"/>
  <c r="P445" i="3"/>
  <c r="M445" i="3"/>
  <c r="L445" i="3"/>
  <c r="K445" i="3"/>
  <c r="H445" i="3"/>
  <c r="G445" i="3"/>
  <c r="F445" i="3"/>
  <c r="U444" i="3"/>
  <c r="T444" i="3"/>
  <c r="R444" i="3"/>
  <c r="Q444" i="3"/>
  <c r="P444" i="3"/>
  <c r="M444" i="3"/>
  <c r="L444" i="3"/>
  <c r="K444" i="3"/>
  <c r="H444" i="3"/>
  <c r="G444" i="3"/>
  <c r="F444" i="3"/>
  <c r="U443" i="3"/>
  <c r="T443" i="3"/>
  <c r="R443" i="3"/>
  <c r="Q443" i="3"/>
  <c r="P443" i="3"/>
  <c r="M443" i="3"/>
  <c r="L443" i="3"/>
  <c r="K443" i="3"/>
  <c r="H443" i="3"/>
  <c r="G443" i="3"/>
  <c r="F443" i="3"/>
  <c r="U442" i="3"/>
  <c r="T442" i="3"/>
  <c r="R442" i="3"/>
  <c r="Q442" i="3"/>
  <c r="P442" i="3"/>
  <c r="M442" i="3"/>
  <c r="L442" i="3"/>
  <c r="K442" i="3"/>
  <c r="H442" i="3"/>
  <c r="G442" i="3"/>
  <c r="F442" i="3"/>
  <c r="T441" i="3"/>
  <c r="U441" i="3" s="1"/>
  <c r="R441" i="3"/>
  <c r="Q441" i="3"/>
  <c r="P441" i="3"/>
  <c r="M441" i="3"/>
  <c r="L441" i="3"/>
  <c r="K441" i="3"/>
  <c r="H441" i="3"/>
  <c r="G441" i="3"/>
  <c r="F441" i="3"/>
  <c r="U440" i="3"/>
  <c r="T440" i="3"/>
  <c r="R440" i="3"/>
  <c r="Q440" i="3"/>
  <c r="P440" i="3"/>
  <c r="M440" i="3"/>
  <c r="L440" i="3"/>
  <c r="K440" i="3"/>
  <c r="H440" i="3"/>
  <c r="G440" i="3"/>
  <c r="F440" i="3"/>
  <c r="U439" i="3"/>
  <c r="T439" i="3"/>
  <c r="R439" i="3"/>
  <c r="Q439" i="3"/>
  <c r="P439" i="3"/>
  <c r="M439" i="3"/>
  <c r="L439" i="3"/>
  <c r="K439" i="3"/>
  <c r="H439" i="3"/>
  <c r="G439" i="3"/>
  <c r="F439" i="3"/>
  <c r="U438" i="3"/>
  <c r="T438" i="3"/>
  <c r="R438" i="3"/>
  <c r="Q438" i="3"/>
  <c r="P438" i="3"/>
  <c r="M438" i="3"/>
  <c r="L438" i="3"/>
  <c r="K438" i="3"/>
  <c r="H438" i="3"/>
  <c r="G438" i="3"/>
  <c r="F438" i="3"/>
  <c r="T437" i="3"/>
  <c r="U437" i="3" s="1"/>
  <c r="R437" i="3"/>
  <c r="Q437" i="3"/>
  <c r="P437" i="3"/>
  <c r="M437" i="3"/>
  <c r="L437" i="3"/>
  <c r="K437" i="3"/>
  <c r="H437" i="3"/>
  <c r="G437" i="3"/>
  <c r="F437" i="3"/>
  <c r="U436" i="3"/>
  <c r="T436" i="3"/>
  <c r="R436" i="3"/>
  <c r="Q436" i="3"/>
  <c r="P436" i="3"/>
  <c r="M436" i="3"/>
  <c r="L436" i="3"/>
  <c r="K436" i="3"/>
  <c r="H436" i="3"/>
  <c r="G436" i="3"/>
  <c r="F436" i="3"/>
  <c r="U435" i="3"/>
  <c r="T435" i="3"/>
  <c r="R435" i="3"/>
  <c r="Q435" i="3"/>
  <c r="P435" i="3"/>
  <c r="M435" i="3"/>
  <c r="L435" i="3"/>
  <c r="K435" i="3"/>
  <c r="H435" i="3"/>
  <c r="G435" i="3"/>
  <c r="F435" i="3"/>
  <c r="T434" i="3"/>
  <c r="U434" i="3" s="1"/>
  <c r="R434" i="3"/>
  <c r="Q434" i="3"/>
  <c r="P434" i="3"/>
  <c r="M434" i="3"/>
  <c r="L434" i="3"/>
  <c r="K434" i="3"/>
  <c r="H434" i="3"/>
  <c r="G434" i="3"/>
  <c r="F434" i="3"/>
  <c r="T433" i="3"/>
  <c r="U433" i="3" s="1"/>
  <c r="R433" i="3"/>
  <c r="Q433" i="3"/>
  <c r="P433" i="3"/>
  <c r="M433" i="3"/>
  <c r="L433" i="3"/>
  <c r="K433" i="3"/>
  <c r="H433" i="3"/>
  <c r="G433" i="3"/>
  <c r="F433" i="3"/>
  <c r="U432" i="3"/>
  <c r="T432" i="3"/>
  <c r="R432" i="3"/>
  <c r="Q432" i="3"/>
  <c r="P432" i="3"/>
  <c r="M432" i="3"/>
  <c r="L432" i="3"/>
  <c r="K432" i="3"/>
  <c r="H432" i="3"/>
  <c r="G432" i="3"/>
  <c r="F432" i="3"/>
  <c r="U431" i="3"/>
  <c r="T431" i="3"/>
  <c r="R431" i="3"/>
  <c r="Q431" i="3"/>
  <c r="P431" i="3"/>
  <c r="M431" i="3"/>
  <c r="L431" i="3"/>
  <c r="K431" i="3"/>
  <c r="H431" i="3"/>
  <c r="G431" i="3"/>
  <c r="F431" i="3"/>
  <c r="U430" i="3"/>
  <c r="T430" i="3"/>
  <c r="R430" i="3"/>
  <c r="Q430" i="3"/>
  <c r="P430" i="3"/>
  <c r="M430" i="3"/>
  <c r="L430" i="3"/>
  <c r="K430" i="3"/>
  <c r="H430" i="3"/>
  <c r="G430" i="3"/>
  <c r="F430" i="3"/>
  <c r="T429" i="3"/>
  <c r="U429" i="3" s="1"/>
  <c r="R429" i="3"/>
  <c r="Q429" i="3"/>
  <c r="P429" i="3"/>
  <c r="M429" i="3"/>
  <c r="L429" i="3"/>
  <c r="K429" i="3"/>
  <c r="H429" i="3"/>
  <c r="G429" i="3"/>
  <c r="F429" i="3"/>
  <c r="U428" i="3"/>
  <c r="T428" i="3"/>
  <c r="R428" i="3"/>
  <c r="Q428" i="3"/>
  <c r="P428" i="3"/>
  <c r="M428" i="3"/>
  <c r="L428" i="3"/>
  <c r="K428" i="3"/>
  <c r="H428" i="3"/>
  <c r="G428" i="3"/>
  <c r="F428" i="3"/>
  <c r="U427" i="3"/>
  <c r="T427" i="3"/>
  <c r="R427" i="3"/>
  <c r="Q427" i="3"/>
  <c r="P427" i="3"/>
  <c r="M427" i="3"/>
  <c r="L427" i="3"/>
  <c r="K427" i="3"/>
  <c r="H427" i="3"/>
  <c r="G427" i="3"/>
  <c r="F427" i="3"/>
  <c r="T426" i="3"/>
  <c r="U426" i="3" s="1"/>
  <c r="R426" i="3"/>
  <c r="Q426" i="3"/>
  <c r="P426" i="3"/>
  <c r="M426" i="3"/>
  <c r="L426" i="3"/>
  <c r="K426" i="3"/>
  <c r="H426" i="3"/>
  <c r="G426" i="3"/>
  <c r="F426" i="3"/>
  <c r="T425" i="3"/>
  <c r="U425" i="3" s="1"/>
  <c r="R425" i="3"/>
  <c r="Q425" i="3"/>
  <c r="P425" i="3"/>
  <c r="M425" i="3"/>
  <c r="L425" i="3"/>
  <c r="K425" i="3"/>
  <c r="H425" i="3"/>
  <c r="G425" i="3"/>
  <c r="F425" i="3"/>
  <c r="U424" i="3"/>
  <c r="T424" i="3"/>
  <c r="R424" i="3"/>
  <c r="Q424" i="3"/>
  <c r="P424" i="3"/>
  <c r="M424" i="3"/>
  <c r="L424" i="3"/>
  <c r="K424" i="3"/>
  <c r="H424" i="3"/>
  <c r="G424" i="3"/>
  <c r="F424" i="3"/>
  <c r="U423" i="3"/>
  <c r="T423" i="3"/>
  <c r="R423" i="3"/>
  <c r="Q423" i="3"/>
  <c r="P423" i="3"/>
  <c r="M423" i="3"/>
  <c r="L423" i="3"/>
  <c r="K423" i="3"/>
  <c r="H423" i="3"/>
  <c r="G423" i="3"/>
  <c r="F423" i="3"/>
  <c r="T422" i="3"/>
  <c r="U422" i="3" s="1"/>
  <c r="R422" i="3"/>
  <c r="Q422" i="3"/>
  <c r="P422" i="3"/>
  <c r="M422" i="3"/>
  <c r="L422" i="3"/>
  <c r="K422" i="3"/>
  <c r="H422" i="3"/>
  <c r="G422" i="3"/>
  <c r="F422" i="3"/>
  <c r="T421" i="3"/>
  <c r="U421" i="3" s="1"/>
  <c r="R421" i="3"/>
  <c r="Q421" i="3"/>
  <c r="P421" i="3"/>
  <c r="M421" i="3"/>
  <c r="L421" i="3"/>
  <c r="K421" i="3"/>
  <c r="H421" i="3"/>
  <c r="G421" i="3"/>
  <c r="F421" i="3"/>
  <c r="U420" i="3"/>
  <c r="T420" i="3"/>
  <c r="R420" i="3"/>
  <c r="Q420" i="3"/>
  <c r="P420" i="3"/>
  <c r="M420" i="3"/>
  <c r="L420" i="3"/>
  <c r="K420" i="3"/>
  <c r="H420" i="3"/>
  <c r="G420" i="3"/>
  <c r="F420" i="3"/>
  <c r="U419" i="3"/>
  <c r="T419" i="3"/>
  <c r="R419" i="3"/>
  <c r="Q419" i="3"/>
  <c r="P419" i="3"/>
  <c r="M419" i="3"/>
  <c r="L419" i="3"/>
  <c r="K419" i="3"/>
  <c r="H419" i="3"/>
  <c r="G419" i="3"/>
  <c r="F419" i="3"/>
  <c r="U418" i="3"/>
  <c r="T418" i="3"/>
  <c r="R418" i="3"/>
  <c r="Q418" i="3"/>
  <c r="P418" i="3"/>
  <c r="M418" i="3"/>
  <c r="L418" i="3"/>
  <c r="K418" i="3"/>
  <c r="H418" i="3"/>
  <c r="G418" i="3"/>
  <c r="F418" i="3"/>
  <c r="T417" i="3"/>
  <c r="U417" i="3" s="1"/>
  <c r="R417" i="3"/>
  <c r="Q417" i="3"/>
  <c r="P417" i="3"/>
  <c r="M417" i="3"/>
  <c r="L417" i="3"/>
  <c r="K417" i="3"/>
  <c r="H417" i="3"/>
  <c r="G417" i="3"/>
  <c r="F417" i="3"/>
  <c r="U416" i="3"/>
  <c r="T416" i="3"/>
  <c r="R416" i="3"/>
  <c r="Q416" i="3"/>
  <c r="P416" i="3"/>
  <c r="M416" i="3"/>
  <c r="L416" i="3"/>
  <c r="K416" i="3"/>
  <c r="H416" i="3"/>
  <c r="G416" i="3"/>
  <c r="F416" i="3"/>
  <c r="U415" i="3"/>
  <c r="T415" i="3"/>
  <c r="R415" i="3"/>
  <c r="Q415" i="3"/>
  <c r="P415" i="3"/>
  <c r="M415" i="3"/>
  <c r="L415" i="3"/>
  <c r="K415" i="3"/>
  <c r="H415" i="3"/>
  <c r="G415" i="3"/>
  <c r="F415" i="3"/>
  <c r="T414" i="3"/>
  <c r="U414" i="3" s="1"/>
  <c r="R414" i="3"/>
  <c r="Q414" i="3"/>
  <c r="P414" i="3"/>
  <c r="M414" i="3"/>
  <c r="L414" i="3"/>
  <c r="K414" i="3"/>
  <c r="H414" i="3"/>
  <c r="G414" i="3"/>
  <c r="F414" i="3"/>
  <c r="T413" i="3"/>
  <c r="U413" i="3" s="1"/>
  <c r="R413" i="3"/>
  <c r="Q413" i="3"/>
  <c r="P413" i="3"/>
  <c r="M413" i="3"/>
  <c r="L413" i="3"/>
  <c r="K413" i="3"/>
  <c r="H413" i="3"/>
  <c r="G413" i="3"/>
  <c r="F413" i="3"/>
  <c r="U412" i="3"/>
  <c r="T412" i="3"/>
  <c r="R412" i="3"/>
  <c r="Q412" i="3"/>
  <c r="P412" i="3"/>
  <c r="M412" i="3"/>
  <c r="L412" i="3"/>
  <c r="K412" i="3"/>
  <c r="H412" i="3"/>
  <c r="G412" i="3"/>
  <c r="F412" i="3"/>
  <c r="U411" i="3"/>
  <c r="T411" i="3"/>
  <c r="R411" i="3"/>
  <c r="Q411" i="3"/>
  <c r="P411" i="3"/>
  <c r="M411" i="3"/>
  <c r="L411" i="3"/>
  <c r="K411" i="3"/>
  <c r="H411" i="3"/>
  <c r="G411" i="3"/>
  <c r="F411" i="3"/>
  <c r="T410" i="3"/>
  <c r="U410" i="3" s="1"/>
  <c r="R410" i="3"/>
  <c r="Q410" i="3"/>
  <c r="P410" i="3"/>
  <c r="M410" i="3"/>
  <c r="L410" i="3"/>
  <c r="K410" i="3"/>
  <c r="H410" i="3"/>
  <c r="G410" i="3"/>
  <c r="F410" i="3"/>
  <c r="T409" i="3"/>
  <c r="U409" i="3" s="1"/>
  <c r="R409" i="3"/>
  <c r="Q409" i="3"/>
  <c r="P409" i="3"/>
  <c r="M409" i="3"/>
  <c r="L409" i="3"/>
  <c r="K409" i="3"/>
  <c r="H409" i="3"/>
  <c r="G409" i="3"/>
  <c r="F409" i="3"/>
  <c r="U408" i="3"/>
  <c r="T408" i="3"/>
  <c r="R408" i="3"/>
  <c r="Q408" i="3"/>
  <c r="P408" i="3"/>
  <c r="M408" i="3"/>
  <c r="L408" i="3"/>
  <c r="K408" i="3"/>
  <c r="H408" i="3"/>
  <c r="G408" i="3"/>
  <c r="F408" i="3"/>
  <c r="U407" i="3"/>
  <c r="T407" i="3"/>
  <c r="R407" i="3"/>
  <c r="Q407" i="3"/>
  <c r="P407" i="3"/>
  <c r="M407" i="3"/>
  <c r="L407" i="3"/>
  <c r="K407" i="3"/>
  <c r="H407" i="3"/>
  <c r="G407" i="3"/>
  <c r="F407" i="3"/>
  <c r="U406" i="3"/>
  <c r="T406" i="3"/>
  <c r="R406" i="3"/>
  <c r="Q406" i="3"/>
  <c r="P406" i="3"/>
  <c r="M406" i="3"/>
  <c r="L406" i="3"/>
  <c r="K406" i="3"/>
  <c r="H406" i="3"/>
  <c r="G406" i="3"/>
  <c r="F406" i="3"/>
  <c r="T405" i="3"/>
  <c r="U405" i="3" s="1"/>
  <c r="R405" i="3"/>
  <c r="Q405" i="3"/>
  <c r="P405" i="3"/>
  <c r="M405" i="3"/>
  <c r="L405" i="3"/>
  <c r="K405" i="3"/>
  <c r="H405" i="3"/>
  <c r="G405" i="3"/>
  <c r="F405" i="3"/>
  <c r="U404" i="3"/>
  <c r="T404" i="3"/>
  <c r="R404" i="3"/>
  <c r="Q404" i="3"/>
  <c r="P404" i="3"/>
  <c r="M404" i="3"/>
  <c r="L404" i="3"/>
  <c r="K404" i="3"/>
  <c r="H404" i="3"/>
  <c r="G404" i="3"/>
  <c r="F404" i="3"/>
  <c r="U403" i="3"/>
  <c r="T403" i="3"/>
  <c r="R403" i="3"/>
  <c r="Q403" i="3"/>
  <c r="P403" i="3"/>
  <c r="M403" i="3"/>
  <c r="L403" i="3"/>
  <c r="K403" i="3"/>
  <c r="H403" i="3"/>
  <c r="G403" i="3"/>
  <c r="F403" i="3"/>
  <c r="T402" i="3"/>
  <c r="U402" i="3" s="1"/>
  <c r="R402" i="3"/>
  <c r="Q402" i="3"/>
  <c r="P402" i="3"/>
  <c r="M402" i="3"/>
  <c r="L402" i="3"/>
  <c r="K402" i="3"/>
  <c r="H402" i="3"/>
  <c r="G402" i="3"/>
  <c r="F402" i="3"/>
  <c r="T401" i="3"/>
  <c r="U401" i="3" s="1"/>
  <c r="R401" i="3"/>
  <c r="Q401" i="3"/>
  <c r="P401" i="3"/>
  <c r="M401" i="3"/>
  <c r="L401" i="3"/>
  <c r="K401" i="3"/>
  <c r="H401" i="3"/>
  <c r="G401" i="3"/>
  <c r="F401" i="3"/>
  <c r="U400" i="3"/>
  <c r="T400" i="3"/>
  <c r="R400" i="3"/>
  <c r="Q400" i="3"/>
  <c r="P400" i="3"/>
  <c r="M400" i="3"/>
  <c r="L400" i="3"/>
  <c r="K400" i="3"/>
  <c r="H400" i="3"/>
  <c r="G400" i="3"/>
  <c r="F400" i="3"/>
  <c r="U399" i="3"/>
  <c r="T399" i="3"/>
  <c r="R399" i="3"/>
  <c r="Q399" i="3"/>
  <c r="P399" i="3"/>
  <c r="M399" i="3"/>
  <c r="L399" i="3"/>
  <c r="K399" i="3"/>
  <c r="H399" i="3"/>
  <c r="G399" i="3"/>
  <c r="F399" i="3"/>
  <c r="T398" i="3"/>
  <c r="U398" i="3" s="1"/>
  <c r="R398" i="3"/>
  <c r="Q398" i="3"/>
  <c r="P398" i="3"/>
  <c r="M398" i="3"/>
  <c r="L398" i="3"/>
  <c r="K398" i="3"/>
  <c r="H398" i="3"/>
  <c r="G398" i="3"/>
  <c r="F398" i="3"/>
  <c r="T397" i="3"/>
  <c r="U397" i="3" s="1"/>
  <c r="R397" i="3"/>
  <c r="Q397" i="3"/>
  <c r="P397" i="3"/>
  <c r="M397" i="3"/>
  <c r="L397" i="3"/>
  <c r="K397" i="3"/>
  <c r="H397" i="3"/>
  <c r="G397" i="3"/>
  <c r="F397" i="3"/>
  <c r="U396" i="3"/>
  <c r="T396" i="3"/>
  <c r="R396" i="3"/>
  <c r="Q396" i="3"/>
  <c r="P396" i="3"/>
  <c r="M396" i="3"/>
  <c r="L396" i="3"/>
  <c r="K396" i="3"/>
  <c r="H396" i="3"/>
  <c r="G396" i="3"/>
  <c r="F396" i="3"/>
  <c r="U395" i="3"/>
  <c r="T395" i="3"/>
  <c r="R395" i="3"/>
  <c r="Q395" i="3"/>
  <c r="P395" i="3"/>
  <c r="M395" i="3"/>
  <c r="L395" i="3"/>
  <c r="K395" i="3"/>
  <c r="H395" i="3"/>
  <c r="G395" i="3"/>
  <c r="F395" i="3"/>
  <c r="U394" i="3"/>
  <c r="T394" i="3"/>
  <c r="R394" i="3"/>
  <c r="Q394" i="3"/>
  <c r="P394" i="3"/>
  <c r="M394" i="3"/>
  <c r="L394" i="3"/>
  <c r="K394" i="3"/>
  <c r="H394" i="3"/>
  <c r="G394" i="3"/>
  <c r="F394" i="3"/>
  <c r="T393" i="3"/>
  <c r="U393" i="3" s="1"/>
  <c r="R393" i="3"/>
  <c r="Q393" i="3"/>
  <c r="P393" i="3"/>
  <c r="M393" i="3"/>
  <c r="L393" i="3"/>
  <c r="K393" i="3"/>
  <c r="H393" i="3"/>
  <c r="G393" i="3"/>
  <c r="F393" i="3"/>
  <c r="U392" i="3"/>
  <c r="T392" i="3"/>
  <c r="R392" i="3"/>
  <c r="Q392" i="3"/>
  <c r="P392" i="3"/>
  <c r="M392" i="3"/>
  <c r="L392" i="3"/>
  <c r="K392" i="3"/>
  <c r="H392" i="3"/>
  <c r="G392" i="3"/>
  <c r="F392" i="3"/>
  <c r="U391" i="3"/>
  <c r="T391" i="3"/>
  <c r="R391" i="3"/>
  <c r="Q391" i="3"/>
  <c r="P391" i="3"/>
  <c r="M391" i="3"/>
  <c r="L391" i="3"/>
  <c r="K391" i="3"/>
  <c r="H391" i="3"/>
  <c r="G391" i="3"/>
  <c r="F391" i="3"/>
  <c r="T390" i="3"/>
  <c r="U390" i="3" s="1"/>
  <c r="R390" i="3"/>
  <c r="Q390" i="3"/>
  <c r="P390" i="3"/>
  <c r="M390" i="3"/>
  <c r="L390" i="3"/>
  <c r="K390" i="3"/>
  <c r="H390" i="3"/>
  <c r="G390" i="3"/>
  <c r="F390" i="3"/>
  <c r="T389" i="3"/>
  <c r="U389" i="3" s="1"/>
  <c r="R389" i="3"/>
  <c r="Q389" i="3"/>
  <c r="P389" i="3"/>
  <c r="M389" i="3"/>
  <c r="L389" i="3"/>
  <c r="K389" i="3"/>
  <c r="H389" i="3"/>
  <c r="G389" i="3"/>
  <c r="F389" i="3"/>
  <c r="U388" i="3"/>
  <c r="T388" i="3"/>
  <c r="R388" i="3"/>
  <c r="Q388" i="3"/>
  <c r="P388" i="3"/>
  <c r="M388" i="3"/>
  <c r="L388" i="3"/>
  <c r="K388" i="3"/>
  <c r="H388" i="3"/>
  <c r="G388" i="3"/>
  <c r="F388" i="3"/>
  <c r="U387" i="3"/>
  <c r="T387" i="3"/>
  <c r="R387" i="3"/>
  <c r="Q387" i="3"/>
  <c r="P387" i="3"/>
  <c r="M387" i="3"/>
  <c r="L387" i="3"/>
  <c r="K387" i="3"/>
  <c r="H387" i="3"/>
  <c r="G387" i="3"/>
  <c r="F387" i="3"/>
  <c r="T386" i="3"/>
  <c r="U386" i="3" s="1"/>
  <c r="R386" i="3"/>
  <c r="Q386" i="3"/>
  <c r="P386" i="3"/>
  <c r="M386" i="3"/>
  <c r="L386" i="3"/>
  <c r="K386" i="3"/>
  <c r="H386" i="3"/>
  <c r="G386" i="3"/>
  <c r="F386" i="3"/>
  <c r="T385" i="3"/>
  <c r="U385" i="3" s="1"/>
  <c r="R385" i="3"/>
  <c r="Q385" i="3"/>
  <c r="P385" i="3"/>
  <c r="M385" i="3"/>
  <c r="L385" i="3"/>
  <c r="K385" i="3"/>
  <c r="H385" i="3"/>
  <c r="G385" i="3"/>
  <c r="F385" i="3"/>
  <c r="U384" i="3"/>
  <c r="T384" i="3"/>
  <c r="R384" i="3"/>
  <c r="Q384" i="3"/>
  <c r="P384" i="3"/>
  <c r="M384" i="3"/>
  <c r="L384" i="3"/>
  <c r="K384" i="3"/>
  <c r="H384" i="3"/>
  <c r="G384" i="3"/>
  <c r="F384" i="3"/>
  <c r="U383" i="3"/>
  <c r="T383" i="3"/>
  <c r="R383" i="3"/>
  <c r="Q383" i="3"/>
  <c r="P383" i="3"/>
  <c r="M383" i="3"/>
  <c r="L383" i="3"/>
  <c r="K383" i="3"/>
  <c r="H383" i="3"/>
  <c r="G383" i="3"/>
  <c r="F383" i="3"/>
  <c r="U382" i="3"/>
  <c r="T382" i="3"/>
  <c r="R382" i="3"/>
  <c r="Q382" i="3"/>
  <c r="P382" i="3"/>
  <c r="M382" i="3"/>
  <c r="L382" i="3"/>
  <c r="K382" i="3"/>
  <c r="H382" i="3"/>
  <c r="G382" i="3"/>
  <c r="F382" i="3"/>
  <c r="T380" i="3"/>
  <c r="U380" i="3" s="1"/>
  <c r="R380" i="3"/>
  <c r="Q380" i="3"/>
  <c r="P380" i="3"/>
  <c r="M380" i="3"/>
  <c r="L380" i="3"/>
  <c r="K380" i="3"/>
  <c r="H380" i="3"/>
  <c r="G380" i="3"/>
  <c r="F380" i="3"/>
  <c r="U379" i="3"/>
  <c r="T379" i="3"/>
  <c r="R379" i="3"/>
  <c r="Q379" i="3"/>
  <c r="P379" i="3"/>
  <c r="M379" i="3"/>
  <c r="L379" i="3"/>
  <c r="K379" i="3"/>
  <c r="H379" i="3"/>
  <c r="G379" i="3"/>
  <c r="F379" i="3"/>
  <c r="U377" i="3"/>
  <c r="T377" i="3"/>
  <c r="R377" i="3"/>
  <c r="Q377" i="3"/>
  <c r="P377" i="3"/>
  <c r="M377" i="3"/>
  <c r="L377" i="3"/>
  <c r="K377" i="3"/>
  <c r="H377" i="3"/>
  <c r="G377" i="3"/>
  <c r="F377" i="3"/>
  <c r="T376" i="3"/>
  <c r="U376" i="3" s="1"/>
  <c r="R376" i="3"/>
  <c r="Q376" i="3"/>
  <c r="P376" i="3"/>
  <c r="M376" i="3"/>
  <c r="L376" i="3"/>
  <c r="K376" i="3"/>
  <c r="H376" i="3"/>
  <c r="G376" i="3"/>
  <c r="F376" i="3"/>
  <c r="T375" i="3"/>
  <c r="U375" i="3" s="1"/>
  <c r="R375" i="3"/>
  <c r="Q375" i="3"/>
  <c r="P375" i="3"/>
  <c r="M375" i="3"/>
  <c r="L375" i="3"/>
  <c r="K375" i="3"/>
  <c r="H375" i="3"/>
  <c r="G375" i="3"/>
  <c r="F375" i="3"/>
  <c r="U373" i="3"/>
  <c r="D16" i="4" s="1"/>
  <c r="T373" i="3"/>
  <c r="R373" i="3"/>
  <c r="Q373" i="3"/>
  <c r="P373" i="3"/>
  <c r="M373" i="3"/>
  <c r="L373" i="3"/>
  <c r="K373" i="3"/>
  <c r="H373" i="3"/>
  <c r="G373" i="3"/>
  <c r="F373" i="3"/>
  <c r="U371" i="3"/>
  <c r="T371" i="3"/>
  <c r="M371" i="3"/>
  <c r="L371" i="3"/>
  <c r="K371" i="3"/>
  <c r="H371" i="3"/>
  <c r="G371" i="3"/>
  <c r="F371" i="3"/>
  <c r="U370" i="3"/>
  <c r="T370" i="3"/>
  <c r="M370" i="3"/>
  <c r="L370" i="3"/>
  <c r="K370" i="3"/>
  <c r="H370" i="3"/>
  <c r="G370" i="3"/>
  <c r="F370" i="3"/>
  <c r="U369" i="3"/>
  <c r="D15" i="4" s="1"/>
  <c r="H24" i="1" s="1"/>
  <c r="T369" i="3"/>
  <c r="M369" i="3"/>
  <c r="L369" i="3"/>
  <c r="K369" i="3"/>
  <c r="H369" i="3"/>
  <c r="G369" i="3"/>
  <c r="F369" i="3"/>
  <c r="U367" i="3"/>
  <c r="T367" i="3"/>
  <c r="R367" i="3"/>
  <c r="Q367" i="3"/>
  <c r="P367" i="3"/>
  <c r="M367" i="3"/>
  <c r="L367" i="3"/>
  <c r="K367" i="3"/>
  <c r="H367" i="3"/>
  <c r="G367" i="3"/>
  <c r="F367" i="3"/>
  <c r="T366" i="3"/>
  <c r="U366" i="3" s="1"/>
  <c r="R366" i="3"/>
  <c r="Q366" i="3"/>
  <c r="P366" i="3"/>
  <c r="M366" i="3"/>
  <c r="L366" i="3"/>
  <c r="K366" i="3"/>
  <c r="H366" i="3"/>
  <c r="G366" i="3"/>
  <c r="F366" i="3"/>
  <c r="T365" i="3"/>
  <c r="U365" i="3" s="1"/>
  <c r="R365" i="3"/>
  <c r="Q365" i="3"/>
  <c r="P365" i="3"/>
  <c r="M365" i="3"/>
  <c r="L365" i="3"/>
  <c r="K365" i="3"/>
  <c r="H365" i="3"/>
  <c r="G365" i="3"/>
  <c r="F365" i="3"/>
  <c r="U364" i="3"/>
  <c r="T364" i="3"/>
  <c r="R364" i="3"/>
  <c r="Q364" i="3"/>
  <c r="P364" i="3"/>
  <c r="M364" i="3"/>
  <c r="L364" i="3"/>
  <c r="K364" i="3"/>
  <c r="H364" i="3"/>
  <c r="G364" i="3"/>
  <c r="F364" i="3"/>
  <c r="U362" i="3"/>
  <c r="T362" i="3"/>
  <c r="M362" i="3"/>
  <c r="L362" i="3"/>
  <c r="K362" i="3"/>
  <c r="H362" i="3"/>
  <c r="G362" i="3"/>
  <c r="F362" i="3"/>
  <c r="U361" i="3"/>
  <c r="T361" i="3"/>
  <c r="M361" i="3"/>
  <c r="L361" i="3"/>
  <c r="K361" i="3"/>
  <c r="H361" i="3"/>
  <c r="G361" i="3"/>
  <c r="F361" i="3"/>
  <c r="U360" i="3"/>
  <c r="T360" i="3"/>
  <c r="M360" i="3"/>
  <c r="L360" i="3"/>
  <c r="K360" i="3"/>
  <c r="H360" i="3"/>
  <c r="G360" i="3"/>
  <c r="F360" i="3"/>
  <c r="U359" i="3"/>
  <c r="T359" i="3"/>
  <c r="M359" i="3"/>
  <c r="L359" i="3"/>
  <c r="K359" i="3"/>
  <c r="H359" i="3"/>
  <c r="G359" i="3"/>
  <c r="F359" i="3"/>
  <c r="U358" i="3"/>
  <c r="T358" i="3"/>
  <c r="M358" i="3"/>
  <c r="L358" i="3"/>
  <c r="K358" i="3"/>
  <c r="H358" i="3"/>
  <c r="G358" i="3"/>
  <c r="F358" i="3"/>
  <c r="U357" i="3"/>
  <c r="T357" i="3"/>
  <c r="M357" i="3"/>
  <c r="L357" i="3"/>
  <c r="K357" i="3"/>
  <c r="H357" i="3"/>
  <c r="G357" i="3"/>
  <c r="F357" i="3"/>
  <c r="U356" i="3"/>
  <c r="T356" i="3"/>
  <c r="M356" i="3"/>
  <c r="L356" i="3"/>
  <c r="K356" i="3"/>
  <c r="H356" i="3"/>
  <c r="G356" i="3"/>
  <c r="F356" i="3"/>
  <c r="U355" i="3"/>
  <c r="T355" i="3"/>
  <c r="M355" i="3"/>
  <c r="L355" i="3"/>
  <c r="K355" i="3"/>
  <c r="H355" i="3"/>
  <c r="G355" i="3"/>
  <c r="F355" i="3"/>
  <c r="U354" i="3"/>
  <c r="T354" i="3"/>
  <c r="M354" i="3"/>
  <c r="L354" i="3"/>
  <c r="K354" i="3"/>
  <c r="H354" i="3"/>
  <c r="G354" i="3"/>
  <c r="F354" i="3"/>
  <c r="U353" i="3"/>
  <c r="T353" i="3"/>
  <c r="M353" i="3"/>
  <c r="L353" i="3"/>
  <c r="K353" i="3"/>
  <c r="H353" i="3"/>
  <c r="G353" i="3"/>
  <c r="F353" i="3"/>
  <c r="U352" i="3"/>
  <c r="T352" i="3"/>
  <c r="M352" i="3"/>
  <c r="L352" i="3"/>
  <c r="K352" i="3"/>
  <c r="H352" i="3"/>
  <c r="G352" i="3"/>
  <c r="F352" i="3"/>
  <c r="U351" i="3"/>
  <c r="T351" i="3"/>
  <c r="M351" i="3"/>
  <c r="L351" i="3"/>
  <c r="K351" i="3"/>
  <c r="H351" i="3"/>
  <c r="G351" i="3"/>
  <c r="F351" i="3"/>
  <c r="U350" i="3"/>
  <c r="C13" i="4" s="1"/>
  <c r="T350" i="3"/>
  <c r="M350" i="3"/>
  <c r="L350" i="3"/>
  <c r="K350" i="3"/>
  <c r="H350" i="3"/>
  <c r="G350" i="3"/>
  <c r="F350" i="3"/>
  <c r="U348" i="3"/>
  <c r="T348" i="3"/>
  <c r="R348" i="3"/>
  <c r="Q348" i="3"/>
  <c r="P348" i="3"/>
  <c r="M348" i="3"/>
  <c r="L348" i="3"/>
  <c r="K348" i="3"/>
  <c r="H348" i="3"/>
  <c r="G348" i="3"/>
  <c r="F348" i="3"/>
  <c r="U347" i="3"/>
  <c r="T347" i="3"/>
  <c r="R347" i="3"/>
  <c r="Q347" i="3"/>
  <c r="P347" i="3"/>
  <c r="M347" i="3"/>
  <c r="L347" i="3"/>
  <c r="K347" i="3"/>
  <c r="H347" i="3"/>
  <c r="G347" i="3"/>
  <c r="F347" i="3"/>
  <c r="T346" i="3"/>
  <c r="U346" i="3" s="1"/>
  <c r="R346" i="3"/>
  <c r="Q346" i="3"/>
  <c r="P346" i="3"/>
  <c r="M346" i="3"/>
  <c r="L346" i="3"/>
  <c r="K346" i="3"/>
  <c r="H346" i="3"/>
  <c r="G346" i="3"/>
  <c r="F346" i="3"/>
  <c r="U345" i="3"/>
  <c r="T345" i="3"/>
  <c r="R345" i="3"/>
  <c r="Q345" i="3"/>
  <c r="P345" i="3"/>
  <c r="M345" i="3"/>
  <c r="L345" i="3"/>
  <c r="K345" i="3"/>
  <c r="H345" i="3"/>
  <c r="G345" i="3"/>
  <c r="F345" i="3"/>
  <c r="U344" i="3"/>
  <c r="T344" i="3"/>
  <c r="R344" i="3"/>
  <c r="Q344" i="3"/>
  <c r="P344" i="3"/>
  <c r="M344" i="3"/>
  <c r="L344" i="3"/>
  <c r="K344" i="3"/>
  <c r="H344" i="3"/>
  <c r="G344" i="3"/>
  <c r="F344" i="3"/>
  <c r="T343" i="3"/>
  <c r="U343" i="3" s="1"/>
  <c r="R343" i="3"/>
  <c r="Q343" i="3"/>
  <c r="P343" i="3"/>
  <c r="M343" i="3"/>
  <c r="L343" i="3"/>
  <c r="K343" i="3"/>
  <c r="H343" i="3"/>
  <c r="G343" i="3"/>
  <c r="F343" i="3"/>
  <c r="T342" i="3"/>
  <c r="U342" i="3" s="1"/>
  <c r="R342" i="3"/>
  <c r="Q342" i="3"/>
  <c r="P342" i="3"/>
  <c r="M342" i="3"/>
  <c r="L342" i="3"/>
  <c r="K342" i="3"/>
  <c r="H342" i="3"/>
  <c r="G342" i="3"/>
  <c r="F342" i="3"/>
  <c r="U341" i="3"/>
  <c r="T341" i="3"/>
  <c r="R341" i="3"/>
  <c r="Q341" i="3"/>
  <c r="P341" i="3"/>
  <c r="M341" i="3"/>
  <c r="L341" i="3"/>
  <c r="K341" i="3"/>
  <c r="H341" i="3"/>
  <c r="G341" i="3"/>
  <c r="F341" i="3"/>
  <c r="U340" i="3"/>
  <c r="T340" i="3"/>
  <c r="R340" i="3"/>
  <c r="Q340" i="3"/>
  <c r="P340" i="3"/>
  <c r="M340" i="3"/>
  <c r="L340" i="3"/>
  <c r="K340" i="3"/>
  <c r="H340" i="3"/>
  <c r="G340" i="3"/>
  <c r="F340" i="3"/>
  <c r="U339" i="3"/>
  <c r="T339" i="3"/>
  <c r="R339" i="3"/>
  <c r="Q339" i="3"/>
  <c r="P339" i="3"/>
  <c r="M339" i="3"/>
  <c r="L339" i="3"/>
  <c r="K339" i="3"/>
  <c r="H339" i="3"/>
  <c r="G339" i="3"/>
  <c r="F339" i="3"/>
  <c r="T338" i="3"/>
  <c r="U338" i="3" s="1"/>
  <c r="R338" i="3"/>
  <c r="Q338" i="3"/>
  <c r="P338" i="3"/>
  <c r="M338" i="3"/>
  <c r="L338" i="3"/>
  <c r="K338" i="3"/>
  <c r="H338" i="3"/>
  <c r="G338" i="3"/>
  <c r="F338" i="3"/>
  <c r="U337" i="3"/>
  <c r="T337" i="3"/>
  <c r="R337" i="3"/>
  <c r="Q337" i="3"/>
  <c r="P337" i="3"/>
  <c r="M337" i="3"/>
  <c r="L337" i="3"/>
  <c r="K337" i="3"/>
  <c r="H337" i="3"/>
  <c r="G337" i="3"/>
  <c r="F337" i="3"/>
  <c r="U336" i="3"/>
  <c r="D12" i="4" s="1"/>
  <c r="H21" i="1" s="1"/>
  <c r="T336" i="3"/>
  <c r="R336" i="3"/>
  <c r="Q336" i="3"/>
  <c r="P336" i="3"/>
  <c r="M336" i="3"/>
  <c r="L336" i="3"/>
  <c r="K336" i="3"/>
  <c r="H336" i="3"/>
  <c r="G336" i="3"/>
  <c r="F336" i="3"/>
  <c r="U334" i="3"/>
  <c r="T334" i="3"/>
  <c r="R334" i="3"/>
  <c r="Q334" i="3"/>
  <c r="P334" i="3"/>
  <c r="M334" i="3"/>
  <c r="L334" i="3"/>
  <c r="K334" i="3"/>
  <c r="H334" i="3"/>
  <c r="G334" i="3"/>
  <c r="F334" i="3"/>
  <c r="T333" i="3"/>
  <c r="U333" i="3" s="1"/>
  <c r="R333" i="3"/>
  <c r="Q333" i="3"/>
  <c r="P333" i="3"/>
  <c r="M333" i="3"/>
  <c r="L333" i="3"/>
  <c r="K333" i="3"/>
  <c r="H333" i="3"/>
  <c r="G333" i="3"/>
  <c r="F333" i="3"/>
  <c r="U332" i="3"/>
  <c r="T332" i="3"/>
  <c r="R332" i="3"/>
  <c r="Q332" i="3"/>
  <c r="P332" i="3"/>
  <c r="M332" i="3"/>
  <c r="L332" i="3"/>
  <c r="K332" i="3"/>
  <c r="H332" i="3"/>
  <c r="G332" i="3"/>
  <c r="F332" i="3"/>
  <c r="U331" i="3"/>
  <c r="T331" i="3"/>
  <c r="R331" i="3"/>
  <c r="Q331" i="3"/>
  <c r="P331" i="3"/>
  <c r="M331" i="3"/>
  <c r="L331" i="3"/>
  <c r="K331" i="3"/>
  <c r="H331" i="3"/>
  <c r="G331" i="3"/>
  <c r="F331" i="3"/>
  <c r="T330" i="3"/>
  <c r="U330" i="3" s="1"/>
  <c r="R330" i="3"/>
  <c r="Q330" i="3"/>
  <c r="P330" i="3"/>
  <c r="M330" i="3"/>
  <c r="L330" i="3"/>
  <c r="K330" i="3"/>
  <c r="H330" i="3"/>
  <c r="G330" i="3"/>
  <c r="F330" i="3"/>
  <c r="T329" i="3"/>
  <c r="U329" i="3" s="1"/>
  <c r="R329" i="3"/>
  <c r="Q329" i="3"/>
  <c r="P329" i="3"/>
  <c r="M329" i="3"/>
  <c r="L329" i="3"/>
  <c r="K329" i="3"/>
  <c r="H329" i="3"/>
  <c r="G329" i="3"/>
  <c r="F329" i="3"/>
  <c r="U328" i="3"/>
  <c r="T328" i="3"/>
  <c r="R328" i="3"/>
  <c r="Q328" i="3"/>
  <c r="P328" i="3"/>
  <c r="M328" i="3"/>
  <c r="L328" i="3"/>
  <c r="K328" i="3"/>
  <c r="H328" i="3"/>
  <c r="G328" i="3"/>
  <c r="F328" i="3"/>
  <c r="U327" i="3"/>
  <c r="T327" i="3"/>
  <c r="R327" i="3"/>
  <c r="Q327" i="3"/>
  <c r="P327" i="3"/>
  <c r="M327" i="3"/>
  <c r="L327" i="3"/>
  <c r="K327" i="3"/>
  <c r="H327" i="3"/>
  <c r="G327" i="3"/>
  <c r="F327" i="3"/>
  <c r="U326" i="3"/>
  <c r="T326" i="3"/>
  <c r="R326" i="3"/>
  <c r="Q326" i="3"/>
  <c r="P326" i="3"/>
  <c r="M326" i="3"/>
  <c r="L326" i="3"/>
  <c r="K326" i="3"/>
  <c r="H326" i="3"/>
  <c r="G326" i="3"/>
  <c r="F326" i="3"/>
  <c r="T325" i="3"/>
  <c r="U325" i="3" s="1"/>
  <c r="R325" i="3"/>
  <c r="Q325" i="3"/>
  <c r="P325" i="3"/>
  <c r="M325" i="3"/>
  <c r="L325" i="3"/>
  <c r="K325" i="3"/>
  <c r="H325" i="3"/>
  <c r="G325" i="3"/>
  <c r="F325" i="3"/>
  <c r="U324" i="3"/>
  <c r="T324" i="3"/>
  <c r="R324" i="3"/>
  <c r="Q324" i="3"/>
  <c r="P324" i="3"/>
  <c r="M324" i="3"/>
  <c r="L324" i="3"/>
  <c r="K324" i="3"/>
  <c r="H324" i="3"/>
  <c r="G324" i="3"/>
  <c r="F324" i="3"/>
  <c r="U323" i="3"/>
  <c r="T323" i="3"/>
  <c r="R323" i="3"/>
  <c r="Q323" i="3"/>
  <c r="P323" i="3"/>
  <c r="M323" i="3"/>
  <c r="L323" i="3"/>
  <c r="K323" i="3"/>
  <c r="H323" i="3"/>
  <c r="G323" i="3"/>
  <c r="F323" i="3"/>
  <c r="U322" i="3"/>
  <c r="T322" i="3"/>
  <c r="R322" i="3"/>
  <c r="Q322" i="3"/>
  <c r="P322" i="3"/>
  <c r="M322" i="3"/>
  <c r="L322" i="3"/>
  <c r="K322" i="3"/>
  <c r="H322" i="3"/>
  <c r="G322" i="3"/>
  <c r="F322" i="3"/>
  <c r="T321" i="3"/>
  <c r="U321" i="3" s="1"/>
  <c r="R321" i="3"/>
  <c r="Q321" i="3"/>
  <c r="P321" i="3"/>
  <c r="M321" i="3"/>
  <c r="L321" i="3"/>
  <c r="K321" i="3"/>
  <c r="H321" i="3"/>
  <c r="G321" i="3"/>
  <c r="F321" i="3"/>
  <c r="U320" i="3"/>
  <c r="T320" i="3"/>
  <c r="R320" i="3"/>
  <c r="Q320" i="3"/>
  <c r="P320" i="3"/>
  <c r="M320" i="3"/>
  <c r="L320" i="3"/>
  <c r="K320" i="3"/>
  <c r="H320" i="3"/>
  <c r="G320" i="3"/>
  <c r="F320" i="3"/>
  <c r="U319" i="3"/>
  <c r="T319" i="3"/>
  <c r="R319" i="3"/>
  <c r="Q319" i="3"/>
  <c r="P319" i="3"/>
  <c r="M319" i="3"/>
  <c r="L319" i="3"/>
  <c r="K319" i="3"/>
  <c r="H319" i="3"/>
  <c r="G319" i="3"/>
  <c r="F319" i="3"/>
  <c r="T318" i="3"/>
  <c r="U318" i="3" s="1"/>
  <c r="R318" i="3"/>
  <c r="Q318" i="3"/>
  <c r="P318" i="3"/>
  <c r="M318" i="3"/>
  <c r="L318" i="3"/>
  <c r="K318" i="3"/>
  <c r="H318" i="3"/>
  <c r="G318" i="3"/>
  <c r="F318" i="3"/>
  <c r="T317" i="3"/>
  <c r="U317" i="3" s="1"/>
  <c r="R317" i="3"/>
  <c r="Q317" i="3"/>
  <c r="P317" i="3"/>
  <c r="M317" i="3"/>
  <c r="L317" i="3"/>
  <c r="K317" i="3"/>
  <c r="H317" i="3"/>
  <c r="G317" i="3"/>
  <c r="F317" i="3"/>
  <c r="U316" i="3"/>
  <c r="T316" i="3"/>
  <c r="R316" i="3"/>
  <c r="Q316" i="3"/>
  <c r="P316" i="3"/>
  <c r="M316" i="3"/>
  <c r="L316" i="3"/>
  <c r="K316" i="3"/>
  <c r="H316" i="3"/>
  <c r="G316" i="3"/>
  <c r="F316" i="3"/>
  <c r="U315" i="3"/>
  <c r="T315" i="3"/>
  <c r="R315" i="3"/>
  <c r="Q315" i="3"/>
  <c r="P315" i="3"/>
  <c r="M315" i="3"/>
  <c r="L315" i="3"/>
  <c r="K315" i="3"/>
  <c r="H315" i="3"/>
  <c r="G315" i="3"/>
  <c r="F315" i="3"/>
  <c r="U314" i="3"/>
  <c r="T314" i="3"/>
  <c r="R314" i="3"/>
  <c r="Q314" i="3"/>
  <c r="P314" i="3"/>
  <c r="M314" i="3"/>
  <c r="L314" i="3"/>
  <c r="K314" i="3"/>
  <c r="H314" i="3"/>
  <c r="G314" i="3"/>
  <c r="F314" i="3"/>
  <c r="T312" i="3"/>
  <c r="U312" i="3" s="1"/>
  <c r="M312" i="3"/>
  <c r="L312" i="3"/>
  <c r="K312" i="3"/>
  <c r="H312" i="3"/>
  <c r="G312" i="3"/>
  <c r="F312" i="3"/>
  <c r="T310" i="3"/>
  <c r="U310" i="3" s="1"/>
  <c r="M310" i="3"/>
  <c r="L310" i="3"/>
  <c r="K310" i="3"/>
  <c r="H310" i="3"/>
  <c r="G310" i="3"/>
  <c r="F310" i="3"/>
  <c r="T309" i="3"/>
  <c r="U309" i="3" s="1"/>
  <c r="M309" i="3"/>
  <c r="L309" i="3"/>
  <c r="K309" i="3"/>
  <c r="H309" i="3"/>
  <c r="G309" i="3"/>
  <c r="F309" i="3"/>
  <c r="T308" i="3"/>
  <c r="U308" i="3" s="1"/>
  <c r="M308" i="3"/>
  <c r="L308" i="3"/>
  <c r="K308" i="3"/>
  <c r="H308" i="3"/>
  <c r="G308" i="3"/>
  <c r="F308" i="3"/>
  <c r="T307" i="3"/>
  <c r="U307" i="3" s="1"/>
  <c r="M307" i="3"/>
  <c r="L307" i="3"/>
  <c r="K307" i="3"/>
  <c r="H307" i="3"/>
  <c r="G307" i="3"/>
  <c r="F307" i="3"/>
  <c r="T306" i="3"/>
  <c r="U306" i="3" s="1"/>
  <c r="M306" i="3"/>
  <c r="L306" i="3"/>
  <c r="K306" i="3"/>
  <c r="H306" i="3"/>
  <c r="G306" i="3"/>
  <c r="F306" i="3"/>
  <c r="T305" i="3"/>
  <c r="U305" i="3" s="1"/>
  <c r="M305" i="3"/>
  <c r="L305" i="3"/>
  <c r="K305" i="3"/>
  <c r="H305" i="3"/>
  <c r="G305" i="3"/>
  <c r="F305" i="3"/>
  <c r="T304" i="3"/>
  <c r="U304" i="3" s="1"/>
  <c r="M304" i="3"/>
  <c r="L304" i="3"/>
  <c r="K304" i="3"/>
  <c r="H304" i="3"/>
  <c r="G304" i="3"/>
  <c r="F304" i="3"/>
  <c r="T303" i="3"/>
  <c r="U303" i="3" s="1"/>
  <c r="M303" i="3"/>
  <c r="L303" i="3"/>
  <c r="K303" i="3"/>
  <c r="H303" i="3"/>
  <c r="G303" i="3"/>
  <c r="F303" i="3"/>
  <c r="T302" i="3"/>
  <c r="U302" i="3" s="1"/>
  <c r="M302" i="3"/>
  <c r="L302" i="3"/>
  <c r="K302" i="3"/>
  <c r="H302" i="3"/>
  <c r="G302" i="3"/>
  <c r="F302" i="3"/>
  <c r="T301" i="3"/>
  <c r="U301" i="3" s="1"/>
  <c r="M301" i="3"/>
  <c r="L301" i="3"/>
  <c r="K301" i="3"/>
  <c r="H301" i="3"/>
  <c r="G301" i="3"/>
  <c r="F301" i="3"/>
  <c r="T300" i="3"/>
  <c r="U300" i="3" s="1"/>
  <c r="M300" i="3"/>
  <c r="L300" i="3"/>
  <c r="K300" i="3"/>
  <c r="H300" i="3"/>
  <c r="G300" i="3"/>
  <c r="F300" i="3"/>
  <c r="T299" i="3"/>
  <c r="U299" i="3" s="1"/>
  <c r="M299" i="3"/>
  <c r="L299" i="3"/>
  <c r="K299" i="3"/>
  <c r="H299" i="3"/>
  <c r="G299" i="3"/>
  <c r="F299" i="3"/>
  <c r="T298" i="3"/>
  <c r="U298" i="3" s="1"/>
  <c r="M298" i="3"/>
  <c r="L298" i="3"/>
  <c r="K298" i="3"/>
  <c r="H298" i="3"/>
  <c r="G298" i="3"/>
  <c r="F298" i="3"/>
  <c r="T297" i="3"/>
  <c r="U297" i="3" s="1"/>
  <c r="M297" i="3"/>
  <c r="L297" i="3"/>
  <c r="K297" i="3"/>
  <c r="H297" i="3"/>
  <c r="G297" i="3"/>
  <c r="F297" i="3"/>
  <c r="T296" i="3"/>
  <c r="U296" i="3" s="1"/>
  <c r="M296" i="3"/>
  <c r="L296" i="3"/>
  <c r="K296" i="3"/>
  <c r="H296" i="3"/>
  <c r="G296" i="3"/>
  <c r="F296" i="3"/>
  <c r="T295" i="3"/>
  <c r="U295" i="3" s="1"/>
  <c r="M295" i="3"/>
  <c r="L295" i="3"/>
  <c r="K295" i="3"/>
  <c r="H295" i="3"/>
  <c r="G295" i="3"/>
  <c r="F295" i="3"/>
  <c r="T294" i="3"/>
  <c r="U294" i="3" s="1"/>
  <c r="M294" i="3"/>
  <c r="L294" i="3"/>
  <c r="K294" i="3"/>
  <c r="H294" i="3"/>
  <c r="G294" i="3"/>
  <c r="F294" i="3"/>
  <c r="T293" i="3"/>
  <c r="U293" i="3" s="1"/>
  <c r="M293" i="3"/>
  <c r="L293" i="3"/>
  <c r="K293" i="3"/>
  <c r="H293" i="3"/>
  <c r="G293" i="3"/>
  <c r="F293" i="3"/>
  <c r="T292" i="3"/>
  <c r="U292" i="3" s="1"/>
  <c r="M292" i="3"/>
  <c r="L292" i="3"/>
  <c r="K292" i="3"/>
  <c r="H292" i="3"/>
  <c r="G292" i="3"/>
  <c r="F292" i="3"/>
  <c r="T291" i="3"/>
  <c r="U291" i="3" s="1"/>
  <c r="M291" i="3"/>
  <c r="L291" i="3"/>
  <c r="K291" i="3"/>
  <c r="H291" i="3"/>
  <c r="G291" i="3"/>
  <c r="F291" i="3"/>
  <c r="T290" i="3"/>
  <c r="U290" i="3" s="1"/>
  <c r="M290" i="3"/>
  <c r="L290" i="3"/>
  <c r="K290" i="3"/>
  <c r="H290" i="3"/>
  <c r="G290" i="3"/>
  <c r="F290" i="3"/>
  <c r="T288" i="3"/>
  <c r="U288" i="3" s="1"/>
  <c r="R288" i="3"/>
  <c r="Q288" i="3"/>
  <c r="P288" i="3"/>
  <c r="M288" i="3"/>
  <c r="L288" i="3"/>
  <c r="K288" i="3"/>
  <c r="H288" i="3"/>
  <c r="G288" i="3"/>
  <c r="F288" i="3"/>
  <c r="U286" i="3"/>
  <c r="D7" i="4" s="1"/>
  <c r="T286" i="3"/>
  <c r="R286" i="3"/>
  <c r="Q286" i="3"/>
  <c r="P286" i="3"/>
  <c r="M286" i="3"/>
  <c r="L286" i="3"/>
  <c r="K286" i="3"/>
  <c r="H286" i="3"/>
  <c r="G286" i="3"/>
  <c r="F286" i="3"/>
  <c r="U284" i="3"/>
  <c r="T284" i="3"/>
  <c r="R284" i="3"/>
  <c r="Q284" i="3"/>
  <c r="P284" i="3"/>
  <c r="M284" i="3"/>
  <c r="L284" i="3"/>
  <c r="K284" i="3"/>
  <c r="H284" i="3"/>
  <c r="G284" i="3"/>
  <c r="F284" i="3"/>
  <c r="T283" i="3"/>
  <c r="U283" i="3" s="1"/>
  <c r="R283" i="3"/>
  <c r="Q283" i="3"/>
  <c r="P283" i="3"/>
  <c r="M283" i="3"/>
  <c r="L283" i="3"/>
  <c r="K283" i="3"/>
  <c r="H283" i="3"/>
  <c r="G283" i="3"/>
  <c r="F283" i="3"/>
  <c r="T282" i="3"/>
  <c r="U282" i="3" s="1"/>
  <c r="R282" i="3"/>
  <c r="Q282" i="3"/>
  <c r="P282" i="3"/>
  <c r="M282" i="3"/>
  <c r="L282" i="3"/>
  <c r="K282" i="3"/>
  <c r="H282" i="3"/>
  <c r="G282" i="3"/>
  <c r="F282" i="3"/>
  <c r="U281" i="3"/>
  <c r="T281" i="3"/>
  <c r="R281" i="3"/>
  <c r="Q281" i="3"/>
  <c r="P281" i="3"/>
  <c r="M281" i="3"/>
  <c r="L281" i="3"/>
  <c r="K281" i="3"/>
  <c r="H281" i="3"/>
  <c r="G281" i="3"/>
  <c r="F281" i="3"/>
  <c r="U280" i="3"/>
  <c r="T280" i="3"/>
  <c r="R280" i="3"/>
  <c r="Q280" i="3"/>
  <c r="P280" i="3"/>
  <c r="M280" i="3"/>
  <c r="L280" i="3"/>
  <c r="K280" i="3"/>
  <c r="H280" i="3"/>
  <c r="G280" i="3"/>
  <c r="F280" i="3"/>
  <c r="U279" i="3"/>
  <c r="T279" i="3"/>
  <c r="R279" i="3"/>
  <c r="Q279" i="3"/>
  <c r="P279" i="3"/>
  <c r="M279" i="3"/>
  <c r="L279" i="3"/>
  <c r="K279" i="3"/>
  <c r="H279" i="3"/>
  <c r="G279" i="3"/>
  <c r="F279" i="3"/>
  <c r="T278" i="3"/>
  <c r="U278" i="3" s="1"/>
  <c r="R278" i="3"/>
  <c r="Q278" i="3"/>
  <c r="P278" i="3"/>
  <c r="M278" i="3"/>
  <c r="L278" i="3"/>
  <c r="K278" i="3"/>
  <c r="H278" i="3"/>
  <c r="G278" i="3"/>
  <c r="F278" i="3"/>
  <c r="U277" i="3"/>
  <c r="T277" i="3"/>
  <c r="R277" i="3"/>
  <c r="Q277" i="3"/>
  <c r="P277" i="3"/>
  <c r="M277" i="3"/>
  <c r="L277" i="3"/>
  <c r="K277" i="3"/>
  <c r="H277" i="3"/>
  <c r="G277" i="3"/>
  <c r="F277" i="3"/>
  <c r="U276" i="3"/>
  <c r="T276" i="3"/>
  <c r="R276" i="3"/>
  <c r="Q276" i="3"/>
  <c r="P276" i="3"/>
  <c r="M276" i="3"/>
  <c r="L276" i="3"/>
  <c r="K276" i="3"/>
  <c r="H276" i="3"/>
  <c r="G276" i="3"/>
  <c r="F276" i="3"/>
  <c r="T275" i="3"/>
  <c r="U275" i="3" s="1"/>
  <c r="R275" i="3"/>
  <c r="Q275" i="3"/>
  <c r="P275" i="3"/>
  <c r="M275" i="3"/>
  <c r="L275" i="3"/>
  <c r="K275" i="3"/>
  <c r="H275" i="3"/>
  <c r="G275" i="3"/>
  <c r="F275" i="3"/>
  <c r="T274" i="3"/>
  <c r="U274" i="3" s="1"/>
  <c r="R274" i="3"/>
  <c r="Q274" i="3"/>
  <c r="P274" i="3"/>
  <c r="M274" i="3"/>
  <c r="L274" i="3"/>
  <c r="K274" i="3"/>
  <c r="H274" i="3"/>
  <c r="G274" i="3"/>
  <c r="F274" i="3"/>
  <c r="U273" i="3"/>
  <c r="T273" i="3"/>
  <c r="R273" i="3"/>
  <c r="Q273" i="3"/>
  <c r="P273" i="3"/>
  <c r="M273" i="3"/>
  <c r="L273" i="3"/>
  <c r="K273" i="3"/>
  <c r="H273" i="3"/>
  <c r="G273" i="3"/>
  <c r="F273" i="3"/>
  <c r="U272" i="3"/>
  <c r="T272" i="3"/>
  <c r="R272" i="3"/>
  <c r="Q272" i="3"/>
  <c r="P272" i="3"/>
  <c r="M272" i="3"/>
  <c r="L272" i="3"/>
  <c r="K272" i="3"/>
  <c r="H272" i="3"/>
  <c r="G272" i="3"/>
  <c r="F272" i="3"/>
  <c r="T271" i="3"/>
  <c r="U271" i="3" s="1"/>
  <c r="R271" i="3"/>
  <c r="Q271" i="3"/>
  <c r="P271" i="3"/>
  <c r="M271" i="3"/>
  <c r="L271" i="3"/>
  <c r="K271" i="3"/>
  <c r="H271" i="3"/>
  <c r="G271" i="3"/>
  <c r="F271" i="3"/>
  <c r="T270" i="3"/>
  <c r="U270" i="3" s="1"/>
  <c r="R270" i="3"/>
  <c r="Q270" i="3"/>
  <c r="P270" i="3"/>
  <c r="M270" i="3"/>
  <c r="L270" i="3"/>
  <c r="K270" i="3"/>
  <c r="H270" i="3"/>
  <c r="G270" i="3"/>
  <c r="F270" i="3"/>
  <c r="U269" i="3"/>
  <c r="T269" i="3"/>
  <c r="R269" i="3"/>
  <c r="Q269" i="3"/>
  <c r="P269" i="3"/>
  <c r="M269" i="3"/>
  <c r="L269" i="3"/>
  <c r="K269" i="3"/>
  <c r="H269" i="3"/>
  <c r="G269" i="3"/>
  <c r="F269" i="3"/>
  <c r="U268" i="3"/>
  <c r="T268" i="3"/>
  <c r="R268" i="3"/>
  <c r="Q268" i="3"/>
  <c r="P268" i="3"/>
  <c r="M268" i="3"/>
  <c r="L268" i="3"/>
  <c r="K268" i="3"/>
  <c r="H268" i="3"/>
  <c r="G268" i="3"/>
  <c r="F268" i="3"/>
  <c r="U267" i="3"/>
  <c r="T267" i="3"/>
  <c r="R267" i="3"/>
  <c r="Q267" i="3"/>
  <c r="P267" i="3"/>
  <c r="M267" i="3"/>
  <c r="L267" i="3"/>
  <c r="K267" i="3"/>
  <c r="H267" i="3"/>
  <c r="G267" i="3"/>
  <c r="F267" i="3"/>
  <c r="T266" i="3"/>
  <c r="U266" i="3" s="1"/>
  <c r="R266" i="3"/>
  <c r="Q266" i="3"/>
  <c r="P266" i="3"/>
  <c r="M266" i="3"/>
  <c r="L266" i="3"/>
  <c r="K266" i="3"/>
  <c r="H266" i="3"/>
  <c r="G266" i="3"/>
  <c r="F266" i="3"/>
  <c r="U265" i="3"/>
  <c r="T265" i="3"/>
  <c r="R265" i="3"/>
  <c r="Q265" i="3"/>
  <c r="P265" i="3"/>
  <c r="M265" i="3"/>
  <c r="L265" i="3"/>
  <c r="K265" i="3"/>
  <c r="H265" i="3"/>
  <c r="G265" i="3"/>
  <c r="F265" i="3"/>
  <c r="U264" i="3"/>
  <c r="T264" i="3"/>
  <c r="R264" i="3"/>
  <c r="Q264" i="3"/>
  <c r="P264" i="3"/>
  <c r="M264" i="3"/>
  <c r="L264" i="3"/>
  <c r="K264" i="3"/>
  <c r="H264" i="3"/>
  <c r="G264" i="3"/>
  <c r="F264" i="3"/>
  <c r="T263" i="3"/>
  <c r="U263" i="3" s="1"/>
  <c r="R263" i="3"/>
  <c r="Q263" i="3"/>
  <c r="P263" i="3"/>
  <c r="M263" i="3"/>
  <c r="L263" i="3"/>
  <c r="K263" i="3"/>
  <c r="H263" i="3"/>
  <c r="G263" i="3"/>
  <c r="F263" i="3"/>
  <c r="T262" i="3"/>
  <c r="U262" i="3" s="1"/>
  <c r="R262" i="3"/>
  <c r="Q262" i="3"/>
  <c r="P262" i="3"/>
  <c r="M262" i="3"/>
  <c r="L262" i="3"/>
  <c r="K262" i="3"/>
  <c r="H262" i="3"/>
  <c r="G262" i="3"/>
  <c r="F262" i="3"/>
  <c r="U261" i="3"/>
  <c r="T261" i="3"/>
  <c r="R261" i="3"/>
  <c r="Q261" i="3"/>
  <c r="P261" i="3"/>
  <c r="M261" i="3"/>
  <c r="L261" i="3"/>
  <c r="K261" i="3"/>
  <c r="H261" i="3"/>
  <c r="G261" i="3"/>
  <c r="F261" i="3"/>
  <c r="U260" i="3"/>
  <c r="T260" i="3"/>
  <c r="R260" i="3"/>
  <c r="Q260" i="3"/>
  <c r="P260" i="3"/>
  <c r="M260" i="3"/>
  <c r="L260" i="3"/>
  <c r="K260" i="3"/>
  <c r="H260" i="3"/>
  <c r="G260" i="3"/>
  <c r="F260" i="3"/>
  <c r="T259" i="3"/>
  <c r="U259" i="3" s="1"/>
  <c r="R259" i="3"/>
  <c r="Q259" i="3"/>
  <c r="P259" i="3"/>
  <c r="M259" i="3"/>
  <c r="L259" i="3"/>
  <c r="K259" i="3"/>
  <c r="H259" i="3"/>
  <c r="G259" i="3"/>
  <c r="F259" i="3"/>
  <c r="T258" i="3"/>
  <c r="U258" i="3" s="1"/>
  <c r="R258" i="3"/>
  <c r="Q258" i="3"/>
  <c r="P258" i="3"/>
  <c r="M258" i="3"/>
  <c r="L258" i="3"/>
  <c r="K258" i="3"/>
  <c r="H258" i="3"/>
  <c r="G258" i="3"/>
  <c r="F258" i="3"/>
  <c r="U257" i="3"/>
  <c r="T257" i="3"/>
  <c r="R257" i="3"/>
  <c r="Q257" i="3"/>
  <c r="P257" i="3"/>
  <c r="M257" i="3"/>
  <c r="L257" i="3"/>
  <c r="K257" i="3"/>
  <c r="H257" i="3"/>
  <c r="G257" i="3"/>
  <c r="F257" i="3"/>
  <c r="U256" i="3"/>
  <c r="T256" i="3"/>
  <c r="R256" i="3"/>
  <c r="Q256" i="3"/>
  <c r="P256" i="3"/>
  <c r="M256" i="3"/>
  <c r="L256" i="3"/>
  <c r="K256" i="3"/>
  <c r="H256" i="3"/>
  <c r="G256" i="3"/>
  <c r="F256" i="3"/>
  <c r="U255" i="3"/>
  <c r="T255" i="3"/>
  <c r="R255" i="3"/>
  <c r="Q255" i="3"/>
  <c r="P255" i="3"/>
  <c r="M255" i="3"/>
  <c r="L255" i="3"/>
  <c r="K255" i="3"/>
  <c r="H255" i="3"/>
  <c r="G255" i="3"/>
  <c r="F255" i="3"/>
  <c r="T254" i="3"/>
  <c r="U254" i="3" s="1"/>
  <c r="R254" i="3"/>
  <c r="Q254" i="3"/>
  <c r="P254" i="3"/>
  <c r="M254" i="3"/>
  <c r="L254" i="3"/>
  <c r="K254" i="3"/>
  <c r="H254" i="3"/>
  <c r="G254" i="3"/>
  <c r="F254" i="3"/>
  <c r="U253" i="3"/>
  <c r="T253" i="3"/>
  <c r="R253" i="3"/>
  <c r="Q253" i="3"/>
  <c r="P253" i="3"/>
  <c r="M253" i="3"/>
  <c r="L253" i="3"/>
  <c r="K253" i="3"/>
  <c r="H253" i="3"/>
  <c r="G253" i="3"/>
  <c r="F253" i="3"/>
  <c r="U252" i="3"/>
  <c r="T252" i="3"/>
  <c r="R252" i="3"/>
  <c r="Q252" i="3"/>
  <c r="P252" i="3"/>
  <c r="M252" i="3"/>
  <c r="L252" i="3"/>
  <c r="K252" i="3"/>
  <c r="H252" i="3"/>
  <c r="G252" i="3"/>
  <c r="F252" i="3"/>
  <c r="T251" i="3"/>
  <c r="U251" i="3" s="1"/>
  <c r="R251" i="3"/>
  <c r="Q251" i="3"/>
  <c r="P251" i="3"/>
  <c r="M251" i="3"/>
  <c r="L251" i="3"/>
  <c r="K251" i="3"/>
  <c r="H251" i="3"/>
  <c r="G251" i="3"/>
  <c r="F251" i="3"/>
  <c r="T249" i="3"/>
  <c r="U249" i="3" s="1"/>
  <c r="R249" i="3"/>
  <c r="Q249" i="3"/>
  <c r="P249" i="3"/>
  <c r="M249" i="3"/>
  <c r="L249" i="3"/>
  <c r="K249" i="3"/>
  <c r="H249" i="3"/>
  <c r="G249" i="3"/>
  <c r="F249" i="3"/>
  <c r="U247" i="3"/>
  <c r="T247" i="3"/>
  <c r="M247" i="3"/>
  <c r="L247" i="3"/>
  <c r="K247" i="3"/>
  <c r="H247" i="3"/>
  <c r="G247" i="3"/>
  <c r="F247" i="3"/>
  <c r="U246" i="3"/>
  <c r="D4" i="4" s="1"/>
  <c r="T246" i="3"/>
  <c r="M246" i="3"/>
  <c r="L246" i="3"/>
  <c r="K246" i="3"/>
  <c r="H246" i="3"/>
  <c r="G246" i="3"/>
  <c r="F246" i="3"/>
  <c r="U244" i="3"/>
  <c r="T244" i="3"/>
  <c r="R244" i="3"/>
  <c r="Q244" i="3"/>
  <c r="P244" i="3"/>
  <c r="M244" i="3"/>
  <c r="L244" i="3"/>
  <c r="K244" i="3"/>
  <c r="H244" i="3"/>
  <c r="G244" i="3"/>
  <c r="F244" i="3"/>
  <c r="U243" i="3"/>
  <c r="T243" i="3"/>
  <c r="R243" i="3"/>
  <c r="Q243" i="3"/>
  <c r="P243" i="3"/>
  <c r="M243" i="3"/>
  <c r="L243" i="3"/>
  <c r="K243" i="3"/>
  <c r="H243" i="3"/>
  <c r="G243" i="3"/>
  <c r="F243" i="3"/>
  <c r="T242" i="3"/>
  <c r="U242" i="3" s="1"/>
  <c r="R242" i="3"/>
  <c r="Q242" i="3"/>
  <c r="P242" i="3"/>
  <c r="M242" i="3"/>
  <c r="L242" i="3"/>
  <c r="K242" i="3"/>
  <c r="H242" i="3"/>
  <c r="G242" i="3"/>
  <c r="F242" i="3"/>
  <c r="T241" i="3"/>
  <c r="U241" i="3" s="1"/>
  <c r="R241" i="3"/>
  <c r="Q241" i="3"/>
  <c r="P241" i="3"/>
  <c r="M241" i="3"/>
  <c r="L241" i="3"/>
  <c r="K241" i="3"/>
  <c r="H241" i="3"/>
  <c r="G241" i="3"/>
  <c r="F241" i="3"/>
  <c r="U240" i="3"/>
  <c r="T240" i="3"/>
  <c r="R240" i="3"/>
  <c r="Q240" i="3"/>
  <c r="P240" i="3"/>
  <c r="M240" i="3"/>
  <c r="L240" i="3"/>
  <c r="K240" i="3"/>
  <c r="H240" i="3"/>
  <c r="G240" i="3"/>
  <c r="F240" i="3"/>
  <c r="U239" i="3"/>
  <c r="T239" i="3"/>
  <c r="R239" i="3"/>
  <c r="Q239" i="3"/>
  <c r="P239" i="3"/>
  <c r="M239" i="3"/>
  <c r="L239" i="3"/>
  <c r="K239" i="3"/>
  <c r="H239" i="3"/>
  <c r="G239" i="3"/>
  <c r="F239" i="3"/>
  <c r="T238" i="3"/>
  <c r="U238" i="3" s="1"/>
  <c r="R238" i="3"/>
  <c r="Q238" i="3"/>
  <c r="P238" i="3"/>
  <c r="M238" i="3"/>
  <c r="L238" i="3"/>
  <c r="K238" i="3"/>
  <c r="H238" i="3"/>
  <c r="G238" i="3"/>
  <c r="F238" i="3"/>
  <c r="T237" i="3"/>
  <c r="U237" i="3" s="1"/>
  <c r="R237" i="3"/>
  <c r="Q237" i="3"/>
  <c r="P237" i="3"/>
  <c r="M237" i="3"/>
  <c r="L237" i="3"/>
  <c r="K237" i="3"/>
  <c r="H237" i="3"/>
  <c r="G237" i="3"/>
  <c r="F237" i="3"/>
  <c r="U236" i="3"/>
  <c r="T236" i="3"/>
  <c r="R236" i="3"/>
  <c r="Q236" i="3"/>
  <c r="P236" i="3"/>
  <c r="M236" i="3"/>
  <c r="L236" i="3"/>
  <c r="K236" i="3"/>
  <c r="H236" i="3"/>
  <c r="G236" i="3"/>
  <c r="F236" i="3"/>
  <c r="U235" i="3"/>
  <c r="T235" i="3"/>
  <c r="R235" i="3"/>
  <c r="Q235" i="3"/>
  <c r="P235" i="3"/>
  <c r="M235" i="3"/>
  <c r="L235" i="3"/>
  <c r="K235" i="3"/>
  <c r="H235" i="3"/>
  <c r="G235" i="3"/>
  <c r="F235" i="3"/>
  <c r="U234" i="3"/>
  <c r="T234" i="3"/>
  <c r="R234" i="3"/>
  <c r="Q234" i="3"/>
  <c r="P234" i="3"/>
  <c r="M234" i="3"/>
  <c r="L234" i="3"/>
  <c r="K234" i="3"/>
  <c r="H234" i="3"/>
  <c r="G234" i="3"/>
  <c r="F234" i="3"/>
  <c r="T233" i="3"/>
  <c r="U233" i="3" s="1"/>
  <c r="R233" i="3"/>
  <c r="Q233" i="3"/>
  <c r="P233" i="3"/>
  <c r="M233" i="3"/>
  <c r="L233" i="3"/>
  <c r="K233" i="3"/>
  <c r="H233" i="3"/>
  <c r="G233" i="3"/>
  <c r="F233" i="3"/>
  <c r="U232" i="3"/>
  <c r="T232" i="3"/>
  <c r="R232" i="3"/>
  <c r="Q232" i="3"/>
  <c r="P232" i="3"/>
  <c r="M232" i="3"/>
  <c r="L232" i="3"/>
  <c r="K232" i="3"/>
  <c r="H232" i="3"/>
  <c r="G232" i="3"/>
  <c r="F232" i="3"/>
  <c r="U231" i="3"/>
  <c r="T231" i="3"/>
  <c r="R231" i="3"/>
  <c r="Q231" i="3"/>
  <c r="P231" i="3"/>
  <c r="M231" i="3"/>
  <c r="L231" i="3"/>
  <c r="K231" i="3"/>
  <c r="H231" i="3"/>
  <c r="G231" i="3"/>
  <c r="F231" i="3"/>
  <c r="T230" i="3"/>
  <c r="U230" i="3" s="1"/>
  <c r="R230" i="3"/>
  <c r="Q230" i="3"/>
  <c r="P230" i="3"/>
  <c r="M230" i="3"/>
  <c r="L230" i="3"/>
  <c r="K230" i="3"/>
  <c r="H230" i="3"/>
  <c r="G230" i="3"/>
  <c r="F230" i="3"/>
  <c r="T229" i="3"/>
  <c r="U229" i="3" s="1"/>
  <c r="R229" i="3"/>
  <c r="Q229" i="3"/>
  <c r="P229" i="3"/>
  <c r="M229" i="3"/>
  <c r="L229" i="3"/>
  <c r="K229" i="3"/>
  <c r="H229" i="3"/>
  <c r="G229" i="3"/>
  <c r="F229" i="3"/>
  <c r="U228" i="3"/>
  <c r="T228" i="3"/>
  <c r="R228" i="3"/>
  <c r="Q228" i="3"/>
  <c r="P228" i="3"/>
  <c r="M228" i="3"/>
  <c r="L228" i="3"/>
  <c r="K228" i="3"/>
  <c r="H228" i="3"/>
  <c r="G228" i="3"/>
  <c r="F228" i="3"/>
  <c r="U227" i="3"/>
  <c r="T227" i="3"/>
  <c r="R227" i="3"/>
  <c r="Q227" i="3"/>
  <c r="P227" i="3"/>
  <c r="M227" i="3"/>
  <c r="L227" i="3"/>
  <c r="K227" i="3"/>
  <c r="H227" i="3"/>
  <c r="G227" i="3"/>
  <c r="F227" i="3"/>
  <c r="T226" i="3"/>
  <c r="U226" i="3" s="1"/>
  <c r="R226" i="3"/>
  <c r="Q226" i="3"/>
  <c r="P226" i="3"/>
  <c r="M226" i="3"/>
  <c r="L226" i="3"/>
  <c r="K226" i="3"/>
  <c r="H226" i="3"/>
  <c r="G226" i="3"/>
  <c r="F226" i="3"/>
  <c r="T225" i="3"/>
  <c r="U225" i="3" s="1"/>
  <c r="R225" i="3"/>
  <c r="Q225" i="3"/>
  <c r="P225" i="3"/>
  <c r="M225" i="3"/>
  <c r="L225" i="3"/>
  <c r="K225" i="3"/>
  <c r="H225" i="3"/>
  <c r="G225" i="3"/>
  <c r="F225" i="3"/>
  <c r="U224" i="3"/>
  <c r="T224" i="3"/>
  <c r="R224" i="3"/>
  <c r="Q224" i="3"/>
  <c r="P224" i="3"/>
  <c r="M224" i="3"/>
  <c r="L224" i="3"/>
  <c r="K224" i="3"/>
  <c r="H224" i="3"/>
  <c r="G224" i="3"/>
  <c r="F224" i="3"/>
  <c r="U223" i="3"/>
  <c r="T223" i="3"/>
  <c r="R223" i="3"/>
  <c r="Q223" i="3"/>
  <c r="P223" i="3"/>
  <c r="M223" i="3"/>
  <c r="L223" i="3"/>
  <c r="K223" i="3"/>
  <c r="H223" i="3"/>
  <c r="G223" i="3"/>
  <c r="F223" i="3"/>
  <c r="U222" i="3"/>
  <c r="T222" i="3"/>
  <c r="R222" i="3"/>
  <c r="Q222" i="3"/>
  <c r="P222" i="3"/>
  <c r="M222" i="3"/>
  <c r="L222" i="3"/>
  <c r="K222" i="3"/>
  <c r="H222" i="3"/>
  <c r="G222" i="3"/>
  <c r="F222" i="3"/>
  <c r="T221" i="3"/>
  <c r="U221" i="3" s="1"/>
  <c r="R221" i="3"/>
  <c r="Q221" i="3"/>
  <c r="P221" i="3"/>
  <c r="M221" i="3"/>
  <c r="L221" i="3"/>
  <c r="K221" i="3"/>
  <c r="H221" i="3"/>
  <c r="G221" i="3"/>
  <c r="F221" i="3"/>
  <c r="U220" i="3"/>
  <c r="T220" i="3"/>
  <c r="R220" i="3"/>
  <c r="Q220" i="3"/>
  <c r="P220" i="3"/>
  <c r="M220" i="3"/>
  <c r="L220" i="3"/>
  <c r="K220" i="3"/>
  <c r="H220" i="3"/>
  <c r="G220" i="3"/>
  <c r="F220" i="3"/>
  <c r="U219" i="3"/>
  <c r="T219" i="3"/>
  <c r="R219" i="3"/>
  <c r="Q219" i="3"/>
  <c r="P219" i="3"/>
  <c r="M219" i="3"/>
  <c r="L219" i="3"/>
  <c r="K219" i="3"/>
  <c r="H219" i="3"/>
  <c r="G219" i="3"/>
  <c r="F219" i="3"/>
  <c r="T218" i="3"/>
  <c r="U218" i="3" s="1"/>
  <c r="R218" i="3"/>
  <c r="Q218" i="3"/>
  <c r="P218" i="3"/>
  <c r="M218" i="3"/>
  <c r="L218" i="3"/>
  <c r="K218" i="3"/>
  <c r="H218" i="3"/>
  <c r="G218" i="3"/>
  <c r="F218" i="3"/>
  <c r="T217" i="3"/>
  <c r="U217" i="3" s="1"/>
  <c r="R217" i="3"/>
  <c r="Q217" i="3"/>
  <c r="P217" i="3"/>
  <c r="M217" i="3"/>
  <c r="L217" i="3"/>
  <c r="K217" i="3"/>
  <c r="H217" i="3"/>
  <c r="G217" i="3"/>
  <c r="F217" i="3"/>
  <c r="U216" i="3"/>
  <c r="T216" i="3"/>
  <c r="R216" i="3"/>
  <c r="Q216" i="3"/>
  <c r="P216" i="3"/>
  <c r="M216" i="3"/>
  <c r="L216" i="3"/>
  <c r="K216" i="3"/>
  <c r="H216" i="3"/>
  <c r="G216" i="3"/>
  <c r="F216" i="3"/>
  <c r="U215" i="3"/>
  <c r="T215" i="3"/>
  <c r="R215" i="3"/>
  <c r="Q215" i="3"/>
  <c r="P215" i="3"/>
  <c r="M215" i="3"/>
  <c r="L215" i="3"/>
  <c r="K215" i="3"/>
  <c r="H215" i="3"/>
  <c r="G215" i="3"/>
  <c r="F215" i="3"/>
  <c r="T214" i="3"/>
  <c r="U214" i="3" s="1"/>
  <c r="R214" i="3"/>
  <c r="Q214" i="3"/>
  <c r="P214" i="3"/>
  <c r="M214" i="3"/>
  <c r="L214" i="3"/>
  <c r="K214" i="3"/>
  <c r="H214" i="3"/>
  <c r="G214" i="3"/>
  <c r="F214" i="3"/>
  <c r="T213" i="3"/>
  <c r="U213" i="3" s="1"/>
  <c r="R213" i="3"/>
  <c r="Q213" i="3"/>
  <c r="P213" i="3"/>
  <c r="M213" i="3"/>
  <c r="L213" i="3"/>
  <c r="K213" i="3"/>
  <c r="H213" i="3"/>
  <c r="G213" i="3"/>
  <c r="F213" i="3"/>
  <c r="U212" i="3"/>
  <c r="T212" i="3"/>
  <c r="R212" i="3"/>
  <c r="Q212" i="3"/>
  <c r="P212" i="3"/>
  <c r="M212" i="3"/>
  <c r="L212" i="3"/>
  <c r="K212" i="3"/>
  <c r="H212" i="3"/>
  <c r="G212" i="3"/>
  <c r="F212" i="3"/>
  <c r="U211" i="3"/>
  <c r="T211" i="3"/>
  <c r="R211" i="3"/>
  <c r="Q211" i="3"/>
  <c r="P211" i="3"/>
  <c r="M211" i="3"/>
  <c r="L211" i="3"/>
  <c r="K211" i="3"/>
  <c r="H211" i="3"/>
  <c r="G211" i="3"/>
  <c r="F211" i="3"/>
  <c r="U210" i="3"/>
  <c r="T210" i="3"/>
  <c r="R210" i="3"/>
  <c r="Q210" i="3"/>
  <c r="P210" i="3"/>
  <c r="M210" i="3"/>
  <c r="L210" i="3"/>
  <c r="K210" i="3"/>
  <c r="H210" i="3"/>
  <c r="G210" i="3"/>
  <c r="F210" i="3"/>
  <c r="T209" i="3"/>
  <c r="U209" i="3" s="1"/>
  <c r="R209" i="3"/>
  <c r="Q209" i="3"/>
  <c r="P209" i="3"/>
  <c r="M209" i="3"/>
  <c r="L209" i="3"/>
  <c r="K209" i="3"/>
  <c r="H209" i="3"/>
  <c r="G209" i="3"/>
  <c r="F209" i="3"/>
  <c r="U208" i="3"/>
  <c r="T208" i="3"/>
  <c r="R208" i="3"/>
  <c r="Q208" i="3"/>
  <c r="P208" i="3"/>
  <c r="M208" i="3"/>
  <c r="L208" i="3"/>
  <c r="K208" i="3"/>
  <c r="H208" i="3"/>
  <c r="G208" i="3"/>
  <c r="F208" i="3"/>
  <c r="U207" i="3"/>
  <c r="T207" i="3"/>
  <c r="R207" i="3"/>
  <c r="Q207" i="3"/>
  <c r="P207" i="3"/>
  <c r="M207" i="3"/>
  <c r="L207" i="3"/>
  <c r="K207" i="3"/>
  <c r="H207" i="3"/>
  <c r="G207" i="3"/>
  <c r="F207" i="3"/>
  <c r="T206" i="3"/>
  <c r="U206" i="3" s="1"/>
  <c r="R206" i="3"/>
  <c r="Q206" i="3"/>
  <c r="P206" i="3"/>
  <c r="M206" i="3"/>
  <c r="L206" i="3"/>
  <c r="K206" i="3"/>
  <c r="H206" i="3"/>
  <c r="G206" i="3"/>
  <c r="F206" i="3"/>
  <c r="T205" i="3"/>
  <c r="U205" i="3" s="1"/>
  <c r="R205" i="3"/>
  <c r="Q205" i="3"/>
  <c r="P205" i="3"/>
  <c r="M205" i="3"/>
  <c r="L205" i="3"/>
  <c r="K205" i="3"/>
  <c r="H205" i="3"/>
  <c r="G205" i="3"/>
  <c r="F205" i="3"/>
  <c r="U204" i="3"/>
  <c r="T204" i="3"/>
  <c r="R204" i="3"/>
  <c r="Q204" i="3"/>
  <c r="P204" i="3"/>
  <c r="M204" i="3"/>
  <c r="L204" i="3"/>
  <c r="K204" i="3"/>
  <c r="H204" i="3"/>
  <c r="G204" i="3"/>
  <c r="F204" i="3"/>
  <c r="U203" i="3"/>
  <c r="T203" i="3"/>
  <c r="R203" i="3"/>
  <c r="Q203" i="3"/>
  <c r="P203" i="3"/>
  <c r="M203" i="3"/>
  <c r="L203" i="3"/>
  <c r="K203" i="3"/>
  <c r="H203" i="3"/>
  <c r="G203" i="3"/>
  <c r="F203" i="3"/>
  <c r="T202" i="3"/>
  <c r="U202" i="3" s="1"/>
  <c r="R202" i="3"/>
  <c r="Q202" i="3"/>
  <c r="P202" i="3"/>
  <c r="M202" i="3"/>
  <c r="L202" i="3"/>
  <c r="K202" i="3"/>
  <c r="H202" i="3"/>
  <c r="G202" i="3"/>
  <c r="F202" i="3"/>
  <c r="T201" i="3"/>
  <c r="U201" i="3" s="1"/>
  <c r="R201" i="3"/>
  <c r="Q201" i="3"/>
  <c r="P201" i="3"/>
  <c r="M201" i="3"/>
  <c r="L201" i="3"/>
  <c r="K201" i="3"/>
  <c r="H201" i="3"/>
  <c r="G201" i="3"/>
  <c r="F201" i="3"/>
  <c r="U200" i="3"/>
  <c r="T200" i="3"/>
  <c r="R200" i="3"/>
  <c r="Q200" i="3"/>
  <c r="P200" i="3"/>
  <c r="M200" i="3"/>
  <c r="L200" i="3"/>
  <c r="K200" i="3"/>
  <c r="H200" i="3"/>
  <c r="G200" i="3"/>
  <c r="F200" i="3"/>
  <c r="U199" i="3"/>
  <c r="T199" i="3"/>
  <c r="R199" i="3"/>
  <c r="Q199" i="3"/>
  <c r="P199" i="3"/>
  <c r="M199" i="3"/>
  <c r="L199" i="3"/>
  <c r="K199" i="3"/>
  <c r="H199" i="3"/>
  <c r="G199" i="3"/>
  <c r="F199" i="3"/>
  <c r="U198" i="3"/>
  <c r="T198" i="3"/>
  <c r="R198" i="3"/>
  <c r="Q198" i="3"/>
  <c r="P198" i="3"/>
  <c r="M198" i="3"/>
  <c r="L198" i="3"/>
  <c r="K198" i="3"/>
  <c r="H198" i="3"/>
  <c r="G198" i="3"/>
  <c r="F198" i="3"/>
  <c r="T197" i="3"/>
  <c r="U197" i="3" s="1"/>
  <c r="R197" i="3"/>
  <c r="Q197" i="3"/>
  <c r="P197" i="3"/>
  <c r="M197" i="3"/>
  <c r="L197" i="3"/>
  <c r="K197" i="3"/>
  <c r="H197" i="3"/>
  <c r="G197" i="3"/>
  <c r="F197" i="3"/>
  <c r="U196" i="3"/>
  <c r="T196" i="3"/>
  <c r="R196" i="3"/>
  <c r="Q196" i="3"/>
  <c r="P196" i="3"/>
  <c r="M196" i="3"/>
  <c r="L196" i="3"/>
  <c r="K196" i="3"/>
  <c r="H196" i="3"/>
  <c r="G196" i="3"/>
  <c r="F196" i="3"/>
  <c r="U195" i="3"/>
  <c r="T195" i="3"/>
  <c r="R195" i="3"/>
  <c r="Q195" i="3"/>
  <c r="P195" i="3"/>
  <c r="M195" i="3"/>
  <c r="L195" i="3"/>
  <c r="K195" i="3"/>
  <c r="H195" i="3"/>
  <c r="G195" i="3"/>
  <c r="F195" i="3"/>
  <c r="T194" i="3"/>
  <c r="U194" i="3" s="1"/>
  <c r="R194" i="3"/>
  <c r="Q194" i="3"/>
  <c r="P194" i="3"/>
  <c r="M194" i="3"/>
  <c r="L194" i="3"/>
  <c r="K194" i="3"/>
  <c r="H194" i="3"/>
  <c r="G194" i="3"/>
  <c r="F194" i="3"/>
  <c r="T193" i="3"/>
  <c r="U193" i="3" s="1"/>
  <c r="R193" i="3"/>
  <c r="Q193" i="3"/>
  <c r="P193" i="3"/>
  <c r="M193" i="3"/>
  <c r="L193" i="3"/>
  <c r="K193" i="3"/>
  <c r="H193" i="3"/>
  <c r="G193" i="3"/>
  <c r="F193" i="3"/>
  <c r="U192" i="3"/>
  <c r="T192" i="3"/>
  <c r="R192" i="3"/>
  <c r="Q192" i="3"/>
  <c r="P192" i="3"/>
  <c r="M192" i="3"/>
  <c r="L192" i="3"/>
  <c r="K192" i="3"/>
  <c r="H192" i="3"/>
  <c r="G192" i="3"/>
  <c r="F192" i="3"/>
  <c r="U191" i="3"/>
  <c r="T191" i="3"/>
  <c r="R191" i="3"/>
  <c r="Q191" i="3"/>
  <c r="P191" i="3"/>
  <c r="M191" i="3"/>
  <c r="L191" i="3"/>
  <c r="K191" i="3"/>
  <c r="H191" i="3"/>
  <c r="G191" i="3"/>
  <c r="F191" i="3"/>
  <c r="T190" i="3"/>
  <c r="U190" i="3" s="1"/>
  <c r="R190" i="3"/>
  <c r="Q190" i="3"/>
  <c r="P190" i="3"/>
  <c r="M190" i="3"/>
  <c r="L190" i="3"/>
  <c r="K190" i="3"/>
  <c r="H190" i="3"/>
  <c r="G190" i="3"/>
  <c r="F190" i="3"/>
  <c r="T189" i="3"/>
  <c r="U189" i="3" s="1"/>
  <c r="R189" i="3"/>
  <c r="Q189" i="3"/>
  <c r="P189" i="3"/>
  <c r="M189" i="3"/>
  <c r="L189" i="3"/>
  <c r="K189" i="3"/>
  <c r="H189" i="3"/>
  <c r="G189" i="3"/>
  <c r="F189" i="3"/>
  <c r="U188" i="3"/>
  <c r="T188" i="3"/>
  <c r="R188" i="3"/>
  <c r="Q188" i="3"/>
  <c r="P188" i="3"/>
  <c r="M188" i="3"/>
  <c r="L188" i="3"/>
  <c r="K188" i="3"/>
  <c r="H188" i="3"/>
  <c r="G188" i="3"/>
  <c r="F188" i="3"/>
  <c r="U187" i="3"/>
  <c r="T187" i="3"/>
  <c r="R187" i="3"/>
  <c r="Q187" i="3"/>
  <c r="P187" i="3"/>
  <c r="M187" i="3"/>
  <c r="L187" i="3"/>
  <c r="K187" i="3"/>
  <c r="H187" i="3"/>
  <c r="G187" i="3"/>
  <c r="F187" i="3"/>
  <c r="U186" i="3"/>
  <c r="T186" i="3"/>
  <c r="R186" i="3"/>
  <c r="Q186" i="3"/>
  <c r="P186" i="3"/>
  <c r="M186" i="3"/>
  <c r="L186" i="3"/>
  <c r="K186" i="3"/>
  <c r="H186" i="3"/>
  <c r="G186" i="3"/>
  <c r="F186" i="3"/>
  <c r="T185" i="3"/>
  <c r="U185" i="3" s="1"/>
  <c r="R185" i="3"/>
  <c r="Q185" i="3"/>
  <c r="P185" i="3"/>
  <c r="M185" i="3"/>
  <c r="L185" i="3"/>
  <c r="K185" i="3"/>
  <c r="H185" i="3"/>
  <c r="G185" i="3"/>
  <c r="F185" i="3"/>
  <c r="U184" i="3"/>
  <c r="T184" i="3"/>
  <c r="R184" i="3"/>
  <c r="Q184" i="3"/>
  <c r="P184" i="3"/>
  <c r="M184" i="3"/>
  <c r="L184" i="3"/>
  <c r="K184" i="3"/>
  <c r="H184" i="3"/>
  <c r="G184" i="3"/>
  <c r="F184" i="3"/>
  <c r="U183" i="3"/>
  <c r="T183" i="3"/>
  <c r="R183" i="3"/>
  <c r="Q183" i="3"/>
  <c r="P183" i="3"/>
  <c r="M183" i="3"/>
  <c r="L183" i="3"/>
  <c r="K183" i="3"/>
  <c r="H183" i="3"/>
  <c r="G183" i="3"/>
  <c r="F183" i="3"/>
  <c r="T182" i="3"/>
  <c r="U182" i="3" s="1"/>
  <c r="R182" i="3"/>
  <c r="Q182" i="3"/>
  <c r="P182" i="3"/>
  <c r="M182" i="3"/>
  <c r="L182" i="3"/>
  <c r="K182" i="3"/>
  <c r="H182" i="3"/>
  <c r="G182" i="3"/>
  <c r="F182" i="3"/>
  <c r="T181" i="3"/>
  <c r="U181" i="3" s="1"/>
  <c r="R181" i="3"/>
  <c r="Q181" i="3"/>
  <c r="P181" i="3"/>
  <c r="M181" i="3"/>
  <c r="L181" i="3"/>
  <c r="K181" i="3"/>
  <c r="H181" i="3"/>
  <c r="G181" i="3"/>
  <c r="F181" i="3"/>
  <c r="U180" i="3"/>
  <c r="T180" i="3"/>
  <c r="R180" i="3"/>
  <c r="Q180" i="3"/>
  <c r="P180" i="3"/>
  <c r="M180" i="3"/>
  <c r="L180" i="3"/>
  <c r="K180" i="3"/>
  <c r="H180" i="3"/>
  <c r="G180" i="3"/>
  <c r="F180" i="3"/>
  <c r="U179" i="3"/>
  <c r="T179" i="3"/>
  <c r="R179" i="3"/>
  <c r="Q179" i="3"/>
  <c r="P179" i="3"/>
  <c r="M179" i="3"/>
  <c r="L179" i="3"/>
  <c r="K179" i="3"/>
  <c r="H179" i="3"/>
  <c r="G179" i="3"/>
  <c r="F179" i="3"/>
  <c r="T178" i="3"/>
  <c r="U178" i="3" s="1"/>
  <c r="R178" i="3"/>
  <c r="Q178" i="3"/>
  <c r="P178" i="3"/>
  <c r="M178" i="3"/>
  <c r="L178" i="3"/>
  <c r="K178" i="3"/>
  <c r="H178" i="3"/>
  <c r="G178" i="3"/>
  <c r="F178" i="3"/>
  <c r="T177" i="3"/>
  <c r="U177" i="3" s="1"/>
  <c r="R177" i="3"/>
  <c r="Q177" i="3"/>
  <c r="P177" i="3"/>
  <c r="M177" i="3"/>
  <c r="L177" i="3"/>
  <c r="K177" i="3"/>
  <c r="H177" i="3"/>
  <c r="G177" i="3"/>
  <c r="F177" i="3"/>
  <c r="U176" i="3"/>
  <c r="T176" i="3"/>
  <c r="R176" i="3"/>
  <c r="Q176" i="3"/>
  <c r="P176" i="3"/>
  <c r="M176" i="3"/>
  <c r="L176" i="3"/>
  <c r="K176" i="3"/>
  <c r="H176" i="3"/>
  <c r="G176" i="3"/>
  <c r="F176" i="3"/>
  <c r="U175" i="3"/>
  <c r="T175" i="3"/>
  <c r="R175" i="3"/>
  <c r="Q175" i="3"/>
  <c r="P175" i="3"/>
  <c r="M175" i="3"/>
  <c r="L175" i="3"/>
  <c r="K175" i="3"/>
  <c r="H175" i="3"/>
  <c r="G175" i="3"/>
  <c r="F175" i="3"/>
  <c r="U174" i="3"/>
  <c r="T174" i="3"/>
  <c r="R174" i="3"/>
  <c r="Q174" i="3"/>
  <c r="P174" i="3"/>
  <c r="M174" i="3"/>
  <c r="L174" i="3"/>
  <c r="K174" i="3"/>
  <c r="H174" i="3"/>
  <c r="G174" i="3"/>
  <c r="F174" i="3"/>
  <c r="T173" i="3"/>
  <c r="U173" i="3" s="1"/>
  <c r="R173" i="3"/>
  <c r="Q173" i="3"/>
  <c r="P173" i="3"/>
  <c r="M173" i="3"/>
  <c r="L173" i="3"/>
  <c r="K173" i="3"/>
  <c r="H173" i="3"/>
  <c r="G173" i="3"/>
  <c r="F173" i="3"/>
  <c r="U172" i="3"/>
  <c r="T172" i="3"/>
  <c r="R172" i="3"/>
  <c r="Q172" i="3"/>
  <c r="P172" i="3"/>
  <c r="M172" i="3"/>
  <c r="L172" i="3"/>
  <c r="K172" i="3"/>
  <c r="H172" i="3"/>
  <c r="G172" i="3"/>
  <c r="F172" i="3"/>
  <c r="U171" i="3"/>
  <c r="T171" i="3"/>
  <c r="R171" i="3"/>
  <c r="Q171" i="3"/>
  <c r="P171" i="3"/>
  <c r="M171" i="3"/>
  <c r="L171" i="3"/>
  <c r="K171" i="3"/>
  <c r="H171" i="3"/>
  <c r="G171" i="3"/>
  <c r="F171" i="3"/>
  <c r="T170" i="3"/>
  <c r="U170" i="3" s="1"/>
  <c r="R170" i="3"/>
  <c r="Q170" i="3"/>
  <c r="P170" i="3"/>
  <c r="M170" i="3"/>
  <c r="L170" i="3"/>
  <c r="K170" i="3"/>
  <c r="H170" i="3"/>
  <c r="G170" i="3"/>
  <c r="F170" i="3"/>
  <c r="T169" i="3"/>
  <c r="U169" i="3" s="1"/>
  <c r="R169" i="3"/>
  <c r="Q169" i="3"/>
  <c r="P169" i="3"/>
  <c r="M169" i="3"/>
  <c r="L169" i="3"/>
  <c r="K169" i="3"/>
  <c r="H169" i="3"/>
  <c r="G169" i="3"/>
  <c r="F169" i="3"/>
  <c r="U168" i="3"/>
  <c r="T168" i="3"/>
  <c r="R168" i="3"/>
  <c r="Q168" i="3"/>
  <c r="P168" i="3"/>
  <c r="M168" i="3"/>
  <c r="L168" i="3"/>
  <c r="K168" i="3"/>
  <c r="H168" i="3"/>
  <c r="G168" i="3"/>
  <c r="F168" i="3"/>
  <c r="U167" i="3"/>
  <c r="T167" i="3"/>
  <c r="R167" i="3"/>
  <c r="Q167" i="3"/>
  <c r="P167" i="3"/>
  <c r="M167" i="3"/>
  <c r="L167" i="3"/>
  <c r="K167" i="3"/>
  <c r="H167" i="3"/>
  <c r="G167" i="3"/>
  <c r="F167" i="3"/>
  <c r="T166" i="3"/>
  <c r="U166" i="3" s="1"/>
  <c r="R166" i="3"/>
  <c r="Q166" i="3"/>
  <c r="P166" i="3"/>
  <c r="M166" i="3"/>
  <c r="L166" i="3"/>
  <c r="K166" i="3"/>
  <c r="H166" i="3"/>
  <c r="G166" i="3"/>
  <c r="F166" i="3"/>
  <c r="T165" i="3"/>
  <c r="U165" i="3" s="1"/>
  <c r="R165" i="3"/>
  <c r="Q165" i="3"/>
  <c r="P165" i="3"/>
  <c r="M165" i="3"/>
  <c r="L165" i="3"/>
  <c r="K165" i="3"/>
  <c r="H165" i="3"/>
  <c r="G165" i="3"/>
  <c r="F165" i="3"/>
  <c r="U164" i="3"/>
  <c r="T164" i="3"/>
  <c r="R164" i="3"/>
  <c r="Q164" i="3"/>
  <c r="P164" i="3"/>
  <c r="M164" i="3"/>
  <c r="L164" i="3"/>
  <c r="K164" i="3"/>
  <c r="H164" i="3"/>
  <c r="G164" i="3"/>
  <c r="F164" i="3"/>
  <c r="U163" i="3"/>
  <c r="T163" i="3"/>
  <c r="R163" i="3"/>
  <c r="Q163" i="3"/>
  <c r="P163" i="3"/>
  <c r="M163" i="3"/>
  <c r="L163" i="3"/>
  <c r="K163" i="3"/>
  <c r="H163" i="3"/>
  <c r="G163" i="3"/>
  <c r="F163" i="3"/>
  <c r="U162" i="3"/>
  <c r="T162" i="3"/>
  <c r="R162" i="3"/>
  <c r="Q162" i="3"/>
  <c r="P162" i="3"/>
  <c r="M162" i="3"/>
  <c r="L162" i="3"/>
  <c r="K162" i="3"/>
  <c r="H162" i="3"/>
  <c r="G162" i="3"/>
  <c r="F162" i="3"/>
  <c r="T161" i="3"/>
  <c r="U161" i="3" s="1"/>
  <c r="R161" i="3"/>
  <c r="Q161" i="3"/>
  <c r="P161" i="3"/>
  <c r="M161" i="3"/>
  <c r="L161" i="3"/>
  <c r="K161" i="3"/>
  <c r="H161" i="3"/>
  <c r="G161" i="3"/>
  <c r="F161" i="3"/>
  <c r="U160" i="3"/>
  <c r="T160" i="3"/>
  <c r="R160" i="3"/>
  <c r="Q160" i="3"/>
  <c r="P160" i="3"/>
  <c r="M160" i="3"/>
  <c r="L160" i="3"/>
  <c r="K160" i="3"/>
  <c r="H160" i="3"/>
  <c r="G160" i="3"/>
  <c r="F160" i="3"/>
  <c r="U159" i="3"/>
  <c r="T159" i="3"/>
  <c r="R159" i="3"/>
  <c r="Q159" i="3"/>
  <c r="P159" i="3"/>
  <c r="M159" i="3"/>
  <c r="L159" i="3"/>
  <c r="K159" i="3"/>
  <c r="H159" i="3"/>
  <c r="G159" i="3"/>
  <c r="F159" i="3"/>
  <c r="T158" i="3"/>
  <c r="U158" i="3" s="1"/>
  <c r="R158" i="3"/>
  <c r="Q158" i="3"/>
  <c r="P158" i="3"/>
  <c r="M158" i="3"/>
  <c r="L158" i="3"/>
  <c r="K158" i="3"/>
  <c r="H158" i="3"/>
  <c r="G158" i="3"/>
  <c r="F158" i="3"/>
  <c r="T157" i="3"/>
  <c r="U157" i="3" s="1"/>
  <c r="R157" i="3"/>
  <c r="Q157" i="3"/>
  <c r="P157" i="3"/>
  <c r="M157" i="3"/>
  <c r="L157" i="3"/>
  <c r="K157" i="3"/>
  <c r="H157" i="3"/>
  <c r="G157" i="3"/>
  <c r="F157" i="3"/>
  <c r="U156" i="3"/>
  <c r="T156" i="3"/>
  <c r="R156" i="3"/>
  <c r="Q156" i="3"/>
  <c r="P156" i="3"/>
  <c r="M156" i="3"/>
  <c r="L156" i="3"/>
  <c r="K156" i="3"/>
  <c r="H156" i="3"/>
  <c r="G156" i="3"/>
  <c r="F156" i="3"/>
  <c r="U155" i="3"/>
  <c r="T155" i="3"/>
  <c r="R155" i="3"/>
  <c r="Q155" i="3"/>
  <c r="P155" i="3"/>
  <c r="M155" i="3"/>
  <c r="L155" i="3"/>
  <c r="K155" i="3"/>
  <c r="H155" i="3"/>
  <c r="G155" i="3"/>
  <c r="F155" i="3"/>
  <c r="T154" i="3"/>
  <c r="U154" i="3" s="1"/>
  <c r="R154" i="3"/>
  <c r="Q154" i="3"/>
  <c r="P154" i="3"/>
  <c r="M154" i="3"/>
  <c r="L154" i="3"/>
  <c r="K154" i="3"/>
  <c r="H154" i="3"/>
  <c r="G154" i="3"/>
  <c r="F154" i="3"/>
  <c r="T153" i="3"/>
  <c r="U153" i="3" s="1"/>
  <c r="R153" i="3"/>
  <c r="Q153" i="3"/>
  <c r="P153" i="3"/>
  <c r="M153" i="3"/>
  <c r="L153" i="3"/>
  <c r="K153" i="3"/>
  <c r="H153" i="3"/>
  <c r="G153" i="3"/>
  <c r="F153" i="3"/>
  <c r="U152" i="3"/>
  <c r="T152" i="3"/>
  <c r="R152" i="3"/>
  <c r="Q152" i="3"/>
  <c r="P152" i="3"/>
  <c r="M152" i="3"/>
  <c r="L152" i="3"/>
  <c r="K152" i="3"/>
  <c r="H152" i="3"/>
  <c r="G152" i="3"/>
  <c r="F152" i="3"/>
  <c r="U151" i="3"/>
  <c r="T151" i="3"/>
  <c r="R151" i="3"/>
  <c r="Q151" i="3"/>
  <c r="P151" i="3"/>
  <c r="M151" i="3"/>
  <c r="L151" i="3"/>
  <c r="K151" i="3"/>
  <c r="H151" i="3"/>
  <c r="G151" i="3"/>
  <c r="F151" i="3"/>
  <c r="U150" i="3"/>
  <c r="T150" i="3"/>
  <c r="R150" i="3"/>
  <c r="Q150" i="3"/>
  <c r="P150" i="3"/>
  <c r="M150" i="3"/>
  <c r="L150" i="3"/>
  <c r="K150" i="3"/>
  <c r="H150" i="3"/>
  <c r="G150" i="3"/>
  <c r="F150" i="3"/>
  <c r="T149" i="3"/>
  <c r="U149" i="3" s="1"/>
  <c r="R149" i="3"/>
  <c r="Q149" i="3"/>
  <c r="P149" i="3"/>
  <c r="M149" i="3"/>
  <c r="L149" i="3"/>
  <c r="K149" i="3"/>
  <c r="H149" i="3"/>
  <c r="G149" i="3"/>
  <c r="F149" i="3"/>
  <c r="U148" i="3"/>
  <c r="T148" i="3"/>
  <c r="R148" i="3"/>
  <c r="Q148" i="3"/>
  <c r="P148" i="3"/>
  <c r="M148" i="3"/>
  <c r="L148" i="3"/>
  <c r="K148" i="3"/>
  <c r="H148" i="3"/>
  <c r="G148" i="3"/>
  <c r="F148" i="3"/>
  <c r="U147" i="3"/>
  <c r="T147" i="3"/>
  <c r="R147" i="3"/>
  <c r="Q147" i="3"/>
  <c r="P147" i="3"/>
  <c r="M147" i="3"/>
  <c r="L147" i="3"/>
  <c r="K147" i="3"/>
  <c r="H147" i="3"/>
  <c r="G147" i="3"/>
  <c r="F147" i="3"/>
  <c r="T146" i="3"/>
  <c r="U146" i="3" s="1"/>
  <c r="R146" i="3"/>
  <c r="Q146" i="3"/>
  <c r="P146" i="3"/>
  <c r="M146" i="3"/>
  <c r="L146" i="3"/>
  <c r="K146" i="3"/>
  <c r="H146" i="3"/>
  <c r="G146" i="3"/>
  <c r="F146" i="3"/>
  <c r="T145" i="3"/>
  <c r="U145" i="3" s="1"/>
  <c r="R145" i="3"/>
  <c r="Q145" i="3"/>
  <c r="P145" i="3"/>
  <c r="M145" i="3"/>
  <c r="L145" i="3"/>
  <c r="K145" i="3"/>
  <c r="H145" i="3"/>
  <c r="G145" i="3"/>
  <c r="F145" i="3"/>
  <c r="U144" i="3"/>
  <c r="T144" i="3"/>
  <c r="R144" i="3"/>
  <c r="Q144" i="3"/>
  <c r="P144" i="3"/>
  <c r="M144" i="3"/>
  <c r="L144" i="3"/>
  <c r="K144" i="3"/>
  <c r="H144" i="3"/>
  <c r="G144" i="3"/>
  <c r="F144" i="3"/>
  <c r="U143" i="3"/>
  <c r="T143" i="3"/>
  <c r="R143" i="3"/>
  <c r="Q143" i="3"/>
  <c r="P143" i="3"/>
  <c r="M143" i="3"/>
  <c r="L143" i="3"/>
  <c r="K143" i="3"/>
  <c r="H143" i="3"/>
  <c r="G143" i="3"/>
  <c r="F143" i="3"/>
  <c r="T142" i="3"/>
  <c r="U142" i="3" s="1"/>
  <c r="R142" i="3"/>
  <c r="Q142" i="3"/>
  <c r="P142" i="3"/>
  <c r="M142" i="3"/>
  <c r="L142" i="3"/>
  <c r="K142" i="3"/>
  <c r="H142" i="3"/>
  <c r="G142" i="3"/>
  <c r="F142" i="3"/>
  <c r="T141" i="3"/>
  <c r="U141" i="3" s="1"/>
  <c r="R141" i="3"/>
  <c r="Q141" i="3"/>
  <c r="P141" i="3"/>
  <c r="M141" i="3"/>
  <c r="L141" i="3"/>
  <c r="K141" i="3"/>
  <c r="H141" i="3"/>
  <c r="G141" i="3"/>
  <c r="F141" i="3"/>
  <c r="U140" i="3"/>
  <c r="T140" i="3"/>
  <c r="R140" i="3"/>
  <c r="Q140" i="3"/>
  <c r="P140" i="3"/>
  <c r="M140" i="3"/>
  <c r="L140" i="3"/>
  <c r="K140" i="3"/>
  <c r="H140" i="3"/>
  <c r="G140" i="3"/>
  <c r="F140" i="3"/>
  <c r="U139" i="3"/>
  <c r="T139" i="3"/>
  <c r="R139" i="3"/>
  <c r="Q139" i="3"/>
  <c r="P139" i="3"/>
  <c r="M139" i="3"/>
  <c r="L139" i="3"/>
  <c r="K139" i="3"/>
  <c r="H139" i="3"/>
  <c r="G139" i="3"/>
  <c r="F139" i="3"/>
  <c r="U138" i="3"/>
  <c r="T138" i="3"/>
  <c r="R138" i="3"/>
  <c r="Q138" i="3"/>
  <c r="P138" i="3"/>
  <c r="M138" i="3"/>
  <c r="L138" i="3"/>
  <c r="K138" i="3"/>
  <c r="H138" i="3"/>
  <c r="G138" i="3"/>
  <c r="F138" i="3"/>
  <c r="T137" i="3"/>
  <c r="U137" i="3" s="1"/>
  <c r="R137" i="3"/>
  <c r="Q137" i="3"/>
  <c r="P137" i="3"/>
  <c r="M137" i="3"/>
  <c r="L137" i="3"/>
  <c r="K137" i="3"/>
  <c r="H137" i="3"/>
  <c r="G137" i="3"/>
  <c r="F137" i="3"/>
  <c r="U136" i="3"/>
  <c r="T136" i="3"/>
  <c r="R136" i="3"/>
  <c r="Q136" i="3"/>
  <c r="P136" i="3"/>
  <c r="M136" i="3"/>
  <c r="L136" i="3"/>
  <c r="K136" i="3"/>
  <c r="H136" i="3"/>
  <c r="G136" i="3"/>
  <c r="F136" i="3"/>
  <c r="U135" i="3"/>
  <c r="T135" i="3"/>
  <c r="R135" i="3"/>
  <c r="Q135" i="3"/>
  <c r="P135" i="3"/>
  <c r="M135" i="3"/>
  <c r="L135" i="3"/>
  <c r="K135" i="3"/>
  <c r="H135" i="3"/>
  <c r="G135" i="3"/>
  <c r="F135" i="3"/>
  <c r="T134" i="3"/>
  <c r="U134" i="3" s="1"/>
  <c r="R134" i="3"/>
  <c r="Q134" i="3"/>
  <c r="P134" i="3"/>
  <c r="M134" i="3"/>
  <c r="L134" i="3"/>
  <c r="K134" i="3"/>
  <c r="H134" i="3"/>
  <c r="G134" i="3"/>
  <c r="F134" i="3"/>
  <c r="T133" i="3"/>
  <c r="U133" i="3" s="1"/>
  <c r="R133" i="3"/>
  <c r="Q133" i="3"/>
  <c r="P133" i="3"/>
  <c r="M133" i="3"/>
  <c r="L133" i="3"/>
  <c r="K133" i="3"/>
  <c r="H133" i="3"/>
  <c r="G133" i="3"/>
  <c r="F133" i="3"/>
  <c r="U132" i="3"/>
  <c r="T132" i="3"/>
  <c r="R132" i="3"/>
  <c r="Q132" i="3"/>
  <c r="P132" i="3"/>
  <c r="M132" i="3"/>
  <c r="L132" i="3"/>
  <c r="K132" i="3"/>
  <c r="H132" i="3"/>
  <c r="G132" i="3"/>
  <c r="F132" i="3"/>
  <c r="U131" i="3"/>
  <c r="T131" i="3"/>
  <c r="R131" i="3"/>
  <c r="Q131" i="3"/>
  <c r="P131" i="3"/>
  <c r="M131" i="3"/>
  <c r="L131" i="3"/>
  <c r="K131" i="3"/>
  <c r="H131" i="3"/>
  <c r="G131" i="3"/>
  <c r="F131" i="3"/>
  <c r="T130" i="3"/>
  <c r="U130" i="3" s="1"/>
  <c r="R130" i="3"/>
  <c r="Q130" i="3"/>
  <c r="P130" i="3"/>
  <c r="M130" i="3"/>
  <c r="L130" i="3"/>
  <c r="K130" i="3"/>
  <c r="H130" i="3"/>
  <c r="G130" i="3"/>
  <c r="F130" i="3"/>
  <c r="T129" i="3"/>
  <c r="U129" i="3" s="1"/>
  <c r="R129" i="3"/>
  <c r="Q129" i="3"/>
  <c r="P129" i="3"/>
  <c r="M129" i="3"/>
  <c r="L129" i="3"/>
  <c r="K129" i="3"/>
  <c r="H129" i="3"/>
  <c r="G129" i="3"/>
  <c r="F129" i="3"/>
  <c r="U128" i="3"/>
  <c r="T128" i="3"/>
  <c r="R128" i="3"/>
  <c r="Q128" i="3"/>
  <c r="P128" i="3"/>
  <c r="M128" i="3"/>
  <c r="L128" i="3"/>
  <c r="K128" i="3"/>
  <c r="H128" i="3"/>
  <c r="G128" i="3"/>
  <c r="F128" i="3"/>
  <c r="U127" i="3"/>
  <c r="T127" i="3"/>
  <c r="R127" i="3"/>
  <c r="Q127" i="3"/>
  <c r="P127" i="3"/>
  <c r="M127" i="3"/>
  <c r="L127" i="3"/>
  <c r="K127" i="3"/>
  <c r="H127" i="3"/>
  <c r="G127" i="3"/>
  <c r="F127" i="3"/>
  <c r="U126" i="3"/>
  <c r="T126" i="3"/>
  <c r="R126" i="3"/>
  <c r="Q126" i="3"/>
  <c r="P126" i="3"/>
  <c r="M126" i="3"/>
  <c r="L126" i="3"/>
  <c r="K126" i="3"/>
  <c r="H126" i="3"/>
  <c r="G126" i="3"/>
  <c r="F126" i="3"/>
  <c r="T125" i="3"/>
  <c r="U125" i="3" s="1"/>
  <c r="R125" i="3"/>
  <c r="Q125" i="3"/>
  <c r="P125" i="3"/>
  <c r="M125" i="3"/>
  <c r="L125" i="3"/>
  <c r="K125" i="3"/>
  <c r="H125" i="3"/>
  <c r="G125" i="3"/>
  <c r="F125" i="3"/>
  <c r="U124" i="3"/>
  <c r="T124" i="3"/>
  <c r="R124" i="3"/>
  <c r="Q124" i="3"/>
  <c r="P124" i="3"/>
  <c r="M124" i="3"/>
  <c r="L124" i="3"/>
  <c r="K124" i="3"/>
  <c r="H124" i="3"/>
  <c r="G124" i="3"/>
  <c r="F124" i="3"/>
  <c r="U123" i="3"/>
  <c r="T123" i="3"/>
  <c r="R123" i="3"/>
  <c r="Q123" i="3"/>
  <c r="P123" i="3"/>
  <c r="M123" i="3"/>
  <c r="L123" i="3"/>
  <c r="K123" i="3"/>
  <c r="H123" i="3"/>
  <c r="G123" i="3"/>
  <c r="F123" i="3"/>
  <c r="T122" i="3"/>
  <c r="U122" i="3" s="1"/>
  <c r="R122" i="3"/>
  <c r="Q122" i="3"/>
  <c r="P122" i="3"/>
  <c r="M122" i="3"/>
  <c r="L122" i="3"/>
  <c r="K122" i="3"/>
  <c r="H122" i="3"/>
  <c r="G122" i="3"/>
  <c r="F122" i="3"/>
  <c r="T121" i="3"/>
  <c r="U121" i="3" s="1"/>
  <c r="R121" i="3"/>
  <c r="Q121" i="3"/>
  <c r="P121" i="3"/>
  <c r="M121" i="3"/>
  <c r="L121" i="3"/>
  <c r="K121" i="3"/>
  <c r="H121" i="3"/>
  <c r="G121" i="3"/>
  <c r="F121" i="3"/>
  <c r="U120" i="3"/>
  <c r="T120" i="3"/>
  <c r="R120" i="3"/>
  <c r="Q120" i="3"/>
  <c r="P120" i="3"/>
  <c r="M120" i="3"/>
  <c r="L120" i="3"/>
  <c r="K120" i="3"/>
  <c r="H120" i="3"/>
  <c r="G120" i="3"/>
  <c r="F120" i="3"/>
  <c r="U119" i="3"/>
  <c r="T119" i="3"/>
  <c r="R119" i="3"/>
  <c r="Q119" i="3"/>
  <c r="P119" i="3"/>
  <c r="M119" i="3"/>
  <c r="L119" i="3"/>
  <c r="K119" i="3"/>
  <c r="H119" i="3"/>
  <c r="G119" i="3"/>
  <c r="F119" i="3"/>
  <c r="T118" i="3"/>
  <c r="U118" i="3" s="1"/>
  <c r="R118" i="3"/>
  <c r="Q118" i="3"/>
  <c r="P118" i="3"/>
  <c r="M118" i="3"/>
  <c r="L118" i="3"/>
  <c r="K118" i="3"/>
  <c r="H118" i="3"/>
  <c r="G118" i="3"/>
  <c r="F118" i="3"/>
  <c r="T117" i="3"/>
  <c r="U117" i="3" s="1"/>
  <c r="R117" i="3"/>
  <c r="Q117" i="3"/>
  <c r="P117" i="3"/>
  <c r="M117" i="3"/>
  <c r="L117" i="3"/>
  <c r="K117" i="3"/>
  <c r="H117" i="3"/>
  <c r="G117" i="3"/>
  <c r="F117" i="3"/>
  <c r="U116" i="3"/>
  <c r="T116" i="3"/>
  <c r="R116" i="3"/>
  <c r="Q116" i="3"/>
  <c r="P116" i="3"/>
  <c r="M116" i="3"/>
  <c r="L116" i="3"/>
  <c r="K116" i="3"/>
  <c r="H116" i="3"/>
  <c r="G116" i="3"/>
  <c r="F116" i="3"/>
  <c r="U115" i="3"/>
  <c r="T115" i="3"/>
  <c r="R115" i="3"/>
  <c r="Q115" i="3"/>
  <c r="P115" i="3"/>
  <c r="M115" i="3"/>
  <c r="L115" i="3"/>
  <c r="K115" i="3"/>
  <c r="H115" i="3"/>
  <c r="G115" i="3"/>
  <c r="F115" i="3"/>
  <c r="U114" i="3"/>
  <c r="T114" i="3"/>
  <c r="R114" i="3"/>
  <c r="Q114" i="3"/>
  <c r="P114" i="3"/>
  <c r="M114" i="3"/>
  <c r="L114" i="3"/>
  <c r="K114" i="3"/>
  <c r="H114" i="3"/>
  <c r="G114" i="3"/>
  <c r="F114" i="3"/>
  <c r="T113" i="3"/>
  <c r="U113" i="3" s="1"/>
  <c r="R113" i="3"/>
  <c r="Q113" i="3"/>
  <c r="P113" i="3"/>
  <c r="M113" i="3"/>
  <c r="L113" i="3"/>
  <c r="K113" i="3"/>
  <c r="H113" i="3"/>
  <c r="G113" i="3"/>
  <c r="F113" i="3"/>
  <c r="U112" i="3"/>
  <c r="T112" i="3"/>
  <c r="R112" i="3"/>
  <c r="Q112" i="3"/>
  <c r="P112" i="3"/>
  <c r="M112" i="3"/>
  <c r="L112" i="3"/>
  <c r="K112" i="3"/>
  <c r="H112" i="3"/>
  <c r="G112" i="3"/>
  <c r="F112" i="3"/>
  <c r="U111" i="3"/>
  <c r="T111" i="3"/>
  <c r="R111" i="3"/>
  <c r="Q111" i="3"/>
  <c r="P111" i="3"/>
  <c r="M111" i="3"/>
  <c r="L111" i="3"/>
  <c r="K111" i="3"/>
  <c r="H111" i="3"/>
  <c r="G111" i="3"/>
  <c r="F111" i="3"/>
  <c r="T110" i="3"/>
  <c r="U110" i="3" s="1"/>
  <c r="R110" i="3"/>
  <c r="Q110" i="3"/>
  <c r="P110" i="3"/>
  <c r="M110" i="3"/>
  <c r="L110" i="3"/>
  <c r="K110" i="3"/>
  <c r="H110" i="3"/>
  <c r="G110" i="3"/>
  <c r="F110" i="3"/>
  <c r="T109" i="3"/>
  <c r="U109" i="3" s="1"/>
  <c r="R109" i="3"/>
  <c r="Q109" i="3"/>
  <c r="P109" i="3"/>
  <c r="M109" i="3"/>
  <c r="L109" i="3"/>
  <c r="K109" i="3"/>
  <c r="H109" i="3"/>
  <c r="G109" i="3"/>
  <c r="F109" i="3"/>
  <c r="U108" i="3"/>
  <c r="T108" i="3"/>
  <c r="R108" i="3"/>
  <c r="Q108" i="3"/>
  <c r="P108" i="3"/>
  <c r="M108" i="3"/>
  <c r="L108" i="3"/>
  <c r="K108" i="3"/>
  <c r="H108" i="3"/>
  <c r="G108" i="3"/>
  <c r="F108" i="3"/>
  <c r="U107" i="3"/>
  <c r="T107" i="3"/>
  <c r="R107" i="3"/>
  <c r="Q107" i="3"/>
  <c r="P107" i="3"/>
  <c r="M107" i="3"/>
  <c r="L107" i="3"/>
  <c r="K107" i="3"/>
  <c r="H107" i="3"/>
  <c r="G107" i="3"/>
  <c r="F107" i="3"/>
  <c r="T106" i="3"/>
  <c r="U106" i="3" s="1"/>
  <c r="R106" i="3"/>
  <c r="Q106" i="3"/>
  <c r="P106" i="3"/>
  <c r="M106" i="3"/>
  <c r="L106" i="3"/>
  <c r="K106" i="3"/>
  <c r="H106" i="3"/>
  <c r="G106" i="3"/>
  <c r="F106" i="3"/>
  <c r="T105" i="3"/>
  <c r="U105" i="3" s="1"/>
  <c r="R105" i="3"/>
  <c r="Q105" i="3"/>
  <c r="P105" i="3"/>
  <c r="M105" i="3"/>
  <c r="L105" i="3"/>
  <c r="K105" i="3"/>
  <c r="H105" i="3"/>
  <c r="G105" i="3"/>
  <c r="F105" i="3"/>
  <c r="U104" i="3"/>
  <c r="T104" i="3"/>
  <c r="R104" i="3"/>
  <c r="Q104" i="3"/>
  <c r="P104" i="3"/>
  <c r="M104" i="3"/>
  <c r="L104" i="3"/>
  <c r="K104" i="3"/>
  <c r="H104" i="3"/>
  <c r="G104" i="3"/>
  <c r="F104" i="3"/>
  <c r="U103" i="3"/>
  <c r="T103" i="3"/>
  <c r="R103" i="3"/>
  <c r="Q103" i="3"/>
  <c r="P103" i="3"/>
  <c r="M103" i="3"/>
  <c r="L103" i="3"/>
  <c r="K103" i="3"/>
  <c r="H103" i="3"/>
  <c r="G103" i="3"/>
  <c r="F103" i="3"/>
  <c r="U102" i="3"/>
  <c r="T102" i="3"/>
  <c r="R102" i="3"/>
  <c r="Q102" i="3"/>
  <c r="P102" i="3"/>
  <c r="M102" i="3"/>
  <c r="L102" i="3"/>
  <c r="K102" i="3"/>
  <c r="H102" i="3"/>
  <c r="G102" i="3"/>
  <c r="F102" i="3"/>
  <c r="T101" i="3"/>
  <c r="U101" i="3" s="1"/>
  <c r="R101" i="3"/>
  <c r="Q101" i="3"/>
  <c r="P101" i="3"/>
  <c r="M101" i="3"/>
  <c r="L101" i="3"/>
  <c r="K101" i="3"/>
  <c r="H101" i="3"/>
  <c r="G101" i="3"/>
  <c r="F101" i="3"/>
  <c r="U100" i="3"/>
  <c r="T100" i="3"/>
  <c r="R100" i="3"/>
  <c r="Q100" i="3"/>
  <c r="P100" i="3"/>
  <c r="M100" i="3"/>
  <c r="L100" i="3"/>
  <c r="K100" i="3"/>
  <c r="H100" i="3"/>
  <c r="G100" i="3"/>
  <c r="F100" i="3"/>
  <c r="U99" i="3"/>
  <c r="T99" i="3"/>
  <c r="R99" i="3"/>
  <c r="Q99" i="3"/>
  <c r="P99" i="3"/>
  <c r="M99" i="3"/>
  <c r="L99" i="3"/>
  <c r="K99" i="3"/>
  <c r="H99" i="3"/>
  <c r="G99" i="3"/>
  <c r="F99" i="3"/>
  <c r="T98" i="3"/>
  <c r="U98" i="3" s="1"/>
  <c r="R98" i="3"/>
  <c r="Q98" i="3"/>
  <c r="P98" i="3"/>
  <c r="M98" i="3"/>
  <c r="L98" i="3"/>
  <c r="K98" i="3"/>
  <c r="H98" i="3"/>
  <c r="G98" i="3"/>
  <c r="F98" i="3"/>
  <c r="T97" i="3"/>
  <c r="U97" i="3" s="1"/>
  <c r="R97" i="3"/>
  <c r="Q97" i="3"/>
  <c r="P97" i="3"/>
  <c r="M97" i="3"/>
  <c r="L97" i="3"/>
  <c r="K97" i="3"/>
  <c r="H97" i="3"/>
  <c r="G97" i="3"/>
  <c r="F97" i="3"/>
  <c r="U96" i="3"/>
  <c r="T96" i="3"/>
  <c r="R96" i="3"/>
  <c r="Q96" i="3"/>
  <c r="P96" i="3"/>
  <c r="M96" i="3"/>
  <c r="L96" i="3"/>
  <c r="K96" i="3"/>
  <c r="H96" i="3"/>
  <c r="G96" i="3"/>
  <c r="F96" i="3"/>
  <c r="U95" i="3"/>
  <c r="T95" i="3"/>
  <c r="R95" i="3"/>
  <c r="Q95" i="3"/>
  <c r="P95" i="3"/>
  <c r="M95" i="3"/>
  <c r="L95" i="3"/>
  <c r="K95" i="3"/>
  <c r="H95" i="3"/>
  <c r="G95" i="3"/>
  <c r="F95" i="3"/>
  <c r="T94" i="3"/>
  <c r="U94" i="3" s="1"/>
  <c r="R94" i="3"/>
  <c r="Q94" i="3"/>
  <c r="P94" i="3"/>
  <c r="M94" i="3"/>
  <c r="L94" i="3"/>
  <c r="K94" i="3"/>
  <c r="H94" i="3"/>
  <c r="G94" i="3"/>
  <c r="F94" i="3"/>
  <c r="T93" i="3"/>
  <c r="U93" i="3" s="1"/>
  <c r="R93" i="3"/>
  <c r="Q93" i="3"/>
  <c r="P93" i="3"/>
  <c r="M93" i="3"/>
  <c r="L93" i="3"/>
  <c r="K93" i="3"/>
  <c r="H93" i="3"/>
  <c r="G93" i="3"/>
  <c r="F93" i="3"/>
  <c r="U92" i="3"/>
  <c r="T92" i="3"/>
  <c r="R92" i="3"/>
  <c r="Q92" i="3"/>
  <c r="P92" i="3"/>
  <c r="M92" i="3"/>
  <c r="L92" i="3"/>
  <c r="K92" i="3"/>
  <c r="H92" i="3"/>
  <c r="G92" i="3"/>
  <c r="F92" i="3"/>
  <c r="U91" i="3"/>
  <c r="T91" i="3"/>
  <c r="R91" i="3"/>
  <c r="Q91" i="3"/>
  <c r="P91" i="3"/>
  <c r="M91" i="3"/>
  <c r="L91" i="3"/>
  <c r="K91" i="3"/>
  <c r="H91" i="3"/>
  <c r="G91" i="3"/>
  <c r="F91" i="3"/>
  <c r="U90" i="3"/>
  <c r="T90" i="3"/>
  <c r="R90" i="3"/>
  <c r="Q90" i="3"/>
  <c r="P90" i="3"/>
  <c r="M90" i="3"/>
  <c r="L90" i="3"/>
  <c r="K90" i="3"/>
  <c r="H90" i="3"/>
  <c r="G90" i="3"/>
  <c r="F90" i="3"/>
  <c r="T89" i="3"/>
  <c r="U89" i="3" s="1"/>
  <c r="R89" i="3"/>
  <c r="Q89" i="3"/>
  <c r="P89" i="3"/>
  <c r="M89" i="3"/>
  <c r="L89" i="3"/>
  <c r="K89" i="3"/>
  <c r="H89" i="3"/>
  <c r="G89" i="3"/>
  <c r="F89" i="3"/>
  <c r="U88" i="3"/>
  <c r="T88" i="3"/>
  <c r="R88" i="3"/>
  <c r="Q88" i="3"/>
  <c r="P88" i="3"/>
  <c r="M88" i="3"/>
  <c r="L88" i="3"/>
  <c r="K88" i="3"/>
  <c r="H88" i="3"/>
  <c r="G88" i="3"/>
  <c r="F88" i="3"/>
  <c r="U87" i="3"/>
  <c r="T87" i="3"/>
  <c r="R87" i="3"/>
  <c r="Q87" i="3"/>
  <c r="P87" i="3"/>
  <c r="M87" i="3"/>
  <c r="L87" i="3"/>
  <c r="K87" i="3"/>
  <c r="H87" i="3"/>
  <c r="G87" i="3"/>
  <c r="F87" i="3"/>
  <c r="T86" i="3"/>
  <c r="U86" i="3" s="1"/>
  <c r="R86" i="3"/>
  <c r="Q86" i="3"/>
  <c r="P86" i="3"/>
  <c r="M86" i="3"/>
  <c r="L86" i="3"/>
  <c r="K86" i="3"/>
  <c r="H86" i="3"/>
  <c r="G86" i="3"/>
  <c r="F86" i="3"/>
  <c r="T85" i="3"/>
  <c r="U85" i="3" s="1"/>
  <c r="R85" i="3"/>
  <c r="Q85" i="3"/>
  <c r="P85" i="3"/>
  <c r="M85" i="3"/>
  <c r="L85" i="3"/>
  <c r="K85" i="3"/>
  <c r="H85" i="3"/>
  <c r="G85" i="3"/>
  <c r="F85" i="3"/>
  <c r="U84" i="3"/>
  <c r="T84" i="3"/>
  <c r="R84" i="3"/>
  <c r="Q84" i="3"/>
  <c r="P84" i="3"/>
  <c r="M84" i="3"/>
  <c r="L84" i="3"/>
  <c r="K84" i="3"/>
  <c r="H84" i="3"/>
  <c r="G84" i="3"/>
  <c r="F84" i="3"/>
  <c r="U83" i="3"/>
  <c r="T83" i="3"/>
  <c r="R83" i="3"/>
  <c r="Q83" i="3"/>
  <c r="P83" i="3"/>
  <c r="M83" i="3"/>
  <c r="L83" i="3"/>
  <c r="K83" i="3"/>
  <c r="H83" i="3"/>
  <c r="G83" i="3"/>
  <c r="F83" i="3"/>
  <c r="T82" i="3"/>
  <c r="U82" i="3" s="1"/>
  <c r="R82" i="3"/>
  <c r="Q82" i="3"/>
  <c r="P82" i="3"/>
  <c r="M82" i="3"/>
  <c r="L82" i="3"/>
  <c r="K82" i="3"/>
  <c r="H82" i="3"/>
  <c r="G82" i="3"/>
  <c r="F82" i="3"/>
  <c r="T81" i="3"/>
  <c r="U81" i="3" s="1"/>
  <c r="R81" i="3"/>
  <c r="Q81" i="3"/>
  <c r="P81" i="3"/>
  <c r="M81" i="3"/>
  <c r="L81" i="3"/>
  <c r="K81" i="3"/>
  <c r="H81" i="3"/>
  <c r="G81" i="3"/>
  <c r="F81" i="3"/>
  <c r="U80" i="3"/>
  <c r="T80" i="3"/>
  <c r="R80" i="3"/>
  <c r="Q80" i="3"/>
  <c r="P80" i="3"/>
  <c r="M80" i="3"/>
  <c r="L80" i="3"/>
  <c r="K80" i="3"/>
  <c r="H80" i="3"/>
  <c r="G80" i="3"/>
  <c r="F80" i="3"/>
  <c r="U79" i="3"/>
  <c r="T79" i="3"/>
  <c r="R79" i="3"/>
  <c r="Q79" i="3"/>
  <c r="P79" i="3"/>
  <c r="M79" i="3"/>
  <c r="L79" i="3"/>
  <c r="K79" i="3"/>
  <c r="H79" i="3"/>
  <c r="G79" i="3"/>
  <c r="F79" i="3"/>
  <c r="U78" i="3"/>
  <c r="T78" i="3"/>
  <c r="R78" i="3"/>
  <c r="Q78" i="3"/>
  <c r="P78" i="3"/>
  <c r="M78" i="3"/>
  <c r="L78" i="3"/>
  <c r="K78" i="3"/>
  <c r="H78" i="3"/>
  <c r="G78" i="3"/>
  <c r="F78" i="3"/>
  <c r="T77" i="3"/>
  <c r="U77" i="3" s="1"/>
  <c r="R77" i="3"/>
  <c r="Q77" i="3"/>
  <c r="P77" i="3"/>
  <c r="M77" i="3"/>
  <c r="L77" i="3"/>
  <c r="K77" i="3"/>
  <c r="H77" i="3"/>
  <c r="G77" i="3"/>
  <c r="F77" i="3"/>
  <c r="U76" i="3"/>
  <c r="T76" i="3"/>
  <c r="R76" i="3"/>
  <c r="Q76" i="3"/>
  <c r="P76" i="3"/>
  <c r="M76" i="3"/>
  <c r="L76" i="3"/>
  <c r="K76" i="3"/>
  <c r="H76" i="3"/>
  <c r="G76" i="3"/>
  <c r="F76" i="3"/>
  <c r="U75" i="3"/>
  <c r="T75" i="3"/>
  <c r="R75" i="3"/>
  <c r="Q75" i="3"/>
  <c r="P75" i="3"/>
  <c r="M75" i="3"/>
  <c r="L75" i="3"/>
  <c r="K75" i="3"/>
  <c r="H75" i="3"/>
  <c r="G75" i="3"/>
  <c r="F75" i="3"/>
  <c r="T74" i="3"/>
  <c r="U74" i="3" s="1"/>
  <c r="R74" i="3"/>
  <c r="Q74" i="3"/>
  <c r="P74" i="3"/>
  <c r="M74" i="3"/>
  <c r="L74" i="3"/>
  <c r="K74" i="3"/>
  <c r="H74" i="3"/>
  <c r="G74" i="3"/>
  <c r="F74" i="3"/>
  <c r="T73" i="3"/>
  <c r="U73" i="3" s="1"/>
  <c r="R73" i="3"/>
  <c r="Q73" i="3"/>
  <c r="P73" i="3"/>
  <c r="M73" i="3"/>
  <c r="L73" i="3"/>
  <c r="K73" i="3"/>
  <c r="H73" i="3"/>
  <c r="G73" i="3"/>
  <c r="F73" i="3"/>
  <c r="U72" i="3"/>
  <c r="T72" i="3"/>
  <c r="R72" i="3"/>
  <c r="Q72" i="3"/>
  <c r="P72" i="3"/>
  <c r="M72" i="3"/>
  <c r="L72" i="3"/>
  <c r="K72" i="3"/>
  <c r="H72" i="3"/>
  <c r="G72" i="3"/>
  <c r="F72" i="3"/>
  <c r="U71" i="3"/>
  <c r="T71" i="3"/>
  <c r="R71" i="3"/>
  <c r="Q71" i="3"/>
  <c r="P71" i="3"/>
  <c r="M71" i="3"/>
  <c r="L71" i="3"/>
  <c r="K71" i="3"/>
  <c r="H71" i="3"/>
  <c r="G71" i="3"/>
  <c r="F71" i="3"/>
  <c r="T70" i="3"/>
  <c r="U70" i="3" s="1"/>
  <c r="R70" i="3"/>
  <c r="Q70" i="3"/>
  <c r="P70" i="3"/>
  <c r="M70" i="3"/>
  <c r="L70" i="3"/>
  <c r="K70" i="3"/>
  <c r="H70" i="3"/>
  <c r="G70" i="3"/>
  <c r="F70" i="3"/>
  <c r="T69" i="3"/>
  <c r="U69" i="3" s="1"/>
  <c r="R69" i="3"/>
  <c r="Q69" i="3"/>
  <c r="P69" i="3"/>
  <c r="M69" i="3"/>
  <c r="L69" i="3"/>
  <c r="K69" i="3"/>
  <c r="H69" i="3"/>
  <c r="G69" i="3"/>
  <c r="F69" i="3"/>
  <c r="U68" i="3"/>
  <c r="T68" i="3"/>
  <c r="R68" i="3"/>
  <c r="Q68" i="3"/>
  <c r="P68" i="3"/>
  <c r="M68" i="3"/>
  <c r="L68" i="3"/>
  <c r="K68" i="3"/>
  <c r="H68" i="3"/>
  <c r="G68" i="3"/>
  <c r="F68" i="3"/>
  <c r="U67" i="3"/>
  <c r="T67" i="3"/>
  <c r="R67" i="3"/>
  <c r="Q67" i="3"/>
  <c r="P67" i="3"/>
  <c r="M67" i="3"/>
  <c r="L67" i="3"/>
  <c r="K67" i="3"/>
  <c r="H67" i="3"/>
  <c r="G67" i="3"/>
  <c r="F67" i="3"/>
  <c r="U66" i="3"/>
  <c r="T66" i="3"/>
  <c r="R66" i="3"/>
  <c r="Q66" i="3"/>
  <c r="P66" i="3"/>
  <c r="M66" i="3"/>
  <c r="L66" i="3"/>
  <c r="K66" i="3"/>
  <c r="H66" i="3"/>
  <c r="G66" i="3"/>
  <c r="F66" i="3"/>
  <c r="T65" i="3"/>
  <c r="U65" i="3" s="1"/>
  <c r="R65" i="3"/>
  <c r="Q65" i="3"/>
  <c r="P65" i="3"/>
  <c r="M65" i="3"/>
  <c r="L65" i="3"/>
  <c r="K65" i="3"/>
  <c r="H65" i="3"/>
  <c r="G65" i="3"/>
  <c r="F65" i="3"/>
  <c r="U64" i="3"/>
  <c r="T64" i="3"/>
  <c r="R64" i="3"/>
  <c r="Q64" i="3"/>
  <c r="P64" i="3"/>
  <c r="M64" i="3"/>
  <c r="L64" i="3"/>
  <c r="K64" i="3"/>
  <c r="H64" i="3"/>
  <c r="G64" i="3"/>
  <c r="F64" i="3"/>
  <c r="U63" i="3"/>
  <c r="T63" i="3"/>
  <c r="R63" i="3"/>
  <c r="Q63" i="3"/>
  <c r="P63" i="3"/>
  <c r="M63" i="3"/>
  <c r="L63" i="3"/>
  <c r="K63" i="3"/>
  <c r="H63" i="3"/>
  <c r="G63" i="3"/>
  <c r="F63" i="3"/>
  <c r="T62" i="3"/>
  <c r="U62" i="3" s="1"/>
  <c r="R62" i="3"/>
  <c r="Q62" i="3"/>
  <c r="P62" i="3"/>
  <c r="M62" i="3"/>
  <c r="L62" i="3"/>
  <c r="K62" i="3"/>
  <c r="H62" i="3"/>
  <c r="G62" i="3"/>
  <c r="F62" i="3"/>
  <c r="T61" i="3"/>
  <c r="U61" i="3" s="1"/>
  <c r="R61" i="3"/>
  <c r="Q61" i="3"/>
  <c r="P61" i="3"/>
  <c r="M61" i="3"/>
  <c r="L61" i="3"/>
  <c r="K61" i="3"/>
  <c r="H61" i="3"/>
  <c r="G61" i="3"/>
  <c r="F61" i="3"/>
  <c r="U60" i="3"/>
  <c r="T60" i="3"/>
  <c r="R60" i="3"/>
  <c r="Q60" i="3"/>
  <c r="P60" i="3"/>
  <c r="M60" i="3"/>
  <c r="L60" i="3"/>
  <c r="K60" i="3"/>
  <c r="H60" i="3"/>
  <c r="G60" i="3"/>
  <c r="F60" i="3"/>
  <c r="U59" i="3"/>
  <c r="T59" i="3"/>
  <c r="R59" i="3"/>
  <c r="Q59" i="3"/>
  <c r="P59" i="3"/>
  <c r="M59" i="3"/>
  <c r="L59" i="3"/>
  <c r="K59" i="3"/>
  <c r="H59" i="3"/>
  <c r="G59" i="3"/>
  <c r="F59" i="3"/>
  <c r="T58" i="3"/>
  <c r="U58" i="3" s="1"/>
  <c r="R58" i="3"/>
  <c r="Q58" i="3"/>
  <c r="P58" i="3"/>
  <c r="M58" i="3"/>
  <c r="L58" i="3"/>
  <c r="K58" i="3"/>
  <c r="H58" i="3"/>
  <c r="G58" i="3"/>
  <c r="F58" i="3"/>
  <c r="T57" i="3"/>
  <c r="U57" i="3" s="1"/>
  <c r="R57" i="3"/>
  <c r="Q57" i="3"/>
  <c r="P57" i="3"/>
  <c r="M57" i="3"/>
  <c r="L57" i="3"/>
  <c r="K57" i="3"/>
  <c r="H57" i="3"/>
  <c r="G57" i="3"/>
  <c r="F57" i="3"/>
  <c r="U56" i="3"/>
  <c r="T56" i="3"/>
  <c r="R56" i="3"/>
  <c r="Q56" i="3"/>
  <c r="P56" i="3"/>
  <c r="M56" i="3"/>
  <c r="L56" i="3"/>
  <c r="K56" i="3"/>
  <c r="H56" i="3"/>
  <c r="G56" i="3"/>
  <c r="F56" i="3"/>
  <c r="U55" i="3"/>
  <c r="T55" i="3"/>
  <c r="R55" i="3"/>
  <c r="Q55" i="3"/>
  <c r="P55" i="3"/>
  <c r="M55" i="3"/>
  <c r="L55" i="3"/>
  <c r="K55" i="3"/>
  <c r="H55" i="3"/>
  <c r="G55" i="3"/>
  <c r="F55" i="3"/>
  <c r="U54" i="3"/>
  <c r="T54" i="3"/>
  <c r="R54" i="3"/>
  <c r="Q54" i="3"/>
  <c r="P54" i="3"/>
  <c r="M54" i="3"/>
  <c r="L54" i="3"/>
  <c r="K54" i="3"/>
  <c r="H54" i="3"/>
  <c r="G54" i="3"/>
  <c r="F54" i="3"/>
  <c r="T53" i="3"/>
  <c r="U53" i="3" s="1"/>
  <c r="R53" i="3"/>
  <c r="Q53" i="3"/>
  <c r="P53" i="3"/>
  <c r="M53" i="3"/>
  <c r="L53" i="3"/>
  <c r="K53" i="3"/>
  <c r="H53" i="3"/>
  <c r="G53" i="3"/>
  <c r="F53" i="3"/>
  <c r="U52" i="3"/>
  <c r="T52" i="3"/>
  <c r="R52" i="3"/>
  <c r="Q52" i="3"/>
  <c r="P52" i="3"/>
  <c r="M52" i="3"/>
  <c r="L52" i="3"/>
  <c r="K52" i="3"/>
  <c r="H52" i="3"/>
  <c r="G52" i="3"/>
  <c r="F52" i="3"/>
  <c r="U51" i="3"/>
  <c r="T51" i="3"/>
  <c r="R51" i="3"/>
  <c r="Q51" i="3"/>
  <c r="P51" i="3"/>
  <c r="M51" i="3"/>
  <c r="L51" i="3"/>
  <c r="K51" i="3"/>
  <c r="H51" i="3"/>
  <c r="G51" i="3"/>
  <c r="F51" i="3"/>
  <c r="T50" i="3"/>
  <c r="U50" i="3" s="1"/>
  <c r="R50" i="3"/>
  <c r="Q50" i="3"/>
  <c r="P50" i="3"/>
  <c r="M50" i="3"/>
  <c r="L50" i="3"/>
  <c r="K50" i="3"/>
  <c r="H50" i="3"/>
  <c r="G50" i="3"/>
  <c r="F50" i="3"/>
  <c r="T49" i="3"/>
  <c r="U49" i="3" s="1"/>
  <c r="R49" i="3"/>
  <c r="Q49" i="3"/>
  <c r="P49" i="3"/>
  <c r="M49" i="3"/>
  <c r="L49" i="3"/>
  <c r="K49" i="3"/>
  <c r="H49" i="3"/>
  <c r="G49" i="3"/>
  <c r="F49" i="3"/>
  <c r="U48" i="3"/>
  <c r="T48" i="3"/>
  <c r="R48" i="3"/>
  <c r="Q48" i="3"/>
  <c r="P48" i="3"/>
  <c r="M48" i="3"/>
  <c r="L48" i="3"/>
  <c r="K48" i="3"/>
  <c r="H48" i="3"/>
  <c r="G48" i="3"/>
  <c r="F48" i="3"/>
  <c r="U47" i="3"/>
  <c r="T47" i="3"/>
  <c r="R47" i="3"/>
  <c r="Q47" i="3"/>
  <c r="P47" i="3"/>
  <c r="M47" i="3"/>
  <c r="L47" i="3"/>
  <c r="K47" i="3"/>
  <c r="H47" i="3"/>
  <c r="G47" i="3"/>
  <c r="F47" i="3"/>
  <c r="T46" i="3"/>
  <c r="U46" i="3" s="1"/>
  <c r="R46" i="3"/>
  <c r="Q46" i="3"/>
  <c r="P46" i="3"/>
  <c r="M46" i="3"/>
  <c r="L46" i="3"/>
  <c r="K46" i="3"/>
  <c r="H46" i="3"/>
  <c r="G46" i="3"/>
  <c r="F46" i="3"/>
  <c r="T45" i="3"/>
  <c r="U45" i="3" s="1"/>
  <c r="R45" i="3"/>
  <c r="Q45" i="3"/>
  <c r="P45" i="3"/>
  <c r="M45" i="3"/>
  <c r="L45" i="3"/>
  <c r="K45" i="3"/>
  <c r="H45" i="3"/>
  <c r="G45" i="3"/>
  <c r="F45" i="3"/>
  <c r="U44" i="3"/>
  <c r="T44" i="3"/>
  <c r="R44" i="3"/>
  <c r="Q44" i="3"/>
  <c r="P44" i="3"/>
  <c r="M44" i="3"/>
  <c r="L44" i="3"/>
  <c r="K44" i="3"/>
  <c r="H44" i="3"/>
  <c r="G44" i="3"/>
  <c r="F44" i="3"/>
  <c r="U43" i="3"/>
  <c r="T43" i="3"/>
  <c r="R43" i="3"/>
  <c r="Q43" i="3"/>
  <c r="P43" i="3"/>
  <c r="M43" i="3"/>
  <c r="L43" i="3"/>
  <c r="K43" i="3"/>
  <c r="H43" i="3"/>
  <c r="G43" i="3"/>
  <c r="F43" i="3"/>
  <c r="U42" i="3"/>
  <c r="T42" i="3"/>
  <c r="R42" i="3"/>
  <c r="Q42" i="3"/>
  <c r="P42" i="3"/>
  <c r="M42" i="3"/>
  <c r="L42" i="3"/>
  <c r="K42" i="3"/>
  <c r="H42" i="3"/>
  <c r="G42" i="3"/>
  <c r="F42" i="3"/>
  <c r="T41" i="3"/>
  <c r="U41" i="3" s="1"/>
  <c r="R41" i="3"/>
  <c r="Q41" i="3"/>
  <c r="P41" i="3"/>
  <c r="M41" i="3"/>
  <c r="L41" i="3"/>
  <c r="K41" i="3"/>
  <c r="H41" i="3"/>
  <c r="G41" i="3"/>
  <c r="F41" i="3"/>
  <c r="U40" i="3"/>
  <c r="T40" i="3"/>
  <c r="R40" i="3"/>
  <c r="Q40" i="3"/>
  <c r="P40" i="3"/>
  <c r="M40" i="3"/>
  <c r="L40" i="3"/>
  <c r="K40" i="3"/>
  <c r="H40" i="3"/>
  <c r="G40" i="3"/>
  <c r="F40" i="3"/>
  <c r="U39" i="3"/>
  <c r="T39" i="3"/>
  <c r="R39" i="3"/>
  <c r="Q39" i="3"/>
  <c r="P39" i="3"/>
  <c r="M39" i="3"/>
  <c r="L39" i="3"/>
  <c r="K39" i="3"/>
  <c r="H39" i="3"/>
  <c r="G39" i="3"/>
  <c r="F39" i="3"/>
  <c r="T38" i="3"/>
  <c r="U38" i="3" s="1"/>
  <c r="R38" i="3"/>
  <c r="Q38" i="3"/>
  <c r="P38" i="3"/>
  <c r="M38" i="3"/>
  <c r="L38" i="3"/>
  <c r="K38" i="3"/>
  <c r="H38" i="3"/>
  <c r="G38" i="3"/>
  <c r="F38" i="3"/>
  <c r="T37" i="3"/>
  <c r="U37" i="3" s="1"/>
  <c r="R37" i="3"/>
  <c r="Q37" i="3"/>
  <c r="P37" i="3"/>
  <c r="M37" i="3"/>
  <c r="L37" i="3"/>
  <c r="K37" i="3"/>
  <c r="H37" i="3"/>
  <c r="G37" i="3"/>
  <c r="F37" i="3"/>
  <c r="U36" i="3"/>
  <c r="T36" i="3"/>
  <c r="R36" i="3"/>
  <c r="Q36" i="3"/>
  <c r="P36" i="3"/>
  <c r="M36" i="3"/>
  <c r="L36" i="3"/>
  <c r="K36" i="3"/>
  <c r="H36" i="3"/>
  <c r="G36" i="3"/>
  <c r="F36" i="3"/>
  <c r="U35" i="3"/>
  <c r="T35" i="3"/>
  <c r="R35" i="3"/>
  <c r="Q35" i="3"/>
  <c r="P35" i="3"/>
  <c r="M35" i="3"/>
  <c r="L35" i="3"/>
  <c r="K35" i="3"/>
  <c r="H35" i="3"/>
  <c r="G35" i="3"/>
  <c r="F35" i="3"/>
  <c r="T34" i="3"/>
  <c r="U34" i="3" s="1"/>
  <c r="R34" i="3"/>
  <c r="Q34" i="3"/>
  <c r="P34" i="3"/>
  <c r="M34" i="3"/>
  <c r="L34" i="3"/>
  <c r="K34" i="3"/>
  <c r="H34" i="3"/>
  <c r="G34" i="3"/>
  <c r="F34" i="3"/>
  <c r="T33" i="3"/>
  <c r="U33" i="3" s="1"/>
  <c r="R33" i="3"/>
  <c r="Q33" i="3"/>
  <c r="P33" i="3"/>
  <c r="M33" i="3"/>
  <c r="L33" i="3"/>
  <c r="K33" i="3"/>
  <c r="H33" i="3"/>
  <c r="G33" i="3"/>
  <c r="F33" i="3"/>
  <c r="U32" i="3"/>
  <c r="T32" i="3"/>
  <c r="R32" i="3"/>
  <c r="Q32" i="3"/>
  <c r="P32" i="3"/>
  <c r="M32" i="3"/>
  <c r="L32" i="3"/>
  <c r="K32" i="3"/>
  <c r="H32" i="3"/>
  <c r="G32" i="3"/>
  <c r="F32" i="3"/>
  <c r="U31" i="3"/>
  <c r="T31" i="3"/>
  <c r="R31" i="3"/>
  <c r="Q31" i="3"/>
  <c r="P31" i="3"/>
  <c r="M31" i="3"/>
  <c r="L31" i="3"/>
  <c r="K31" i="3"/>
  <c r="H31" i="3"/>
  <c r="G31" i="3"/>
  <c r="F31" i="3"/>
  <c r="U30" i="3"/>
  <c r="T30" i="3"/>
  <c r="R30" i="3"/>
  <c r="Q30" i="3"/>
  <c r="P30" i="3"/>
  <c r="M30" i="3"/>
  <c r="L30" i="3"/>
  <c r="K30" i="3"/>
  <c r="H30" i="3"/>
  <c r="G30" i="3"/>
  <c r="F30" i="3"/>
  <c r="T29" i="3"/>
  <c r="U29" i="3" s="1"/>
  <c r="R29" i="3"/>
  <c r="Q29" i="3"/>
  <c r="P29" i="3"/>
  <c r="M29" i="3"/>
  <c r="L29" i="3"/>
  <c r="K29" i="3"/>
  <c r="H29" i="3"/>
  <c r="G29" i="3"/>
  <c r="F29" i="3"/>
  <c r="U28" i="3"/>
  <c r="T28" i="3"/>
  <c r="R28" i="3"/>
  <c r="Q28" i="3"/>
  <c r="P28" i="3"/>
  <c r="M28" i="3"/>
  <c r="L28" i="3"/>
  <c r="K28" i="3"/>
  <c r="H28" i="3"/>
  <c r="G28" i="3"/>
  <c r="F28" i="3"/>
  <c r="U27" i="3"/>
  <c r="T27" i="3"/>
  <c r="R27" i="3"/>
  <c r="Q27" i="3"/>
  <c r="P27" i="3"/>
  <c r="M27" i="3"/>
  <c r="L27" i="3"/>
  <c r="K27" i="3"/>
  <c r="H27" i="3"/>
  <c r="G27" i="3"/>
  <c r="F27" i="3"/>
  <c r="T26" i="3"/>
  <c r="U26" i="3" s="1"/>
  <c r="R26" i="3"/>
  <c r="Q26" i="3"/>
  <c r="P26" i="3"/>
  <c r="M26" i="3"/>
  <c r="L26" i="3"/>
  <c r="K26" i="3"/>
  <c r="H26" i="3"/>
  <c r="G26" i="3"/>
  <c r="F26" i="3"/>
  <c r="T25" i="3"/>
  <c r="U25" i="3" s="1"/>
  <c r="R25" i="3"/>
  <c r="Q25" i="3"/>
  <c r="P25" i="3"/>
  <c r="M25" i="3"/>
  <c r="L25" i="3"/>
  <c r="K25" i="3"/>
  <c r="H25" i="3"/>
  <c r="G25" i="3"/>
  <c r="F25" i="3"/>
  <c r="U24" i="3"/>
  <c r="T24" i="3"/>
  <c r="R24" i="3"/>
  <c r="Q24" i="3"/>
  <c r="P24" i="3"/>
  <c r="M24" i="3"/>
  <c r="L24" i="3"/>
  <c r="K24" i="3"/>
  <c r="H24" i="3"/>
  <c r="G24" i="3"/>
  <c r="F24" i="3"/>
  <c r="U23" i="3"/>
  <c r="T23" i="3"/>
  <c r="R23" i="3"/>
  <c r="Q23" i="3"/>
  <c r="P23" i="3"/>
  <c r="M23" i="3"/>
  <c r="L23" i="3"/>
  <c r="K23" i="3"/>
  <c r="H23" i="3"/>
  <c r="G23" i="3"/>
  <c r="F23" i="3"/>
  <c r="T22" i="3"/>
  <c r="U22" i="3" s="1"/>
  <c r="R22" i="3"/>
  <c r="Q22" i="3"/>
  <c r="P22" i="3"/>
  <c r="M22" i="3"/>
  <c r="L22" i="3"/>
  <c r="K22" i="3"/>
  <c r="H22" i="3"/>
  <c r="G22" i="3"/>
  <c r="F22" i="3"/>
  <c r="T21" i="3"/>
  <c r="U21" i="3" s="1"/>
  <c r="E53" i="1" s="1"/>
  <c r="R21" i="3"/>
  <c r="Q21" i="3"/>
  <c r="P21" i="3"/>
  <c r="M21" i="3"/>
  <c r="L21" i="3"/>
  <c r="K21" i="3"/>
  <c r="H21" i="3"/>
  <c r="G21" i="3"/>
  <c r="F21" i="3"/>
  <c r="U20" i="3"/>
  <c r="T20" i="3"/>
  <c r="R20" i="3"/>
  <c r="Q20" i="3"/>
  <c r="P20" i="3"/>
  <c r="M20" i="3"/>
  <c r="L20" i="3"/>
  <c r="K20" i="3"/>
  <c r="H20" i="3"/>
  <c r="G20" i="3"/>
  <c r="F20" i="3"/>
  <c r="U19" i="3"/>
  <c r="T19" i="3"/>
  <c r="R19" i="3"/>
  <c r="Q19" i="3"/>
  <c r="P19" i="3"/>
  <c r="M19" i="3"/>
  <c r="L19" i="3"/>
  <c r="K19" i="3"/>
  <c r="H19" i="3"/>
  <c r="G19" i="3"/>
  <c r="F19" i="3"/>
  <c r="U18" i="3"/>
  <c r="T18" i="3"/>
  <c r="R18" i="3"/>
  <c r="Q18" i="3"/>
  <c r="P18" i="3"/>
  <c r="M18" i="3"/>
  <c r="L18" i="3"/>
  <c r="K18" i="3"/>
  <c r="H18" i="3"/>
  <c r="G18" i="3"/>
  <c r="F18" i="3"/>
  <c r="T17" i="3"/>
  <c r="U17" i="3" s="1"/>
  <c r="R17" i="3"/>
  <c r="Q17" i="3"/>
  <c r="P17" i="3"/>
  <c r="M17" i="3"/>
  <c r="L17" i="3"/>
  <c r="K17" i="3"/>
  <c r="H17" i="3"/>
  <c r="G17" i="3"/>
  <c r="F17" i="3"/>
  <c r="U16" i="3"/>
  <c r="T16" i="3"/>
  <c r="R16" i="3"/>
  <c r="Q16" i="3"/>
  <c r="P16" i="3"/>
  <c r="M16" i="3"/>
  <c r="L16" i="3"/>
  <c r="K16" i="3"/>
  <c r="H16" i="3"/>
  <c r="G16" i="3"/>
  <c r="F16" i="3"/>
  <c r="U15" i="3"/>
  <c r="T15" i="3"/>
  <c r="R15" i="3"/>
  <c r="Q15" i="3"/>
  <c r="P15" i="3"/>
  <c r="M15" i="3"/>
  <c r="L15" i="3"/>
  <c r="K15" i="3"/>
  <c r="H15" i="3"/>
  <c r="G15" i="3"/>
  <c r="F15" i="3"/>
  <c r="T14" i="3"/>
  <c r="U14" i="3" s="1"/>
  <c r="R14" i="3"/>
  <c r="Q14" i="3"/>
  <c r="P14" i="3"/>
  <c r="M14" i="3"/>
  <c r="L14" i="3"/>
  <c r="K14" i="3"/>
  <c r="H14" i="3"/>
  <c r="G14" i="3"/>
  <c r="F14" i="3"/>
  <c r="T13" i="3"/>
  <c r="U13" i="3" s="1"/>
  <c r="R13" i="3"/>
  <c r="Q13" i="3"/>
  <c r="P13" i="3"/>
  <c r="M13" i="3"/>
  <c r="L13" i="3"/>
  <c r="K13" i="3"/>
  <c r="H13" i="3"/>
  <c r="G13" i="3"/>
  <c r="F13" i="3"/>
  <c r="U12" i="3"/>
  <c r="T12" i="3"/>
  <c r="R12" i="3"/>
  <c r="Q12" i="3"/>
  <c r="P12" i="3"/>
  <c r="M12" i="3"/>
  <c r="L12" i="3"/>
  <c r="K12" i="3"/>
  <c r="H12" i="3"/>
  <c r="G12" i="3"/>
  <c r="F12" i="3"/>
  <c r="U11" i="3"/>
  <c r="T11" i="3"/>
  <c r="R11" i="3"/>
  <c r="Q11" i="3"/>
  <c r="P11" i="3"/>
  <c r="M11" i="3"/>
  <c r="L11" i="3"/>
  <c r="K11" i="3"/>
  <c r="H11" i="3"/>
  <c r="G11" i="3"/>
  <c r="F11" i="3"/>
  <c r="T10" i="3"/>
  <c r="U10" i="3" s="1"/>
  <c r="R10" i="3"/>
  <c r="Q10" i="3"/>
  <c r="P10" i="3"/>
  <c r="M10" i="3"/>
  <c r="L10" i="3"/>
  <c r="K10" i="3"/>
  <c r="H10" i="3"/>
  <c r="G10" i="3"/>
  <c r="F10" i="3"/>
  <c r="T9" i="3"/>
  <c r="U9" i="3" s="1"/>
  <c r="R9" i="3"/>
  <c r="Q9" i="3"/>
  <c r="P9" i="3"/>
  <c r="M9" i="3"/>
  <c r="L9" i="3"/>
  <c r="K9" i="3"/>
  <c r="H9" i="3"/>
  <c r="G9" i="3"/>
  <c r="F9" i="3"/>
  <c r="U8" i="3"/>
  <c r="T8" i="3"/>
  <c r="R8" i="3"/>
  <c r="Q8" i="3"/>
  <c r="P8" i="3"/>
  <c r="M8" i="3"/>
  <c r="L8" i="3"/>
  <c r="K8" i="3"/>
  <c r="H8" i="3"/>
  <c r="G8" i="3"/>
  <c r="F8" i="3"/>
  <c r="T7" i="3"/>
  <c r="U7" i="3" s="1"/>
  <c r="E52" i="1" s="1"/>
  <c r="R7" i="3"/>
  <c r="Q7" i="3"/>
  <c r="P7" i="3"/>
  <c r="M7" i="3"/>
  <c r="L7" i="3"/>
  <c r="K7" i="3"/>
  <c r="H7" i="3"/>
  <c r="G7" i="3"/>
  <c r="F7" i="3"/>
  <c r="U6" i="3"/>
  <c r="T6" i="3"/>
  <c r="R6" i="3"/>
  <c r="Q6" i="3"/>
  <c r="P6" i="3"/>
  <c r="M6" i="3"/>
  <c r="L6" i="3"/>
  <c r="H6" i="3"/>
  <c r="G6" i="3"/>
  <c r="F6" i="3"/>
  <c r="E50" i="1"/>
  <c r="D46" i="1"/>
  <c r="D45" i="1"/>
  <c r="B45" i="1"/>
  <c r="D44" i="1"/>
  <c r="B44" i="1"/>
  <c r="H43" i="1"/>
  <c r="D43" i="1"/>
  <c r="B43" i="1"/>
  <c r="D42" i="1"/>
  <c r="B42" i="1"/>
  <c r="D41" i="1"/>
  <c r="B41" i="1"/>
  <c r="D40" i="1"/>
  <c r="B40" i="1"/>
  <c r="D39" i="1"/>
  <c r="B39" i="1"/>
  <c r="D38" i="1"/>
  <c r="B38" i="1"/>
  <c r="H37" i="1"/>
  <c r="D37" i="1"/>
  <c r="B37" i="1"/>
  <c r="D36" i="1"/>
  <c r="B36" i="1"/>
  <c r="D35" i="1"/>
  <c r="B35" i="1"/>
  <c r="F34" i="1"/>
  <c r="D34" i="1"/>
  <c r="B34" i="1"/>
  <c r="D33" i="1"/>
  <c r="B33" i="1"/>
  <c r="D32" i="1"/>
  <c r="B32" i="1"/>
  <c r="D31" i="1"/>
  <c r="B31" i="1"/>
  <c r="D30" i="1"/>
  <c r="B30" i="1"/>
  <c r="D29" i="1"/>
  <c r="B29" i="1"/>
  <c r="D28" i="1"/>
  <c r="B28" i="1"/>
  <c r="D27" i="1"/>
  <c r="B27" i="1"/>
  <c r="D26" i="1"/>
  <c r="B26" i="1"/>
  <c r="H25" i="1"/>
  <c r="D25" i="1"/>
  <c r="B25" i="1"/>
  <c r="D24" i="1"/>
  <c r="B24" i="1"/>
  <c r="D23" i="1"/>
  <c r="B23" i="1"/>
  <c r="F22" i="1"/>
  <c r="D22" i="1"/>
  <c r="B22" i="1"/>
  <c r="D21" i="1"/>
  <c r="B21" i="1"/>
  <c r="D20" i="1"/>
  <c r="B20" i="1"/>
  <c r="D19" i="1"/>
  <c r="B19" i="1"/>
  <c r="D18" i="1"/>
  <c r="B18" i="1"/>
  <c r="D17" i="1"/>
  <c r="B17" i="1"/>
  <c r="H16" i="1"/>
  <c r="D16" i="1"/>
  <c r="B16" i="1"/>
  <c r="D15" i="1"/>
  <c r="B15" i="1"/>
  <c r="D14" i="1"/>
  <c r="B14" i="1"/>
  <c r="H13" i="1"/>
  <c r="D13" i="1"/>
  <c r="B13" i="1"/>
  <c r="D12" i="1"/>
  <c r="B12" i="1"/>
  <c r="D8" i="1"/>
  <c r="F6" i="1"/>
  <c r="D6" i="1"/>
  <c r="B6" i="1"/>
  <c r="C21" i="4" l="1"/>
  <c r="F30" i="1" s="1"/>
  <c r="D21" i="4"/>
  <c r="H30" i="1" s="1"/>
  <c r="D8" i="4"/>
  <c r="H17" i="1" s="1"/>
  <c r="C8" i="4"/>
  <c r="F17" i="1" s="1"/>
  <c r="C17" i="4"/>
  <c r="F26" i="1" s="1"/>
  <c r="D17" i="4"/>
  <c r="H26" i="1" s="1"/>
  <c r="D31" i="4"/>
  <c r="H40" i="1" s="1"/>
  <c r="D35" i="4"/>
  <c r="H44" i="1" s="1"/>
  <c r="C35" i="4"/>
  <c r="F44" i="1" s="1"/>
  <c r="H55" i="1"/>
  <c r="H51" i="1"/>
  <c r="E55" i="1"/>
  <c r="E51" i="1"/>
  <c r="E59" i="1"/>
  <c r="B55" i="1"/>
  <c r="B51" i="1"/>
  <c r="H50" i="1"/>
  <c r="H54" i="1"/>
  <c r="E54" i="1"/>
  <c r="B58" i="1"/>
  <c r="E57" i="1"/>
  <c r="B53" i="1"/>
  <c r="H52" i="1"/>
  <c r="H56" i="1"/>
  <c r="E56" i="1"/>
  <c r="B52" i="1"/>
  <c r="D6" i="4"/>
  <c r="H15" i="1" s="1"/>
  <c r="C6" i="4"/>
  <c r="F15" i="1" s="1"/>
  <c r="C33" i="4"/>
  <c r="F42" i="1" s="1"/>
  <c r="D33" i="4"/>
  <c r="H42" i="1" s="1"/>
  <c r="D20" i="4"/>
  <c r="H29" i="1" s="1"/>
  <c r="C20" i="4"/>
  <c r="F29" i="1" s="1"/>
  <c r="D23" i="4"/>
  <c r="H32" i="1" s="1"/>
  <c r="H59" i="1"/>
  <c r="C5" i="4"/>
  <c r="F14" i="1" s="1"/>
  <c r="D5" i="4"/>
  <c r="H14" i="1" s="1"/>
  <c r="D36" i="4"/>
  <c r="H45" i="1" s="1"/>
  <c r="H53" i="1"/>
  <c r="B54" i="1"/>
  <c r="H57" i="1"/>
  <c r="D22" i="4"/>
  <c r="H31" i="1" s="1"/>
  <c r="C22" i="4"/>
  <c r="F31" i="1" s="1"/>
  <c r="D26" i="4"/>
  <c r="H35" i="1" s="1"/>
  <c r="C26" i="4"/>
  <c r="F35" i="1" s="1"/>
  <c r="D19" i="4"/>
  <c r="H28" i="1" s="1"/>
  <c r="C9" i="4"/>
  <c r="F18" i="1" s="1"/>
  <c r="D9" i="4"/>
  <c r="H18" i="1" s="1"/>
  <c r="D27" i="4"/>
  <c r="H36" i="1" s="1"/>
  <c r="C27" i="4"/>
  <c r="F36" i="1" s="1"/>
  <c r="D14" i="4"/>
  <c r="H23" i="1" s="1"/>
  <c r="D18" i="4"/>
  <c r="H27" i="1" s="1"/>
  <c r="C29" i="4"/>
  <c r="F38" i="1" s="1"/>
  <c r="D29" i="4"/>
  <c r="H38" i="1" s="1"/>
  <c r="D11" i="4"/>
  <c r="H20" i="1" s="1"/>
  <c r="B50" i="1"/>
  <c r="D10" i="4"/>
  <c r="H19" i="1" s="1"/>
  <c r="C10" i="4"/>
  <c r="F19" i="1" s="1"/>
  <c r="B56" i="1"/>
  <c r="D13" i="4"/>
  <c r="H22" i="1" s="1"/>
  <c r="D25" i="4"/>
  <c r="H34" i="1" s="1"/>
  <c r="C14" i="4"/>
  <c r="F23" i="1" s="1"/>
  <c r="C18" i="4"/>
  <c r="F27" i="1" s="1"/>
  <c r="C30" i="4"/>
  <c r="F39" i="1" s="1"/>
  <c r="C34" i="4"/>
  <c r="F43" i="1" s="1"/>
  <c r="B57" i="1"/>
  <c r="C3" i="4"/>
  <c r="F12" i="1" s="1"/>
  <c r="C7" i="4"/>
  <c r="F16" i="1" s="1"/>
  <c r="C11" i="4"/>
  <c r="F20" i="1" s="1"/>
  <c r="C15" i="4"/>
  <c r="F24" i="1" s="1"/>
  <c r="C19" i="4"/>
  <c r="F28" i="1" s="1"/>
  <c r="C23" i="4"/>
  <c r="F32" i="1" s="1"/>
  <c r="C31" i="4"/>
  <c r="F40" i="1" s="1"/>
  <c r="D3" i="4"/>
  <c r="E58" i="1"/>
  <c r="H58" i="1"/>
  <c r="C4" i="4"/>
  <c r="F13" i="1" s="1"/>
  <c r="C12" i="4"/>
  <c r="F21" i="1" s="1"/>
  <c r="C16" i="4"/>
  <c r="F25" i="1" s="1"/>
  <c r="C24" i="4"/>
  <c r="F33" i="1" s="1"/>
  <c r="C28" i="4"/>
  <c r="F37" i="1" s="1"/>
  <c r="C32" i="4"/>
  <c r="F41" i="1" s="1"/>
  <c r="C36" i="4"/>
  <c r="F45" i="1" s="1"/>
  <c r="B59" i="1"/>
  <c r="D37" i="4" l="1"/>
  <c r="H12" i="1"/>
  <c r="H46" i="1" l="1"/>
  <c r="H6" i="1"/>
</calcChain>
</file>

<file path=xl/sharedStrings.xml><?xml version="1.0" encoding="utf-8"?>
<sst xmlns="http://schemas.openxmlformats.org/spreadsheetml/2006/main" count="3906" uniqueCount="855">
  <si>
    <t>TOTAL PRODUCTOS</t>
  </si>
  <si>
    <t>CATEGORÍAS</t>
  </si>
  <si>
    <t>PROVEEDORES</t>
  </si>
  <si>
    <t>COSTO TOTAL EST.</t>
  </si>
  <si>
    <t>Factor de incremento:</t>
  </si>
  <si>
    <t>COSTO ESTIMADO TOTAL POR CATEGORÍA</t>
  </si>
  <si>
    <t>CATEGORÍA</t>
  </si>
  <si>
    <t>N° PROD.</t>
  </si>
  <si>
    <t>PROM. ESTIMADO</t>
  </si>
  <si>
    <t>TOTAL ESTIMADO</t>
  </si>
  <si>
    <t>TOTAL</t>
  </si>
  <si>
    <t>TOP 10 — PRODUCTOS CON MAYOR PRECIO ESTIMADO</t>
  </si>
  <si>
    <t>INGREDIENTE</t>
  </si>
  <si>
    <t>PRECIO ESTIMADO</t>
  </si>
  <si>
    <t>EMPRESA</t>
  </si>
  <si>
    <t>TIPO</t>
  </si>
  <si>
    <t>ENCARGADO</t>
  </si>
  <si>
    <t>TELÉFONO</t>
  </si>
  <si>
    <t>COND. PAGO</t>
  </si>
  <si>
    <t>DETALLE</t>
  </si>
  <si>
    <t>ACUICOLA ALAS SPA</t>
  </si>
  <si>
    <t>PESCADOS Y CAVIAR</t>
  </si>
  <si>
    <t>Felipe Tisné - Viviana Olmos</t>
  </si>
  <si>
    <t>ventas@kenoz.cl,ftisne@kenoz.cl,contabilidad@acuicolaalas.cl</t>
  </si>
  <si>
    <t>56961682811 - 56224766094</t>
  </si>
  <si>
    <t>30 dias</t>
  </si>
  <si>
    <t>Agricola y Ganadera Santa Laura Spa</t>
  </si>
  <si>
    <t>CARNES</t>
  </si>
  <si>
    <t>MARIE HERRERA</t>
  </si>
  <si>
    <t>mherrera@ganaderasantalaura.cl</t>
  </si>
  <si>
    <t>ANDES BLEND SPA</t>
  </si>
  <si>
    <t>VINOS</t>
  </si>
  <si>
    <t>Johana Guerra</t>
  </si>
  <si>
    <t>cobranzas@andesblend.cl,johana.guerra@andesblend.cl,rene.ayala@andesblend.cl,pablo.alvarez@andesblend.cl</t>
  </si>
  <si>
    <t>569 27314288 - 56983623633</t>
  </si>
  <si>
    <t>Bidfood Chile SA</t>
  </si>
  <si>
    <t>ABARROTES</t>
  </si>
  <si>
    <t>ARELI</t>
  </si>
  <si>
    <t>pagos@bidfood.cl,pmolina@bidfood.cl</t>
  </si>
  <si>
    <t>56225994444 - 56998038459</t>
  </si>
  <si>
    <t>verificar pagina web</t>
  </si>
  <si>
    <t>CASERITA EN CASA SPA</t>
  </si>
  <si>
    <t>FRUTAS Y VERDURAS</t>
  </si>
  <si>
    <t>Francisco Montaner</t>
  </si>
  <si>
    <t>caseritaencasa@gmail.com</t>
  </si>
  <si>
    <t>56952069703</t>
  </si>
  <si>
    <t>COM Y DIST DE PRODUCTOS DEL MAR CHRISTIAN OLGUIN</t>
  </si>
  <si>
    <t>PESCADOS Y MARISCOS</t>
  </si>
  <si>
    <t>MARCELA UGARTE</t>
  </si>
  <si>
    <t>mudellarossa@gmail.com</t>
  </si>
  <si>
    <t>56965657557</t>
  </si>
  <si>
    <t>Comercial Bastien</t>
  </si>
  <si>
    <t>REPOSTERIA Y PASTELERIA</t>
  </si>
  <si>
    <t>Paulina Medina</t>
  </si>
  <si>
    <t>pmedina@bastien.cl,ventas@bastien.cl</t>
  </si>
  <si>
    <t>56223307540</t>
  </si>
  <si>
    <t>COMERCIAL BIOLACTEOS SPA</t>
  </si>
  <si>
    <t>CULTIVOS LIOFILIZADO EN POLVO</t>
  </si>
  <si>
    <t>Gonzalo Ortega</t>
  </si>
  <si>
    <t>gonzalo@fermentosdelsur.cl</t>
  </si>
  <si>
    <t>56979639333</t>
  </si>
  <si>
    <t>COMERCIAL BOTE DE PESCA SPA</t>
  </si>
  <si>
    <t>MARISCOS Y PECADOS</t>
  </si>
  <si>
    <t>MAX HERRERA</t>
  </si>
  <si>
    <t>ventas@botedepesca.cl,max@botedepesca.cl,contabilidad@botedepesca.cl,nicolasklima@botedepesca.cl</t>
  </si>
  <si>
    <t>56993435700</t>
  </si>
  <si>
    <t>Comercial Chau</t>
  </si>
  <si>
    <t>Ximena Marquez</t>
  </si>
  <si>
    <t>jefecobranza@comercialchau.com, ventas@buenacarne.cl,tesoreria@comercialchau.com,asistentecomercial2@comercialchau.com</t>
  </si>
  <si>
    <t>56225853801</t>
  </si>
  <si>
    <t>COMERCIAL EDWARDS FINE WINES LTDA</t>
  </si>
  <si>
    <t>VINOS Y LICORES</t>
  </si>
  <si>
    <t>Diego Edwards</t>
  </si>
  <si>
    <t>dedwardj@uc.cl,ventas@efwines.cl</t>
  </si>
  <si>
    <t>COMERCIAL SANTA CATALINA LTDA</t>
  </si>
  <si>
    <t>ABARROTES Y VERDURAS</t>
  </si>
  <si>
    <t>Juan Yañez Vargas</t>
  </si>
  <si>
    <t>santacatalina3@gmail.com</t>
  </si>
  <si>
    <t>56996996469</t>
  </si>
  <si>
    <t>Comercial Sur Spa</t>
  </si>
  <si>
    <t>CONDIMENTOS Y ESPECIES</t>
  </si>
  <si>
    <t>Sebastian Dib - Maria Dib</t>
  </si>
  <si>
    <t>sdib@etnia.cl, medib@etnia.cl</t>
  </si>
  <si>
    <t>56966473468</t>
  </si>
  <si>
    <t>COMERCIAL VALENZUELA COMPANIA LIMITADA</t>
  </si>
  <si>
    <t>MARISCOS</t>
  </si>
  <si>
    <t>MILLARAY VALENZUEA</t>
  </si>
  <si>
    <t>valenzuela.contabilidad@hotmail.com</t>
  </si>
  <si>
    <t>Comercializador y Dist San Andres y CIA Ltda</t>
  </si>
  <si>
    <t>NICOLE LANAS</t>
  </si>
  <si>
    <t>COBRANZA@CSANANDRES.CL,nicole.lanas@csanandres.cl</t>
  </si>
  <si>
    <t>(32) 281 4893</t>
  </si>
  <si>
    <t>COMERCIALIZADORA AYM LTDA</t>
  </si>
  <si>
    <t>cecialvear@gmail.com</t>
  </si>
  <si>
    <t>Comercializadora Benbo Spa</t>
  </si>
  <si>
    <t>HUEVOS</t>
  </si>
  <si>
    <t>Nicolas Borobio</t>
  </si>
  <si>
    <t>equipo@benbo.cl,ventas@benbo.cl</t>
  </si>
  <si>
    <t>Comercializadora de copihues org Ltda</t>
  </si>
  <si>
    <t>COPIHUES</t>
  </si>
  <si>
    <t>JUAN PABLO</t>
  </si>
  <si>
    <t>plaza.juanpablo@gmail.com</t>
  </si>
  <si>
    <t>FRUTERIA CENTRAL SPA</t>
  </si>
  <si>
    <t>GERALDINE ESCOBAR</t>
  </si>
  <si>
    <t>gescobargalvez@gmail.com</t>
  </si>
  <si>
    <t>GOURMET SELECT LTDA</t>
  </si>
  <si>
    <t>ESPECIES</t>
  </si>
  <si>
    <t>Génesis Sanchez</t>
  </si>
  <si>
    <t>chef@gourmetselect.cl,contabilidad@gourmetselect.cl,pedidos@gourmetselect.cl,info@gourmetselect.cl</t>
  </si>
  <si>
    <t>56944921093</t>
  </si>
  <si>
    <t>consultar web</t>
  </si>
  <si>
    <t>Grupo Dk Servicios Limitada</t>
  </si>
  <si>
    <t>ASEO</t>
  </si>
  <si>
    <t>Adriana Salazar - Yilsa Paredes</t>
  </si>
  <si>
    <t>contacto@grupodk.cl,asistente@grupodk.cl</t>
  </si>
  <si>
    <t>56222767775 - 56954202544 - 950058344</t>
  </si>
  <si>
    <t>IMPORTADORA Y ALIMENTOS ICB FOOD SERVICE SPA</t>
  </si>
  <si>
    <t>ROXANA LUGO</t>
  </si>
  <si>
    <t>rlugo@icbfs.cl</t>
  </si>
  <si>
    <t>56942914322</t>
  </si>
  <si>
    <t>La Vinoteca</t>
  </si>
  <si>
    <t>Johana Quiroga - Andrea Aristizabal</t>
  </si>
  <si>
    <t>andrea.aristizabal@lavinoteca.cl, johanna.quiroga@lavinoteca.cl, margarita.arias@lavinoteca.cl</t>
  </si>
  <si>
    <t>56228292221 - 56992197824</t>
  </si>
  <si>
    <t>MARALMA FOOD SPA</t>
  </si>
  <si>
    <t>MARISCOS Y PESCADOS</t>
  </si>
  <si>
    <t>Felipe Mena - Areangel Gomez</t>
  </si>
  <si>
    <t>cobranzas@maralmafood.cl,felipemena@maralmafood.cl</t>
  </si>
  <si>
    <t>56985044772</t>
  </si>
  <si>
    <t>MAURICIO CESAR DIAZ FERNANDEZ</t>
  </si>
  <si>
    <t>MAURICIO DIAZ</t>
  </si>
  <si>
    <t>licoval@licoval.cl</t>
  </si>
  <si>
    <t>56992568880</t>
  </si>
  <si>
    <t>MAXIO2 LTDA (oxigeno y nitrogeno)</t>
  </si>
  <si>
    <t>NITROGENO</t>
  </si>
  <si>
    <t>JAIME LOPEZ</t>
  </si>
  <si>
    <t>maxi-o2@outlook.com</t>
  </si>
  <si>
    <t>56942263934</t>
  </si>
  <si>
    <t>contado</t>
  </si>
  <si>
    <t>MINIMARKET Y PROCESADORA MAURICIO ALFREDO REYES AROS EIRL</t>
  </si>
  <si>
    <t>Karla Vidal Aros</t>
  </si>
  <si>
    <t>karlaandrea.vidalaros500@gmail.com,mrsabores@gmail.com</t>
  </si>
  <si>
    <t>56940685328</t>
  </si>
  <si>
    <t>MIRAI RAMEN SPA</t>
  </si>
  <si>
    <t>ESPORAS</t>
  </si>
  <si>
    <t>Ismael Poblete</t>
  </si>
  <si>
    <t>ismael@miraifoodlab.cl,pagos@miraifoodlab.cl</t>
  </si>
  <si>
    <t>NATURALEZA FEMENINA SPA</t>
  </si>
  <si>
    <t>karlaandrea.vidalaros500@gmail.com,naturalezafemeninaspa@gmail.com</t>
  </si>
  <si>
    <t>PALAIS GOURMET LIMITADA</t>
  </si>
  <si>
    <t>CARNES Y LACTEOS</t>
  </si>
  <si>
    <t>Camila Morales - Gonzalo Rivas</t>
  </si>
  <si>
    <t>grivas@palaisgourmet.cl</t>
  </si>
  <si>
    <t>56942132129</t>
  </si>
  <si>
    <t>ROSA BUSTOS PARRA SPA</t>
  </si>
  <si>
    <t>ROSA BUSTOS</t>
  </si>
  <si>
    <t>rosa.bustos@distemar.cl,distemar.ryn@gmail.com</t>
  </si>
  <si>
    <t>SOCIEDAD AGRICOLA LOS FAISANES LIMITADA</t>
  </si>
  <si>
    <t>CARNES EXOTICOS</t>
  </si>
  <si>
    <t>marcelloavatte@hotmail.com</t>
  </si>
  <si>
    <t>SOCIEDAD GANADERA RODRIGUEZ Y GRASSI CIA LTDA</t>
  </si>
  <si>
    <t>Patricia Tapia</t>
  </si>
  <si>
    <t>gr.ganaderareal@gmail.com</t>
  </si>
  <si>
    <t>56983670527</t>
  </si>
  <si>
    <t>TRUFEROSGRAU SPA</t>
  </si>
  <si>
    <t>TRUFAS Y HONGOS</t>
  </si>
  <si>
    <t>MIRENTXU</t>
  </si>
  <si>
    <t>facturacion@truferosgrau.cl,mruiz@truferosgrau.cl</t>
  </si>
  <si>
    <t>56968024411</t>
  </si>
  <si>
    <t>NEUCOBER S.A</t>
  </si>
  <si>
    <t>CHOCOLATE</t>
  </si>
  <si>
    <t>DANIEL GONZALEZ</t>
  </si>
  <si>
    <t>danielgonzalez@neucober.cl</t>
  </si>
  <si>
    <t>56978895811</t>
  </si>
  <si>
    <t>30 días</t>
  </si>
  <si>
    <t>Leche Fresca SpA</t>
  </si>
  <si>
    <t>Leche fresca pasteurizada</t>
  </si>
  <si>
    <t>LUIS INFANTE</t>
  </si>
  <si>
    <t>luis@frescarebeca.cl</t>
  </si>
  <si>
    <t>56985008017</t>
  </si>
  <si>
    <t>Agrogourmet</t>
  </si>
  <si>
    <t>Chocolateria</t>
  </si>
  <si>
    <t>Carolina Montezuma.</t>
  </si>
  <si>
    <t>carolina@agourmet.cl</t>
  </si>
  <si>
    <t>56990220710</t>
  </si>
  <si>
    <t>GRV</t>
  </si>
  <si>
    <t>MARITZA DE LA CERDA</t>
  </si>
  <si>
    <t>MARITZA.DELACERDA@GRV.CL; oscar.soto@grv.cl</t>
  </si>
  <si>
    <t>56961247783</t>
  </si>
  <si>
    <t>Logistic Servis Spa</t>
  </si>
  <si>
    <t>ABARROTE, ALCOHOLICAS Y ANALCOLICAS</t>
  </si>
  <si>
    <t>Eduardo Torres</t>
  </si>
  <si>
    <t>operaciones@logisticfood.cl</t>
  </si>
  <si>
    <t>56975445082</t>
  </si>
  <si>
    <t>Valle del Laja Spa</t>
  </si>
  <si>
    <t>HONGOS</t>
  </si>
  <si>
    <t>info@kugar.cl</t>
  </si>
  <si>
    <t>UM</t>
  </si>
  <si>
    <t>CANT.</t>
  </si>
  <si>
    <t>PROVEEDOR 1</t>
  </si>
  <si>
    <t>CORREO</t>
  </si>
  <si>
    <t>PRECIO P1</t>
  </si>
  <si>
    <t>PROVEEDOR 2</t>
  </si>
  <si>
    <t>PRECIO P2</t>
  </si>
  <si>
    <t>PROVEEDOR 3</t>
  </si>
  <si>
    <t>PRECIO P3</t>
  </si>
  <si>
    <t>PROMEDIO</t>
  </si>
  <si>
    <t>ABARROTE</t>
  </si>
  <si>
    <t>ACEITE DE CANOLA</t>
  </si>
  <si>
    <t>L</t>
  </si>
  <si>
    <t>ACEITE DE COCO</t>
  </si>
  <si>
    <t>ACEITE DE MAIZ</t>
  </si>
  <si>
    <t>ACEITE DE MARAVILLA</t>
  </si>
  <si>
    <t>ACEITE DE OLIVA</t>
  </si>
  <si>
    <t>ACEITE DE SESAMO</t>
  </si>
  <si>
    <t>ACEITE PARA FREIR</t>
  </si>
  <si>
    <t>ACEITE SEMILLA DE GIRASOL</t>
  </si>
  <si>
    <t>ACEITE VEGETAL</t>
  </si>
  <si>
    <t>ACEITUNAS MORADAS</t>
  </si>
  <si>
    <t>kg</t>
  </si>
  <si>
    <t>ACEITUNAS NEGRAS C/HUESO</t>
  </si>
  <si>
    <t>ACEITUNAS NEGRAS S/HUESO</t>
  </si>
  <si>
    <t>ACETO BALSAMICO</t>
  </si>
  <si>
    <t>ACIDO ASCORBICO</t>
  </si>
  <si>
    <t>ACIDO CITRICO</t>
  </si>
  <si>
    <t>AGAR-AGAR</t>
  </si>
  <si>
    <t>AJI AMARILLO EN PASTA</t>
  </si>
  <si>
    <t>AJI CHIPOTLE TARRO</t>
  </si>
  <si>
    <t>AJI DE COLOR</t>
  </si>
  <si>
    <t>AJI EN PASTA</t>
  </si>
  <si>
    <t>AJI EN PASTA GOCHUJANG</t>
  </si>
  <si>
    <t>AJI SRIRACHA</t>
  </si>
  <si>
    <t>AJI TABASCO ROJO</t>
  </si>
  <si>
    <t>AJINOMOTO</t>
  </si>
  <si>
    <t>AJO EN POLVO</t>
  </si>
  <si>
    <t>ALBUMINA</t>
  </si>
  <si>
    <t>ALCAPARRAS</t>
  </si>
  <si>
    <t>ALGA KOMBU</t>
  </si>
  <si>
    <t>alga nori</t>
  </si>
  <si>
    <t>UN</t>
  </si>
  <si>
    <t>ALGINATO DE SODIO</t>
  </si>
  <si>
    <t>ALMENDRAS ENTERAS</t>
  </si>
  <si>
    <t>ALULOSA</t>
  </si>
  <si>
    <t>ARROZ ARBORIO</t>
  </si>
  <si>
    <t>arroz basmati</t>
  </si>
  <si>
    <t>ARROZ GRANO CORTO GRADO 1</t>
  </si>
  <si>
    <t>ARROZ GRANO CORTO GRADO 2</t>
  </si>
  <si>
    <t>ARROZ GRANO LARGO GRADO 1</t>
  </si>
  <si>
    <t>ARROZ GRANO LARGO GRADO 2</t>
  </si>
  <si>
    <t>ARROZ INTEGRAL</t>
  </si>
  <si>
    <t>arroz jazmin</t>
  </si>
  <si>
    <t>AVELLANAS EUROPEAS</t>
  </si>
  <si>
    <t>AVENA SIN GLUTEN</t>
  </si>
  <si>
    <t>AVENA TRADICIONAL</t>
  </si>
  <si>
    <t>azafran</t>
  </si>
  <si>
    <t>AZUCAR BLANCA GRANULADA</t>
  </si>
  <si>
    <t>AZUCAR FLOR</t>
  </si>
  <si>
    <t>AZUCAR GRANULADA ( SACHET)</t>
  </si>
  <si>
    <t>AZUCAR INVERTIDA</t>
  </si>
  <si>
    <t>AZUCAR MORENA</t>
  </si>
  <si>
    <t>AZUCAR RUBIA</t>
  </si>
  <si>
    <t>BICARBONATO DE SODIO</t>
  </si>
  <si>
    <t>BRILLOX GEL / MIROIR</t>
  </si>
  <si>
    <t>CAFE EN SACHET</t>
  </si>
  <si>
    <t>CAFE GRANO MOLIDO</t>
  </si>
  <si>
    <t>CAFE INSTANTANEO</t>
  </si>
  <si>
    <t>CALCIC/CITRATO DE CALCIO</t>
  </si>
  <si>
    <t>CALDO DE CARNE</t>
  </si>
  <si>
    <t>CALLAMPAS SECAS</t>
  </si>
  <si>
    <t>CANELA EN POLVO</t>
  </si>
  <si>
    <t>CANELA ENTERA</t>
  </si>
  <si>
    <t>CARBON DE ESPINO</t>
  </si>
  <si>
    <t>CEBOLLA EN POLVO</t>
  </si>
  <si>
    <t>CEBOLLAS EN ESCABECHE</t>
  </si>
  <si>
    <t>CEBOLLITA PERLA EN VINAGRE</t>
  </si>
  <si>
    <t>CEREAL CORN FLAKES</t>
  </si>
  <si>
    <t>CEREZAS CONFITADAS</t>
  </si>
  <si>
    <t>CHANCACA</t>
  </si>
  <si>
    <t>chuño</t>
  </si>
  <si>
    <t>CLAVO DE OLOR ENTERO</t>
  </si>
  <si>
    <t>CLAVO DE OLOR MOLIDO</t>
  </si>
  <si>
    <t>CLORURO DE CALCIO</t>
  </si>
  <si>
    <t>COCO RALLADO</t>
  </si>
  <si>
    <t>COLAPEZ POR HOJA</t>
  </si>
  <si>
    <t>COLORANTE GEL AMARILLO</t>
  </si>
  <si>
    <t>COMINO MOLIDO</t>
  </si>
  <si>
    <t>CONCENTRADO DE TOMATE</t>
  </si>
  <si>
    <t>COUS COUS</t>
  </si>
  <si>
    <t>CREMA DE COCO S/AZUCAR</t>
  </si>
  <si>
    <t>CREMA MIX VEGETAL</t>
  </si>
  <si>
    <t>CREMA PASTELERA PURATOS</t>
  </si>
  <si>
    <t>CREMOR TARTARO</t>
  </si>
  <si>
    <t>CUCHARAS DE MADERA</t>
  </si>
  <si>
    <t>CURCUMA EN POLVO</t>
  </si>
  <si>
    <t>curry</t>
  </si>
  <si>
    <t>DEXTROSA</t>
  </si>
  <si>
    <t>DURAZNO EN MITADES LATA</t>
  </si>
  <si>
    <t>ENDULZANTE IANSA CERO K STEVIA 250 ML</t>
  </si>
  <si>
    <t>ESENCIA DE COCO</t>
  </si>
  <si>
    <t>ESENCIA DE FRAMBUESA</t>
  </si>
  <si>
    <t>ESENCIA DE NARANJA</t>
  </si>
  <si>
    <t>ESENCIA DE PIÑA</t>
  </si>
  <si>
    <t>ESENCIA DE VAINILLA</t>
  </si>
  <si>
    <t>ESTRAGON SECO</t>
  </si>
  <si>
    <t>ESTRELLA DE ANIS</t>
  </si>
  <si>
    <t>EXTRACTO DE CAFE</t>
  </si>
  <si>
    <t>FIDEO CABELLO DE ANGEL</t>
  </si>
  <si>
    <t>FIDEO SPAGUETTI Nº5</t>
  </si>
  <si>
    <t>FONDANT EN PASTA</t>
  </si>
  <si>
    <t>FRAMBUESA LIOFILIZADA</t>
  </si>
  <si>
    <t>GALLETA DIET GULLON</t>
  </si>
  <si>
    <t>GALLETA MARAVILLA MCKAY</t>
  </si>
  <si>
    <t>GALLETAS DE CHAMPAÑA</t>
  </si>
  <si>
    <t>GALLETAS LOTUS</t>
  </si>
  <si>
    <t>GARBANZOS</t>
  </si>
  <si>
    <t>GARBANZOS COCIDOS EN CONSERVA</t>
  </si>
  <si>
    <t>GEL BINDER TRANSGLUTAMINASA</t>
  </si>
  <si>
    <t>GELATINA SIN SABOR</t>
  </si>
  <si>
    <t>GLICERINA ALIMENTARIA</t>
  </si>
  <si>
    <t>GLUCONOLACTATO</t>
  </si>
  <si>
    <t>GLUCOSA</t>
  </si>
  <si>
    <t>GLUCOSA EN POLVO</t>
  </si>
  <si>
    <t>GOMA GELLAN</t>
  </si>
  <si>
    <t>GOMA KAPPA</t>
  </si>
  <si>
    <t>GOMA XANTANA</t>
  </si>
  <si>
    <t>GUINDA MARRASQUINO</t>
  </si>
  <si>
    <t>HARINA BIZCOCHERA</t>
  </si>
  <si>
    <t>HARINA DE ALMENDRA</t>
  </si>
  <si>
    <t>HARINA DE ARROZ GLUTINOSO</t>
  </si>
  <si>
    <t>HARINA DE ARROZ SUPER FINA</t>
  </si>
  <si>
    <t>HARINA DE CENTENO</t>
  </si>
  <si>
    <t>HARINA DE MAIZ BLANCO PAN</t>
  </si>
  <si>
    <t>HARINA DE TAPIOCA/MANDIOCA</t>
  </si>
  <si>
    <t>HARINA INTEGRAL</t>
  </si>
  <si>
    <t>HARINA PANADERA SOBRE 13 GR</t>
  </si>
  <si>
    <t>HUESILLOS SIN CAROZO SECOS</t>
  </si>
  <si>
    <t>HUMO LIQUIDO</t>
  </si>
  <si>
    <t>ISOMALT</t>
  </si>
  <si>
    <t>JARABE DE MAIZ</t>
  </si>
  <si>
    <t>jengibre encurtido</t>
  </si>
  <si>
    <t>JENGIBRE MOLIDO</t>
  </si>
  <si>
    <t>KETCHUP HELLMANS</t>
  </si>
  <si>
    <t>LAUREL</t>
  </si>
  <si>
    <t>LECITINA DE SOYA</t>
  </si>
  <si>
    <t>LEMON GRASS FRESCO</t>
  </si>
  <si>
    <t>LEVADURA FRESCA</t>
  </si>
  <si>
    <t>LEVADURA SECA</t>
  </si>
  <si>
    <t>MAICENA</t>
  </si>
  <si>
    <t>MAIZ CANCHA</t>
  </si>
  <si>
    <t>MALTODEXTRINA</t>
  </si>
  <si>
    <t>MALVAVISCOS 240 GR</t>
  </si>
  <si>
    <t>MANI CON PIEL</t>
  </si>
  <si>
    <t>MANI TOSTADO</t>
  </si>
  <si>
    <t>MANTECA VEGETAL</t>
  </si>
  <si>
    <t>MANTEQUILLA DE MANÍ CROCANTE</t>
  </si>
  <si>
    <t>MANTEQUILLA EXTRA SECA</t>
  </si>
  <si>
    <t>MARACUYA CRISPY</t>
  </si>
  <si>
    <t>MAYONESA HELLMANS</t>
  </si>
  <si>
    <t>MAYONESA HELLMANS DELI</t>
  </si>
  <si>
    <t>MERKEN</t>
  </si>
  <si>
    <t>MERMELADA DE DAMASCO</t>
  </si>
  <si>
    <t>MERMELADA DE FRAMBUESA</t>
  </si>
  <si>
    <t>MERMELADA DE GUINDA</t>
  </si>
  <si>
    <t>MERMELADA DE PIÑA</t>
  </si>
  <si>
    <t>miel</t>
  </si>
  <si>
    <t>MIEL DE PALMA</t>
  </si>
  <si>
    <t>MOSTACILLA DE COLORES REDONDAS</t>
  </si>
  <si>
    <t>MOSTACILLAS DE COLORES</t>
  </si>
  <si>
    <t>MOSTAZA</t>
  </si>
  <si>
    <t>MOSTAZA DIJON</t>
  </si>
  <si>
    <t>MOSTAZA DIJON ANTIGUA-GRANO</t>
  </si>
  <si>
    <t>MOTE DE MAIZ</t>
  </si>
  <si>
    <t>NARANJA CONFITADA</t>
  </si>
  <si>
    <t>NUEZ MARIPOSA</t>
  </si>
  <si>
    <t>NUEZ MOSCADA ENTERA</t>
  </si>
  <si>
    <t>NUEZ MOSCADA MOLIDA</t>
  </si>
  <si>
    <t>OREGANO FRESCO</t>
  </si>
  <si>
    <t>OREGANO SECO</t>
  </si>
  <si>
    <t>pan de hamburguesa</t>
  </si>
  <si>
    <t>PAN RALLADO</t>
  </si>
  <si>
    <t>PANKO</t>
  </si>
  <si>
    <t>PAPAS</t>
  </si>
  <si>
    <t>PAPEL DE ARROZ</t>
  </si>
  <si>
    <t>PAPRIKA</t>
  </si>
  <si>
    <t>PASAS CORINTO</t>
  </si>
  <si>
    <t>PASAS RUBIAS</t>
  </si>
  <si>
    <t>PASTA CURRY VERDE</t>
  </si>
  <si>
    <t>PASTA DE AVELLANAS</t>
  </si>
  <si>
    <t>PASTA DE PISTACHOS</t>
  </si>
  <si>
    <t>PASTA DE SESAMO/TAHINE</t>
  </si>
  <si>
    <t>PASTA DE VAINILLA</t>
  </si>
  <si>
    <t>PECTINA AMARILLA MEDIUM RAPIDA</t>
  </si>
  <si>
    <t>PECTINA NH</t>
  </si>
  <si>
    <t>PEPERONCCINO O CHILE EN HOJUELAS</t>
  </si>
  <si>
    <t>PERLAS DE TAPIOCA</t>
  </si>
  <si>
    <t>PIMIENTA BLANCA MOLIDA</t>
  </si>
  <si>
    <t>PIMIENTA CAYENA</t>
  </si>
  <si>
    <t>PIMIENTA NEGRA ENTERA</t>
  </si>
  <si>
    <t>PIMIENTA NEGRA MOLIDA</t>
  </si>
  <si>
    <t>PIÑA RODAJA CONSERVA</t>
  </si>
  <si>
    <t>PLUS PAN/MEJORADOR</t>
  </si>
  <si>
    <t>POLENTA</t>
  </si>
  <si>
    <t>POLVOS DE HORNEAR</t>
  </si>
  <si>
    <t>POTATOWHIP</t>
  </si>
  <si>
    <t>PROCREMA 5 ESTABILIZANTE</t>
  </si>
  <si>
    <t>PROSORBETE 100 FRIO SOSA</t>
  </si>
  <si>
    <t>PROSORBETE 5 NEUTRO CALIENTE</t>
  </si>
  <si>
    <t>QUINOA</t>
  </si>
  <si>
    <t>QUINOA INFLADA POPS</t>
  </si>
  <si>
    <t>QUINOA NEGRA</t>
  </si>
  <si>
    <t>QUINOA ROJA</t>
  </si>
  <si>
    <t>ROMERO SECO</t>
  </si>
  <si>
    <t>SAL DE CURA #1</t>
  </si>
  <si>
    <t>SAL DE MAR FINA</t>
  </si>
  <si>
    <t>SAL DE MAR GRUESA</t>
  </si>
  <si>
    <t>SAL DE MESA LOBOS</t>
  </si>
  <si>
    <t>SALSA AMERICANA</t>
  </si>
  <si>
    <t>SALSA DE OSTRA</t>
  </si>
  <si>
    <t>salsa de pescado</t>
  </si>
  <si>
    <t>SALSA DE SOYA</t>
  </si>
  <si>
    <t>SALSA DE TOMATES</t>
  </si>
  <si>
    <t>SALSA INGLESA</t>
  </si>
  <si>
    <t>SEMILLA DE AMAPOLA</t>
  </si>
  <si>
    <t>SEMILLA DE MARAVILLA</t>
  </si>
  <si>
    <t>SEMILLA ZAPALLO CAMOTE</t>
  </si>
  <si>
    <t>SEMILLAS DE CILANTRO</t>
  </si>
  <si>
    <t>SEMILLAS DE LINAZA</t>
  </si>
  <si>
    <t>SEMILLAS DE MOSTAZA</t>
  </si>
  <si>
    <t>SEMILLAS DE SESAMO BLANCO</t>
  </si>
  <si>
    <t>SEMILLAS DE SESAMO NEGRO</t>
  </si>
  <si>
    <t>SEMOLINA</t>
  </si>
  <si>
    <t>SORBITOL</t>
  </si>
  <si>
    <t>SUMAC ESPECIA EN POLVO</t>
  </si>
  <si>
    <t>TAJIN</t>
  </si>
  <si>
    <t>TINTA DE SEPIA O CALAMAR</t>
  </si>
  <si>
    <t>TOMILLO SECO</t>
  </si>
  <si>
    <t>TORTILLAS MEXICANA MAIZ</t>
  </si>
  <si>
    <t>TORTILLAS MEXICANA TRIGO 10 UN</t>
  </si>
  <si>
    <t>TRANSGLUTAMINASA</t>
  </si>
  <si>
    <t>TRIGO BURGOL</t>
  </si>
  <si>
    <t>TRIGO MOTE</t>
  </si>
  <si>
    <t>VAINA VAINILLA</t>
  </si>
  <si>
    <t>VINAGRE BLANCO</t>
  </si>
  <si>
    <t>VINAGRE DE ALCOHOL</t>
  </si>
  <si>
    <t>vinagre de arroz</t>
  </si>
  <si>
    <t>vinagre de jerez</t>
  </si>
  <si>
    <t>VINAGRE DE MANZANA</t>
  </si>
  <si>
    <t>VINAGRE TINTO</t>
  </si>
  <si>
    <t>wasabi</t>
  </si>
  <si>
    <t>YUZU EN PASTA</t>
  </si>
  <si>
    <t>AGUA</t>
  </si>
  <si>
    <t>AGUA DE ROSAS</t>
  </si>
  <si>
    <t>AGUA MINERAL C/GAS</t>
  </si>
  <si>
    <t>ALGAS</t>
  </si>
  <si>
    <t>LUCHE</t>
  </si>
  <si>
    <t>ARTICULO COCINA</t>
  </si>
  <si>
    <t>ASTILLAS PARA AHUMAR</t>
  </si>
  <si>
    <t>BASE CARTON TORTA 22 CM</t>
  </si>
  <si>
    <t>BLONDA 22 CM</t>
  </si>
  <si>
    <t>BOLSA PARA SELLADO AL VACIO 25X35 CM</t>
  </si>
  <si>
    <t>BOLSA PARA SELLADO AL VACIO 30X40 CM</t>
  </si>
  <si>
    <t>BOLSA PREPICADA 20 X 30</t>
  </si>
  <si>
    <t>BROCHETA DE BAMBU 10 CM 100 UNI</t>
  </si>
  <si>
    <t>BROCHETA DE BAMBU 12 CM 100 UN</t>
  </si>
  <si>
    <t>BROCHETAS DE COCKTAIL 50 UN</t>
  </si>
  <si>
    <t>CAJA PLUMAVIT DE 3L PARA HELADOS</t>
  </si>
  <si>
    <t>CAPSULAS CERECINADAS N°8</t>
  </si>
  <si>
    <t>CARGA DE SIFON</t>
  </si>
  <si>
    <t>COFIA (MALLA PELO)</t>
  </si>
  <si>
    <t>FRASCO CONSERVA 250 CC CON TAPA</t>
  </si>
  <si>
    <t>FRASCO DE 1 LITRO CON TAPA</t>
  </si>
  <si>
    <t>LATA GEL DE METHANOL</t>
  </si>
  <si>
    <t>MANGAS DESECHABLES MEDIANAS</t>
  </si>
  <si>
    <t>MANGAS DESECHABLES PEQUEÑAS</t>
  </si>
  <si>
    <t>MICA CARTA</t>
  </si>
  <si>
    <t>MOLDE PAN DE PASCUA 1/2 KG</t>
  </si>
  <si>
    <t>MOLDE PAPEL QUEQUE RECTANGULAR</t>
  </si>
  <si>
    <t>MONDADIENTE COCTEL 100 UNIDADES</t>
  </si>
  <si>
    <t>PALILLO AMARILLO PERUANO</t>
  </si>
  <si>
    <t>PALOS DE HELADOS</t>
  </si>
  <si>
    <t>PAPEL CERESINADO ALIMENTOS</t>
  </si>
  <si>
    <t>PAPEL CERESINADO PLIEGO</t>
  </si>
  <si>
    <t>PAPEL GUITARRA</t>
  </si>
  <si>
    <t>PAPEL MANTEQUILLA 75 X100</t>
  </si>
  <si>
    <t>ROLLO PITILLA/HILO DE COCINA</t>
  </si>
  <si>
    <t>SERVILLETAS GOFRADAS 50 UND</t>
  </si>
  <si>
    <t>SERVILLETAS MESA 200 UND</t>
  </si>
  <si>
    <t>VASOS ACRILICOS DE DEGUSTACION 2 OZ C/TAPA</t>
  </si>
  <si>
    <t>VASOS DE DEGUSTACION 3 OZ C/TAPA</t>
  </si>
  <si>
    <t>VASOS TERMICOS</t>
  </si>
  <si>
    <t>BROTES</t>
  </si>
  <si>
    <t>MIX MICROGREENS</t>
  </si>
  <si>
    <t>CABRITO</t>
  </si>
  <si>
    <t>CERDO</t>
  </si>
  <si>
    <t>BUTIFARRA</t>
  </si>
  <si>
    <t>CERDO CARNE MOLIDA</t>
  </si>
  <si>
    <t>CERDO CHULETA CENTRO TRES CM</t>
  </si>
  <si>
    <t>CERDO COSTILLAR</t>
  </si>
  <si>
    <t>CERDO CUERO</t>
  </si>
  <si>
    <t>CERDO GRASA/TOCINO BLANCO</t>
  </si>
  <si>
    <t>CERDO LOMO CENTRO</t>
  </si>
  <si>
    <t>CERDO LOMO TUNGO</t>
  </si>
  <si>
    <t>CERDO MALAYA</t>
  </si>
  <si>
    <t>CERDO PALETA DESHUESADA</t>
  </si>
  <si>
    <t>CERDO PATAS</t>
  </si>
  <si>
    <t>CERDO PERNIL DE MANO</t>
  </si>
  <si>
    <t>CERDO PULPA SIN HUESO</t>
  </si>
  <si>
    <t>CERDO SOLOMILLO</t>
  </si>
  <si>
    <t>chorizo español</t>
  </si>
  <si>
    <t>JAMON SERRANO LAMINADO</t>
  </si>
  <si>
    <t>MANTECA DE CERDO</t>
  </si>
  <si>
    <t>TOCINO AHUMADO ENTERO</t>
  </si>
  <si>
    <t>TOCINO AHUMADO LAMINADO</t>
  </si>
  <si>
    <t>TOCINO LAMINADO</t>
  </si>
  <si>
    <t>TRIPAS DE CERDO FRESCA</t>
  </si>
  <si>
    <t>CERVEZA</t>
  </si>
  <si>
    <t>CERVEZA CRISTAL</t>
  </si>
  <si>
    <t>BATON 500 PETIT PAIN 3,2GR</t>
  </si>
  <si>
    <t>CACAO EN POLVO ALCALINO</t>
  </si>
  <si>
    <t>CACAO EN POLVO AMARGO</t>
  </si>
  <si>
    <t>CHIPS DE CHOCOLATE</t>
  </si>
  <si>
    <t>CHOCOLATE AMARGO 56%</t>
  </si>
  <si>
    <t>CHOCOLATE AMARGO 56% FLUIDO</t>
  </si>
  <si>
    <t>CHOCOLATE AMARGO 65%</t>
  </si>
  <si>
    <t>CHOCOLATE AMARGO 70%</t>
  </si>
  <si>
    <t>CHOCOLATE CALLEBAUT BLANCO 28%</t>
  </si>
  <si>
    <t>CHOCOLATE DE LECHE 33%</t>
  </si>
  <si>
    <t>CHOCOLATE ECUADOR BLANCO 31%</t>
  </si>
  <si>
    <t>CHOCOLATE LECHE 35%</t>
  </si>
  <si>
    <t>CHOCOLATE MONEDAS BLANCAS 29% CACAO</t>
  </si>
  <si>
    <t>COBERTURA AMARGA</t>
  </si>
  <si>
    <t>COBERTURA BLANCA</t>
  </si>
  <si>
    <t>COBERTURA LECHE</t>
  </si>
  <si>
    <t>COBERTURA LECHE MONEDAS NEUCOBER</t>
  </si>
  <si>
    <t>GRUE DE CACAO</t>
  </si>
  <si>
    <t>MANTECA DE CACAO</t>
  </si>
  <si>
    <t>MANTECA DE CACAO COLOR BLANCO</t>
  </si>
  <si>
    <t>MOSTACILLAS DE CHOCOLATE</t>
  </si>
  <si>
    <t>COLORANTES</t>
  </si>
  <si>
    <t>COLORANTE GEL AZUL</t>
  </si>
  <si>
    <t>COLORANTE GEL ROJO</t>
  </si>
  <si>
    <t>COLORANTE HIDROSOLUBLE POLVO AMARILLO</t>
  </si>
  <si>
    <t>COLORANTE HIDROSOLUBLE POLVO ROJO</t>
  </si>
  <si>
    <t>COLORANTE HIDROSOLUBLE POLVO VERDE PISTACHO</t>
  </si>
  <si>
    <t>COLORANTE LIPO AMARILLO</t>
  </si>
  <si>
    <t>COLORANTE LIPO NARANJA POLVO 100GR</t>
  </si>
  <si>
    <t>COLORANTE LIPO ROJO POLVO 20GR</t>
  </si>
  <si>
    <t>COLORANTE LIPOSOLUBLE AMARILLO LIQUIDO</t>
  </si>
  <si>
    <t>COLORANTE LIPOSOLUBLE AZUL LIQUIDO</t>
  </si>
  <si>
    <t>COLORANTE LIPOSOLUBLE ROJO LIQUIDO</t>
  </si>
  <si>
    <t>COLORANTE LIPOSOLUBLE VERDE LIQUIDO</t>
  </si>
  <si>
    <t>COLORANTE METALICO ORO</t>
  </si>
  <si>
    <t>CONGELADO</t>
  </si>
  <si>
    <t>PASTA DE CHOCLO</t>
  </si>
  <si>
    <t>POROTOS VERDES CONGELADOS</t>
  </si>
  <si>
    <t>PULPA DE CHIRIMOYA</t>
  </si>
  <si>
    <t>PULPA DE DURAZNO</t>
  </si>
  <si>
    <t>PULPA DE FRAMBUESA</t>
  </si>
  <si>
    <t>PULPA DE FRAMBUESA S/AZUCAR</t>
  </si>
  <si>
    <t>PULPA DE FRUTILLA</t>
  </si>
  <si>
    <t>PULPA DE FRUTILLA S/AZUCAR</t>
  </si>
  <si>
    <t>PULPA DE MANGO</t>
  </si>
  <si>
    <t>PULPA DE MANGO S/AZUCAR</t>
  </si>
  <si>
    <t>PULPA DE MARACUYA S/AZUCAR</t>
  </si>
  <si>
    <t>PULPA DE MARACUYA SIN SEMILLA</t>
  </si>
  <si>
    <t>PULPA DE MELON TUNA</t>
  </si>
  <si>
    <t>CONSERVA</t>
  </si>
  <si>
    <t>GARBANZOS EN CONSERVA WASIL 380 GR</t>
  </si>
  <si>
    <t>PALMITOS ENTEROS</t>
  </si>
  <si>
    <t>PEPINILLO DILL</t>
  </si>
  <si>
    <t>PIÑA CONFITADA</t>
  </si>
  <si>
    <t>EMBUTIDO</t>
  </si>
  <si>
    <t>LONGANIZA ARTESANAL</t>
  </si>
  <si>
    <t>PRIETAS</t>
  </si>
  <si>
    <t>VIENESA</t>
  </si>
  <si>
    <t>ENCURTIDO</t>
  </si>
  <si>
    <t>CHUCRUT ENCURTIDO 680 Gr (FRASCO)</t>
  </si>
  <si>
    <t>ENDULZANTE</t>
  </si>
  <si>
    <t>SUCRALOSA SOBRE</t>
  </si>
  <si>
    <t>SUCRO EMUL</t>
  </si>
  <si>
    <t>TAGATOSA</t>
  </si>
  <si>
    <t>PENICILLIUM CANDIUM 10 DOSIS</t>
  </si>
  <si>
    <t>PENICILLIUM ROQUEFORTI 50 ML</t>
  </si>
  <si>
    <t>FRUTA VERDURA</t>
  </si>
  <si>
    <t>ACELGA</t>
  </si>
  <si>
    <t>aji amarillo</t>
  </si>
  <si>
    <t>AJI CACHO CABRA AHUMADO</t>
  </si>
  <si>
    <t>AJI CACHO DE CABRA FRESCO</t>
  </si>
  <si>
    <t>AJI ROCOTO</t>
  </si>
  <si>
    <t>AJI VERDE</t>
  </si>
  <si>
    <t>AJO CABEZA</t>
  </si>
  <si>
    <t>ALBAHACA FRESCA</t>
  </si>
  <si>
    <t>ALBAHACA SECA</t>
  </si>
  <si>
    <t>ALMENDRAS EFILADAS</t>
  </si>
  <si>
    <t>ALMENDRAS SIN PIEL</t>
  </si>
  <si>
    <t>APIO MATA</t>
  </si>
  <si>
    <t>APIO RAMA</t>
  </si>
  <si>
    <t>ARANDANOS FRESCOS</t>
  </si>
  <si>
    <t>ARVEJAS CONGELADAS</t>
  </si>
  <si>
    <t>ARVEJAS PARTIDAS</t>
  </si>
  <si>
    <t>BAYAS DE ENEBRO</t>
  </si>
  <si>
    <t>BERENJENA</t>
  </si>
  <si>
    <t>BERROS</t>
  </si>
  <si>
    <t>BETARRAGA</t>
  </si>
  <si>
    <t>BROCOLI</t>
  </si>
  <si>
    <t>BROTES DE ARVEJA</t>
  </si>
  <si>
    <t>BROTES DE DECORACION</t>
  </si>
  <si>
    <t>CEBOLLA BLANCA</t>
  </si>
  <si>
    <t>CEBOLLA MORADA</t>
  </si>
  <si>
    <t>CEBOLLIN</t>
  </si>
  <si>
    <t>CEREZAS FRESCAS</t>
  </si>
  <si>
    <t>CHALOTA</t>
  </si>
  <si>
    <t>CHAMPIÑON OSTRA</t>
  </si>
  <si>
    <t>CHAMPIÑON PARIS</t>
  </si>
  <si>
    <t>CHAMPIÑON PORTOBELLO</t>
  </si>
  <si>
    <t>CHOCLO GRANO CONGELADO</t>
  </si>
  <si>
    <t>CHOCLO HUMERO ENTERO</t>
  </si>
  <si>
    <t>CHOCLO PERUANO</t>
  </si>
  <si>
    <t>CIBOULETTE ATADO</t>
  </si>
  <si>
    <t>CILANTRO</t>
  </si>
  <si>
    <t>COL CHINA</t>
  </si>
  <si>
    <t>COLIFLOR</t>
  </si>
  <si>
    <t>CRANBERRIES</t>
  </si>
  <si>
    <t>DAMASCOS TURCOS</t>
  </si>
  <si>
    <t>DATILES</t>
  </si>
  <si>
    <t>ENELDO FRESCO</t>
  </si>
  <si>
    <t>ESPARRAGOS</t>
  </si>
  <si>
    <t>ESPINACA</t>
  </si>
  <si>
    <t>ESTRAGON FRESCO</t>
  </si>
  <si>
    <t>FONDOS DE ALCACHOFA</t>
  </si>
  <si>
    <t>FRAMBUESA CONGELADA</t>
  </si>
  <si>
    <t>FRAMBUESA FRESCA</t>
  </si>
  <si>
    <t>FRUTILLA CONGELADA</t>
  </si>
  <si>
    <t>FRUTILLA FRESCA</t>
  </si>
  <si>
    <t>HABAS CONGELADAS</t>
  </si>
  <si>
    <t>HIERBABUENA</t>
  </si>
  <si>
    <t>HOJAS DE KAFFIR</t>
  </si>
  <si>
    <t>JENGIBRE</t>
  </si>
  <si>
    <t>KIWI</t>
  </si>
  <si>
    <t>LECHUGA COSTINA</t>
  </si>
  <si>
    <t>LECHUGA LOLLO GREEN</t>
  </si>
  <si>
    <t>LECHUGA LOLLO ROSSA</t>
  </si>
  <si>
    <t>LIMON DE JUGO</t>
  </si>
  <si>
    <t>LIMON SUTIL</t>
  </si>
  <si>
    <t>MANGO</t>
  </si>
  <si>
    <t>MANZANA ROJA</t>
  </si>
  <si>
    <t>MANZANA VERDE</t>
  </si>
  <si>
    <t>MENTA</t>
  </si>
  <si>
    <t>MIX DE BERRIES CONGELADO</t>
  </si>
  <si>
    <t>MIX HOJAS VERDES</t>
  </si>
  <si>
    <t>MORAS CONGELADAS</t>
  </si>
  <si>
    <t>NABOS DAIKON</t>
  </si>
  <si>
    <t>NARANJA DE JUGO</t>
  </si>
  <si>
    <t>PALTA HASS</t>
  </si>
  <si>
    <t>PAPA</t>
  </si>
  <si>
    <t>PAPA CAMOTE</t>
  </si>
  <si>
    <t>PAPA TOPINAMBOUR</t>
  </si>
  <si>
    <t>PAPAS AMARILLAS FRESCAS</t>
  </si>
  <si>
    <t>PAPAS ARCOIRIS/NATIVAS</t>
  </si>
  <si>
    <t>PEPINO ENSALADA</t>
  </si>
  <si>
    <t>PERAS</t>
  </si>
  <si>
    <t>PEREJIL</t>
  </si>
  <si>
    <t>PEREJIL CRESPO</t>
  </si>
  <si>
    <t>pimiento amarillo</t>
  </si>
  <si>
    <t>PIMIENTO MORRON</t>
  </si>
  <si>
    <t>PIMIENTO ROJO</t>
  </si>
  <si>
    <t>PIMIENTO VERDE</t>
  </si>
  <si>
    <t>PIÑA CARAMELO</t>
  </si>
  <si>
    <t>PLATANOS</t>
  </si>
  <si>
    <t>POROTOS VERDES FRESCOS</t>
  </si>
  <si>
    <t>PUERROS</t>
  </si>
  <si>
    <t>PURE DE CEREZAS</t>
  </si>
  <si>
    <t>REPOLLO</t>
  </si>
  <si>
    <t>REPOLLO MORADO</t>
  </si>
  <si>
    <t>ROMERO FRESCO EN RAMA</t>
  </si>
  <si>
    <t>RUCULA</t>
  </si>
  <si>
    <t>SALVIA FRESCA</t>
  </si>
  <si>
    <t>TOFU EXTRA FIRME</t>
  </si>
  <si>
    <t>TOMATE CHERRY</t>
  </si>
  <si>
    <t>TOMATE LARGA VIDA</t>
  </si>
  <si>
    <t>TOMATE PELADO EN LATA</t>
  </si>
  <si>
    <t>TOMILLO FRESCO</t>
  </si>
  <si>
    <t>UVA VERDE</t>
  </si>
  <si>
    <t>ZANAHORIA</t>
  </si>
  <si>
    <t>ZAPALLO BUTTERNUT</t>
  </si>
  <si>
    <t>ZAPALLO CAMOTE</t>
  </si>
  <si>
    <t>ZAPALLO ITALIANO</t>
  </si>
  <si>
    <t>FRUTOS SECOS</t>
  </si>
  <si>
    <t>NUEZ CUARTILLO</t>
  </si>
  <si>
    <t>NUEZ PECANA</t>
  </si>
  <si>
    <t>PISTACHOS S/CASCARA SIN SAL</t>
  </si>
  <si>
    <t>HUEVO</t>
  </si>
  <si>
    <t>HUEVO EXTRA BLANCO</t>
  </si>
  <si>
    <t>HUEVOS DE CODORNIZ</t>
  </si>
  <si>
    <t>JAMON</t>
  </si>
  <si>
    <t>JAMON ACARAMELADO LAMINADO</t>
  </si>
  <si>
    <t>JAMON PIERNA LAMINADO</t>
  </si>
  <si>
    <t>JUGO</t>
  </si>
  <si>
    <t>JUGO DE NARANJA</t>
  </si>
  <si>
    <t>JUGO DE NARANJA SELECCION</t>
  </si>
  <si>
    <t>LACTEO</t>
  </si>
  <si>
    <t>CREMA ACIDA</t>
  </si>
  <si>
    <t>CREMA DE COCO</t>
  </si>
  <si>
    <t>CREMA DE LECHE</t>
  </si>
  <si>
    <t>LECHE CONDENSADA</t>
  </si>
  <si>
    <t>LECHE CONDENSADA DE AVENA (SAMUI) 320gr</t>
  </si>
  <si>
    <t>LECHE DE ALMENDRAS</t>
  </si>
  <si>
    <t>LECHE DE COCO</t>
  </si>
  <si>
    <t>LECHE DESCREMADA</t>
  </si>
  <si>
    <t>LECHE DESCREMADA SIN LACTOSA</t>
  </si>
  <si>
    <t>LECHE EN POLVO DESCREMADA</t>
  </si>
  <si>
    <t>LECHE EN POLVO ENTERA</t>
  </si>
  <si>
    <t>LECHE ENTERA</t>
  </si>
  <si>
    <t>MANJAR</t>
  </si>
  <si>
    <t>MANTEQUILLA CON SAL</t>
  </si>
  <si>
    <t>MANTEQUILLA SIN SAL</t>
  </si>
  <si>
    <t>MARGARINA</t>
  </si>
  <si>
    <t>MARGARINA DE HOJA</t>
  </si>
  <si>
    <t>MARGARINA DE HORNEO</t>
  </si>
  <si>
    <t>QUESO AZUL</t>
  </si>
  <si>
    <t>QUESO CABRA</t>
  </si>
  <si>
    <t>QUESO CHANCO LAMINADO</t>
  </si>
  <si>
    <t>QUESO CHEDDAR LAMINADO</t>
  </si>
  <si>
    <t>QUESO CREMA</t>
  </si>
  <si>
    <t>QUESO CREMA LIGHT</t>
  </si>
  <si>
    <t>QUESO FETA</t>
  </si>
  <si>
    <t>queso fresco</t>
  </si>
  <si>
    <t>QUESO GAUDA LAMINADO</t>
  </si>
  <si>
    <t>QUESO GRUYERE</t>
  </si>
  <si>
    <t>QUESO MANTECOSO LAMINADO</t>
  </si>
  <si>
    <t>QUESO MANTECOSO PIEZA</t>
  </si>
  <si>
    <t>QUESO MASCARPONE</t>
  </si>
  <si>
    <t>QUESO MOZZARELLA</t>
  </si>
  <si>
    <t>QUESO PARMESANO</t>
  </si>
  <si>
    <t>QUESO PARMESANO RALLADO</t>
  </si>
  <si>
    <t>QUESO RICOTTA</t>
  </si>
  <si>
    <t>LEGUMBRE</t>
  </si>
  <si>
    <t>POROTOS NEGROS</t>
  </si>
  <si>
    <t>POROTOS ROJO/ADZUKI</t>
  </si>
  <si>
    <t>LICOR</t>
  </si>
  <si>
    <t>AMARETTO DISARONNO</t>
  </si>
  <si>
    <t>BRANDY TRES PALOS</t>
  </si>
  <si>
    <t>COÑAC TRES PALOS</t>
  </si>
  <si>
    <t>GRAND MANIER</t>
  </si>
  <si>
    <t>LICOR DE CAFE MITJANS</t>
  </si>
  <si>
    <t>LICOR DE GUINDA/KIRSCH</t>
  </si>
  <si>
    <t>MALIBU</t>
  </si>
  <si>
    <t>MIRIN/LICOR DE ARROZ DULCE</t>
  </si>
  <si>
    <t>PISCO</t>
  </si>
  <si>
    <t>PISCO CAPEL 35º</t>
  </si>
  <si>
    <t>RON MITJANS DORADO</t>
  </si>
  <si>
    <t>SAKE / LICOR DE ARROZ JAPONES</t>
  </si>
  <si>
    <t>VODKA STOLICHNAYA</t>
  </si>
  <si>
    <t>MASA</t>
  </si>
  <si>
    <t>MASA DE HOJA</t>
  </si>
  <si>
    <t>MASA FILO 320GR</t>
  </si>
  <si>
    <t>NITROGENO LIQUIDO</t>
  </si>
  <si>
    <t>PAN</t>
  </si>
  <si>
    <t>MINI PAN HAWAIANO POR UNIDAD</t>
  </si>
  <si>
    <t>PAN BAGUETTE NORMAL</t>
  </si>
  <si>
    <t>PAN DE COMPLETO LENGUA</t>
  </si>
  <si>
    <t>PAN FRICA 11CM S/SEMILLAS</t>
  </si>
  <si>
    <t>PAN FRICA MINI</t>
  </si>
  <si>
    <t>PAN MARRAQUETA</t>
  </si>
  <si>
    <t>PAN MARRAQUETA MINI</t>
  </si>
  <si>
    <t>PAN MOLDE BLANCO LAMINA</t>
  </si>
  <si>
    <t>PATO</t>
  </si>
  <si>
    <t>PATO MAGRET</t>
  </si>
  <si>
    <t>PESCADO MARISCO</t>
  </si>
  <si>
    <t>ALMEJAS FRESCAS</t>
  </si>
  <si>
    <t>ANCHOAS FILETES</t>
  </si>
  <si>
    <t>ATUN FRESCO</t>
  </si>
  <si>
    <t>CALAMAR VAINA CHICO</t>
  </si>
  <si>
    <t>CALAMAR VAINA GRANDE</t>
  </si>
  <si>
    <t>CAMARON ECUATORIANO 21-25</t>
  </si>
  <si>
    <t>CAMARON ECUATORIANO 36-40</t>
  </si>
  <si>
    <t>CAMARON NACIONAL 100-200</t>
  </si>
  <si>
    <t>CHORITOS FRESCOS</t>
  </si>
  <si>
    <t>CONGRIO COLORADO ENTERO FRESCO</t>
  </si>
  <si>
    <t>CONGRIO FRESCO FILETE</t>
  </si>
  <si>
    <t>CONGRIO NEGRO ENTERO FRESCO</t>
  </si>
  <si>
    <t>CORVINA ENTERA FRESCA UN</t>
  </si>
  <si>
    <t>ERIZOS LENGUA</t>
  </si>
  <si>
    <t>ESPINAS DE PESCADO</t>
  </si>
  <si>
    <t>huevas de salmon</t>
  </si>
  <si>
    <t>JAIBA CARNE</t>
  </si>
  <si>
    <t>MACHAS FRESCAS</t>
  </si>
  <si>
    <t>MARISCOS CONGELADOS PREMIUM</t>
  </si>
  <si>
    <t>MERLUZA FRESCA ENTERA</t>
  </si>
  <si>
    <t>MERLUZA FRESCA FILETE</t>
  </si>
  <si>
    <t>OSTION FRESCO CON CORAL</t>
  </si>
  <si>
    <t>OSTIONES CONGELADOS</t>
  </si>
  <si>
    <t>PICOROCOS</t>
  </si>
  <si>
    <t>PIURE CARNE</t>
  </si>
  <si>
    <t>PULPO ENTERO</t>
  </si>
  <si>
    <t>REINETA ENTERA FRESCA</t>
  </si>
  <si>
    <t>REINETA FILETE FRESCA</t>
  </si>
  <si>
    <t>SALMON FRESCO FILETE C/PIEL</t>
  </si>
  <si>
    <t>POLLO</t>
  </si>
  <si>
    <t>HUESOS DE POLLO</t>
  </si>
  <si>
    <t>POLLO HUESOS</t>
  </si>
  <si>
    <t>POLLO PECHUGA ENTERA</t>
  </si>
  <si>
    <t>POLLO PECHUGA ENTERA UN</t>
  </si>
  <si>
    <t>POLLO PECHUGA S/HUESO</t>
  </si>
  <si>
    <t>POLLO TRUTRO ALA</t>
  </si>
  <si>
    <t>POLLO TRUTRO CORTO</t>
  </si>
  <si>
    <t>POLLO TRUTRO ENTERO</t>
  </si>
  <si>
    <t>TE</t>
  </si>
  <si>
    <t>TE LIPTON 100 UNIDADES</t>
  </si>
  <si>
    <t>TE LIPTON BOLSA</t>
  </si>
  <si>
    <t>TE MATCHA</t>
  </si>
  <si>
    <t>TE NEGRO EN HOJA</t>
  </si>
  <si>
    <t>VACUNO</t>
  </si>
  <si>
    <t>CARNE MOLIDA TARTARO 3% GRASA</t>
  </si>
  <si>
    <t>CHARQUI</t>
  </si>
  <si>
    <t>CHUNCHULES</t>
  </si>
  <si>
    <t>UBRES DE VACA</t>
  </si>
  <si>
    <t>VACUNO ASADO DE TIRA</t>
  </si>
  <si>
    <t>VACUNO ASIENTO</t>
  </si>
  <si>
    <t>VACUNO CARNE MOLIDA AL 10%</t>
  </si>
  <si>
    <t>VACUNO CHOCLILLO</t>
  </si>
  <si>
    <t>VACUNO ENTRAÑA</t>
  </si>
  <si>
    <t>VACUNO FILETE ENTERO</t>
  </si>
  <si>
    <t>VACUNO GUATA CALLO (GUATITAS)</t>
  </si>
  <si>
    <t>VACUNO HUESOS</t>
  </si>
  <si>
    <t>VACUNO LENGUA</t>
  </si>
  <si>
    <t>VACUNO LOMO LISO</t>
  </si>
  <si>
    <t>VACUNO LOMO VETADO</t>
  </si>
  <si>
    <t>VACUNO MOLLEJAS PEQUEÑAS</t>
  </si>
  <si>
    <t>VACUNO OSOBUCO PIERNA</t>
  </si>
  <si>
    <t>VACUNO PALANCA</t>
  </si>
  <si>
    <t>VACUNO POLLO GANSO</t>
  </si>
  <si>
    <t>VACUNO POSTA NEGRA</t>
  </si>
  <si>
    <t>VACUNO POSTA ROSADA</t>
  </si>
  <si>
    <t>VACUNO PUNTA PALETA</t>
  </si>
  <si>
    <t>VACUNO SOBRECOSTILLA</t>
  </si>
  <si>
    <t>VINO</t>
  </si>
  <si>
    <t>OPORTO DIAMANTE MITJANS</t>
  </si>
  <si>
    <t>VINO BLANCO TETRA PACK</t>
  </si>
  <si>
    <t>VINO CASAS PATRONALES CARMENERE RESERVA</t>
  </si>
  <si>
    <t>VINO CONO SUR CARMENERE</t>
  </si>
  <si>
    <t>VINO CONO SUR CHARDONNAY BICICLETA</t>
  </si>
  <si>
    <t>VINO TINTO TETRA</t>
  </si>
  <si>
    <t>YOGURT</t>
  </si>
  <si>
    <t>YOGURT BATIDO SABOR FRAMBUESA</t>
  </si>
  <si>
    <t>yogurt natural</t>
  </si>
  <si>
    <t>YOGURT NATURAL LIGHT</t>
  </si>
  <si>
    <t>N° PRODUCTOS</t>
  </si>
  <si>
    <t>COSTO PROM. ESTIMADO</t>
  </si>
  <si>
    <t>COSTO TOTAL ESTIMADO</t>
  </si>
  <si>
    <t xml:space="preserve">DASHBOARD </t>
  </si>
  <si>
    <t>TELEFONO</t>
  </si>
  <si>
    <t>MAESTRO DE PROVEEDORES</t>
  </si>
  <si>
    <t>MAESTRO DE PRECIOS POR PROVEEDOR</t>
  </si>
  <si>
    <t>RESUMEN POR CATEGORIA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</si>
</sst>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"/>
    <numFmt numFmtId="165" formatCode="#,##0.000"/>
  </numFmts>
  <fonts count="24" x14ac:knownFonts="1">
    <font>
      <sz val="11"/>
      <color theme="1"/>
      <name val="Calibri"/>
      <family val="2"/>
      <charset val="1"/>
    </font>
    <font>
      <b/>
      <sz val="16"/>
      <color rgb="FF1A1A1A"/>
      <name val="Calibri"/>
      <charset val="1"/>
    </font>
    <font>
      <sz val="8"/>
      <color rgb="FF888888"/>
      <name val="Calibri"/>
      <charset val="1"/>
    </font>
    <font>
      <b/>
      <sz val="14"/>
      <color rgb="FF1A1A1A"/>
      <name val="Calibri"/>
      <charset val="1"/>
    </font>
    <font>
      <sz val="9"/>
      <color rgb="FF595959"/>
      <name val="Calibri"/>
      <charset val="1"/>
    </font>
    <font>
      <b/>
      <sz val="10"/>
      <color rgb="FF1A1A1A"/>
      <name val="Calibri"/>
      <charset val="1"/>
    </font>
    <font>
      <sz val="8"/>
      <color rgb="FF999999"/>
      <name val="Calibri"/>
      <charset val="1"/>
    </font>
    <font>
      <b/>
      <sz val="10"/>
      <color rgb="FF595959"/>
      <name val="Calibri"/>
      <charset val="1"/>
    </font>
    <font>
      <b/>
      <sz val="9"/>
      <color rgb="FF595959"/>
      <name val="Calibri"/>
      <charset val="1"/>
    </font>
    <font>
      <sz val="9"/>
      <color rgb="FF1A1A1A"/>
      <name val="Calibri"/>
      <charset val="1"/>
    </font>
    <font>
      <b/>
      <sz val="9"/>
      <color rgb="FF7A5C00"/>
      <name val="Calibri"/>
      <charset val="1"/>
    </font>
    <font>
      <b/>
      <sz val="10"/>
      <color rgb="FF7A5C00"/>
      <name val="Calibri"/>
      <charset val="1"/>
    </font>
    <font>
      <sz val="9"/>
      <color rgb="FF888888"/>
      <name val="Calibri"/>
      <charset val="1"/>
    </font>
    <font>
      <b/>
      <sz val="12"/>
      <color rgb="FF1A1A1A"/>
      <name val="Calibri"/>
      <charset val="1"/>
    </font>
    <font>
      <b/>
      <sz val="13"/>
      <color rgb="FF1A1A1A"/>
      <name val="Calibri"/>
      <charset val="1"/>
    </font>
    <font>
      <sz val="10"/>
      <color rgb="FF595959"/>
      <name val="Calibri"/>
      <charset val="1"/>
    </font>
    <font>
      <sz val="9"/>
      <color rgb="FF999999"/>
      <name val="Calibri"/>
      <charset val="1"/>
    </font>
    <font>
      <b/>
      <sz val="8"/>
      <color rgb="FF595959"/>
      <name val="Calibri"/>
      <charset val="1"/>
    </font>
    <font>
      <b/>
      <sz val="8"/>
      <color rgb="FF888888"/>
      <name val="Calibri"/>
      <charset val="1"/>
    </font>
    <font>
      <sz val="9"/>
      <color rgb="FFAAAAAA"/>
      <name val="Calibri"/>
      <charset val="1"/>
    </font>
    <font>
      <sz val="10"/>
      <color rgb="FF1A1A1A"/>
      <name val="Calibri"/>
      <charset val="1"/>
    </font>
    <font>
      <b/>
      <sz val="9"/>
      <color rgb="FF1A1A1A"/>
      <name val="Calibri"/>
      <charset val="1"/>
    </font>
    <font>
      <sz val="8"/>
      <color rgb="FF666666"/>
      <name val="Calibri"/>
      <charset val="1"/>
    </font>
    <font>
      <sz val="8"/>
      <color rgb="FF1A6FA8"/>
      <name val="Calibri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5F5F5"/>
      </patternFill>
    </fill>
    <fill>
      <patternFill patternType="solid">
        <fgColor rgb="FFF5F5F5"/>
        <bgColor rgb="FFEEEEEE"/>
      </patternFill>
    </fill>
    <fill>
      <patternFill patternType="solid">
        <fgColor rgb="FFFFF3CC"/>
        <bgColor rgb="FFFFF8E1"/>
      </patternFill>
    </fill>
    <fill>
      <patternFill patternType="solid">
        <fgColor rgb="FFEEEEEE"/>
        <bgColor rgb="FFEBEBEB"/>
      </patternFill>
    </fill>
    <fill>
      <patternFill patternType="solid">
        <fgColor rgb="FFFFF8E1"/>
        <bgColor rgb="FFFFF3CC"/>
      </patternFill>
    </fill>
    <fill>
      <patternFill patternType="solid">
        <fgColor rgb="FFEBEBEB"/>
        <bgColor rgb="FFEEEEEE"/>
      </patternFill>
    </fill>
  </fills>
  <borders count="5">
    <border>
      <left/>
      <right/>
      <top/>
      <bottom/>
      <diagonal/>
    </border>
    <border>
      <left style="thin">
        <color rgb="FFD0D0D0"/>
      </left>
      <right/>
      <top style="thin">
        <color rgb="FFD0D0D0"/>
      </top>
      <bottom/>
      <diagonal/>
    </border>
    <border>
      <left style="thin">
        <color rgb="FFD0D0D0"/>
      </left>
      <right/>
      <top/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/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70">
    <xf numFmtId="0" fontId="0" fillId="0" borderId="0" xfId="0"/>
    <xf numFmtId="9" fontId="5" fillId="4" borderId="3" xfId="0" applyNumberFormat="1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left" vertical="center"/>
    </xf>
    <xf numFmtId="0" fontId="9" fillId="2" borderId="3" xfId="0" applyFont="1" applyFill="1" applyBorder="1" applyAlignment="1">
      <alignment horizontal="left" vertical="center"/>
    </xf>
    <xf numFmtId="0" fontId="15" fillId="0" borderId="0" xfId="0" applyFont="1" applyAlignment="1">
      <alignment horizontal="right" vertical="center"/>
    </xf>
    <xf numFmtId="0" fontId="19" fillId="3" borderId="3" xfId="0" applyFont="1" applyFill="1" applyBorder="1" applyAlignment="1">
      <alignment horizontal="center" vertical="center"/>
    </xf>
    <xf numFmtId="0" fontId="20" fillId="3" borderId="3" xfId="0" applyFont="1" applyFill="1" applyBorder="1" applyAlignment="1">
      <alignment horizontal="left" vertical="center"/>
    </xf>
    <xf numFmtId="0" fontId="9" fillId="3" borderId="3" xfId="0" applyFont="1" applyFill="1" applyBorder="1" applyAlignment="1">
      <alignment horizontal="center" vertical="center"/>
    </xf>
    <xf numFmtId="165" fontId="9" fillId="3" borderId="3" xfId="0" applyNumberFormat="1" applyFont="1" applyFill="1" applyBorder="1" applyAlignment="1">
      <alignment horizontal="right" vertical="center"/>
    </xf>
    <xf numFmtId="0" fontId="22" fillId="3" borderId="3" xfId="0" applyFont="1" applyFill="1" applyBorder="1" applyAlignment="1">
      <alignment horizontal="center" vertical="center"/>
    </xf>
    <xf numFmtId="164" fontId="9" fillId="3" borderId="3" xfId="0" applyNumberFormat="1" applyFont="1" applyFill="1" applyBorder="1" applyAlignment="1">
      <alignment horizontal="right" vertical="center"/>
    </xf>
    <xf numFmtId="164" fontId="21" fillId="3" borderId="3" xfId="0" applyNumberFormat="1" applyFont="1" applyFill="1" applyBorder="1" applyAlignment="1">
      <alignment horizontal="right" vertical="center"/>
    </xf>
    <xf numFmtId="164" fontId="10" fillId="6" borderId="3" xfId="0" applyNumberFormat="1" applyFont="1" applyFill="1" applyBorder="1" applyAlignment="1">
      <alignment horizontal="right" vertical="center"/>
    </xf>
    <xf numFmtId="0" fontId="19" fillId="2" borderId="3" xfId="0" applyFont="1" applyFill="1" applyBorder="1" applyAlignment="1">
      <alignment horizontal="center" vertical="center"/>
    </xf>
    <xf numFmtId="0" fontId="20" fillId="2" borderId="3" xfId="0" applyFont="1" applyFill="1" applyBorder="1" applyAlignment="1">
      <alignment horizontal="left" vertical="center"/>
    </xf>
    <xf numFmtId="0" fontId="9" fillId="2" borderId="3" xfId="0" applyFont="1" applyFill="1" applyBorder="1" applyAlignment="1">
      <alignment horizontal="center" vertical="center"/>
    </xf>
    <xf numFmtId="165" fontId="9" fillId="2" borderId="3" xfId="0" applyNumberFormat="1" applyFont="1" applyFill="1" applyBorder="1" applyAlignment="1">
      <alignment horizontal="right" vertical="center"/>
    </xf>
    <xf numFmtId="0" fontId="22" fillId="2" borderId="3" xfId="0" applyFont="1" applyFill="1" applyBorder="1" applyAlignment="1">
      <alignment horizontal="center" vertical="center"/>
    </xf>
    <xf numFmtId="164" fontId="9" fillId="2" borderId="3" xfId="0" applyNumberFormat="1" applyFont="1" applyFill="1" applyBorder="1" applyAlignment="1">
      <alignment horizontal="right" vertical="center"/>
    </xf>
    <xf numFmtId="164" fontId="21" fillId="2" borderId="3" xfId="0" applyNumberFormat="1" applyFont="1" applyFill="1" applyBorder="1" applyAlignment="1">
      <alignment horizontal="right" vertical="center"/>
    </xf>
    <xf numFmtId="164" fontId="10" fillId="4" borderId="3" xfId="0" applyNumberFormat="1" applyFont="1" applyFill="1" applyBorder="1" applyAlignment="1">
      <alignment horizontal="right" vertical="center"/>
    </xf>
    <xf numFmtId="0" fontId="8" fillId="5" borderId="3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left" vertical="center"/>
    </xf>
    <xf numFmtId="0" fontId="20" fillId="3" borderId="3" xfId="0" applyFont="1" applyFill="1" applyBorder="1" applyAlignment="1">
      <alignment horizontal="center" vertical="center"/>
    </xf>
    <xf numFmtId="164" fontId="20" fillId="3" borderId="3" xfId="0" applyNumberFormat="1" applyFont="1" applyFill="1" applyBorder="1" applyAlignment="1">
      <alignment horizontal="right" vertical="center"/>
    </xf>
    <xf numFmtId="164" fontId="11" fillId="4" borderId="3" xfId="0" applyNumberFormat="1" applyFont="1" applyFill="1" applyBorder="1" applyAlignment="1">
      <alignment horizontal="right" vertical="center"/>
    </xf>
    <xf numFmtId="0" fontId="5" fillId="2" borderId="3" xfId="0" applyFont="1" applyFill="1" applyBorder="1" applyAlignment="1">
      <alignment horizontal="left" vertical="center"/>
    </xf>
    <xf numFmtId="0" fontId="20" fillId="2" borderId="3" xfId="0" applyFont="1" applyFill="1" applyBorder="1" applyAlignment="1">
      <alignment horizontal="center" vertical="center"/>
    </xf>
    <xf numFmtId="164" fontId="20" fillId="2" borderId="3" xfId="0" applyNumberFormat="1" applyFont="1" applyFill="1" applyBorder="1" applyAlignment="1">
      <alignment horizontal="right" vertical="center"/>
    </xf>
    <xf numFmtId="164" fontId="11" fillId="6" borderId="3" xfId="0" applyNumberFormat="1" applyFont="1" applyFill="1" applyBorder="1" applyAlignment="1">
      <alignment horizontal="right" vertical="center"/>
    </xf>
    <xf numFmtId="0" fontId="5" fillId="5" borderId="3" xfId="0" applyFont="1" applyFill="1" applyBorder="1" applyAlignment="1">
      <alignment horizontal="right" vertical="center"/>
    </xf>
    <xf numFmtId="0" fontId="5" fillId="5" borderId="3" xfId="0" applyFont="1" applyFill="1" applyBorder="1" applyAlignment="1">
      <alignment horizontal="center" vertical="center"/>
    </xf>
    <xf numFmtId="0" fontId="0" fillId="5" borderId="3" xfId="0" applyFill="1" applyBorder="1"/>
    <xf numFmtId="0" fontId="9" fillId="2" borderId="4" xfId="0" applyFont="1" applyFill="1" applyBorder="1" applyAlignment="1">
      <alignment horizontal="left" vertical="center"/>
    </xf>
    <xf numFmtId="0" fontId="12" fillId="2" borderId="4" xfId="0" applyFont="1" applyFill="1" applyBorder="1" applyAlignment="1">
      <alignment horizontal="center" vertical="center"/>
    </xf>
    <xf numFmtId="164" fontId="10" fillId="6" borderId="4" xfId="0" applyNumberFormat="1" applyFont="1" applyFill="1" applyBorder="1" applyAlignment="1">
      <alignment horizontal="right" vertical="center"/>
    </xf>
    <xf numFmtId="0" fontId="9" fillId="3" borderId="4" xfId="0" applyFont="1" applyFill="1" applyBorder="1" applyAlignment="1">
      <alignment horizontal="left" vertical="center"/>
    </xf>
    <xf numFmtId="0" fontId="12" fillId="3" borderId="4" xfId="0" applyFont="1" applyFill="1" applyBorder="1" applyAlignment="1">
      <alignment horizontal="center" vertical="center"/>
    </xf>
    <xf numFmtId="164" fontId="10" fillId="4" borderId="4" xfId="0" applyNumberFormat="1" applyFont="1" applyFill="1" applyBorder="1" applyAlignment="1">
      <alignment horizontal="right" vertical="center"/>
    </xf>
    <xf numFmtId="0" fontId="5" fillId="5" borderId="4" xfId="0" applyFont="1" applyFill="1" applyBorder="1" applyAlignment="1">
      <alignment horizontal="right" vertical="center"/>
    </xf>
    <xf numFmtId="0" fontId="5" fillId="5" borderId="4" xfId="0" applyFont="1" applyFill="1" applyBorder="1" applyAlignment="1">
      <alignment horizontal="center" vertical="center"/>
    </xf>
    <xf numFmtId="0" fontId="0" fillId="5" borderId="4" xfId="0" applyFill="1" applyBorder="1"/>
    <xf numFmtId="164" fontId="11" fillId="4" borderId="4" xfId="0" applyNumberFormat="1" applyFont="1" applyFill="1" applyBorder="1" applyAlignment="1">
      <alignment horizontal="right" vertical="center"/>
    </xf>
    <xf numFmtId="0" fontId="7" fillId="5" borderId="4" xfId="0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164" fontId="9" fillId="3" borderId="4" xfId="0" applyNumberFormat="1" applyFont="1" applyFill="1" applyBorder="1" applyAlignment="1">
      <alignment horizontal="right" vertical="center"/>
    </xf>
    <xf numFmtId="0" fontId="9" fillId="2" borderId="4" xfId="0" applyFont="1" applyFill="1" applyBorder="1" applyAlignment="1">
      <alignment horizontal="center" vertical="center"/>
    </xf>
    <xf numFmtId="164" fontId="9" fillId="2" borderId="4" xfId="0" applyNumberFormat="1" applyFont="1" applyFill="1" applyBorder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8" fillId="5" borderId="4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3" fontId="3" fillId="3" borderId="2" xfId="0" applyNumberFormat="1" applyFont="1" applyFill="1" applyBorder="1" applyAlignment="1">
      <alignment horizontal="center" vertical="center"/>
    </xf>
    <xf numFmtId="164" fontId="3" fillId="3" borderId="2" xfId="0" applyNumberFormat="1" applyFont="1" applyFill="1" applyBorder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8" fillId="7" borderId="0" xfId="0" applyFont="1" applyFill="1" applyAlignment="1">
      <alignment horizontal="left" vertical="center"/>
    </xf>
    <xf numFmtId="0" fontId="14" fillId="0" borderId="0" xfId="0" applyFont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0" fillId="0" borderId="0" xfId="0" applyAlignment="1"/>
    <xf numFmtId="0" fontId="17" fillId="5" borderId="3" xfId="0" applyFont="1" applyFill="1" applyBorder="1" applyAlignment="1">
      <alignment horizontal="center" vertical="center"/>
    </xf>
    <xf numFmtId="0" fontId="21" fillId="3" borderId="3" xfId="0" applyFont="1" applyFill="1" applyBorder="1" applyAlignment="1">
      <alignment horizontal="left" vertical="center"/>
    </xf>
    <xf numFmtId="0" fontId="22" fillId="3" borderId="3" xfId="0" applyFont="1" applyFill="1" applyBorder="1" applyAlignment="1">
      <alignment horizontal="left" vertical="center"/>
    </xf>
    <xf numFmtId="0" fontId="23" fillId="3" borderId="3" xfId="0" applyFont="1" applyFill="1" applyBorder="1" applyAlignment="1">
      <alignment horizontal="left" vertical="center"/>
    </xf>
    <xf numFmtId="0" fontId="21" fillId="2" borderId="3" xfId="0" applyFont="1" applyFill="1" applyBorder="1" applyAlignment="1">
      <alignment horizontal="left" vertical="center"/>
    </xf>
    <xf numFmtId="0" fontId="22" fillId="2" borderId="3" xfId="0" applyFont="1" applyFill="1" applyBorder="1" applyAlignment="1">
      <alignment horizontal="left" vertical="center"/>
    </xf>
    <xf numFmtId="0" fontId="23" fillId="2" borderId="3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A5C00"/>
      <rgbColor rgb="FF800080"/>
      <rgbColor rgb="FF008080"/>
      <rgbColor rgb="FFAAAAAA"/>
      <rgbColor rgb="FF878787"/>
      <rgbColor rgb="FF888888"/>
      <rgbColor rgb="FF993366"/>
      <rgbColor rgb="FFFFF8E1"/>
      <rgbColor rgb="FFEEEEEE"/>
      <rgbColor rgb="FF660066"/>
      <rgbColor rgb="FFFF8080"/>
      <rgbColor rgb="FF1A6FA8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EBEB"/>
      <rgbColor rgb="FFF5F5F5"/>
      <rgbColor rgb="FFFFF3CC"/>
      <rgbColor rgb="FF99CCFF"/>
      <rgbColor rgb="FFFF99CC"/>
      <rgbColor rgb="FFCC99FF"/>
      <rgbColor rgb="FFD9D9D9"/>
      <rgbColor rgb="FF3366FF"/>
      <rgbColor rgb="FF33CCCC"/>
      <rgbColor rgb="FF99CC00"/>
      <rgbColor rgb="FFFFCC00"/>
      <rgbColor rgb="FFC8A951"/>
      <rgbColor rgb="FFFF6600"/>
      <rgbColor rgb="FF666666"/>
      <rgbColor rgb="FF999999"/>
      <rgbColor rgb="FF003366"/>
      <rgbColor rgb="FF339966"/>
      <rgbColor rgb="FF003300"/>
      <rgbColor rgb="FF333300"/>
      <rgbColor rgb="FF993300"/>
      <rgbColor rgb="FF993366"/>
      <rgbColor rgb="FF59595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CL" sz="1800" b="1" strike="noStrike" spc="-1">
                <a:solidFill>
                  <a:srgbClr val="000000"/>
                </a:solidFill>
                <a:latin typeface="Calibri"/>
              </a:rPr>
              <a:t>Costo total estimado por categoría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RESUMEN!$D$2</c:f>
              <c:strCache>
                <c:ptCount val="1"/>
                <c:pt idx="0">
                  <c:v>COSTO TOTAL ESTIMADO</c:v>
                </c:pt>
              </c:strCache>
            </c:strRef>
          </c:tx>
          <c:spPr>
            <a:solidFill>
              <a:srgbClr val="C8A951"/>
            </a:solidFill>
            <a:ln w="9360">
              <a:solidFill>
                <a:srgbClr val="C8A951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CL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RESUMEN!$A$3:$A$36</c:f>
              <c:strCache>
                <c:ptCount val="34"/>
                <c:pt idx="0">
                  <c:v>ABARROTE</c:v>
                </c:pt>
                <c:pt idx="1">
                  <c:v>AGUA</c:v>
                </c:pt>
                <c:pt idx="2">
                  <c:v>ALGAS</c:v>
                </c:pt>
                <c:pt idx="3">
                  <c:v>ARTICULO COCINA</c:v>
                </c:pt>
                <c:pt idx="4">
                  <c:v>BROTES</c:v>
                </c:pt>
                <c:pt idx="5">
                  <c:v>CABRITO</c:v>
                </c:pt>
                <c:pt idx="6">
                  <c:v>CERDO</c:v>
                </c:pt>
                <c:pt idx="7">
                  <c:v>CERVEZA</c:v>
                </c:pt>
                <c:pt idx="8">
                  <c:v>CHOCOLATE</c:v>
                </c:pt>
                <c:pt idx="9">
                  <c:v>COLORANTES</c:v>
                </c:pt>
                <c:pt idx="10">
                  <c:v>CONGELADO</c:v>
                </c:pt>
                <c:pt idx="11">
                  <c:v>CONSERVA</c:v>
                </c:pt>
                <c:pt idx="12">
                  <c:v>EMBUTIDO</c:v>
                </c:pt>
                <c:pt idx="13">
                  <c:v>ENCURTIDO</c:v>
                </c:pt>
                <c:pt idx="14">
                  <c:v>ENDULZANTE</c:v>
                </c:pt>
                <c:pt idx="15">
                  <c:v>ESPORAS</c:v>
                </c:pt>
                <c:pt idx="16">
                  <c:v>FRUTA VERDURA</c:v>
                </c:pt>
                <c:pt idx="17">
                  <c:v>FRUTOS SECOS</c:v>
                </c:pt>
                <c:pt idx="18">
                  <c:v>HUEVO</c:v>
                </c:pt>
                <c:pt idx="19">
                  <c:v>JAMON</c:v>
                </c:pt>
                <c:pt idx="20">
                  <c:v>JUGO</c:v>
                </c:pt>
                <c:pt idx="21">
                  <c:v>LACTEO</c:v>
                </c:pt>
                <c:pt idx="22">
                  <c:v>LEGUMBRE</c:v>
                </c:pt>
                <c:pt idx="23">
                  <c:v>LICOR</c:v>
                </c:pt>
                <c:pt idx="24">
                  <c:v>MASA</c:v>
                </c:pt>
                <c:pt idx="25">
                  <c:v>NITROGENO</c:v>
                </c:pt>
                <c:pt idx="26">
                  <c:v>PAN</c:v>
                </c:pt>
                <c:pt idx="27">
                  <c:v>PATO</c:v>
                </c:pt>
                <c:pt idx="28">
                  <c:v>PESCADO MARISCO</c:v>
                </c:pt>
                <c:pt idx="29">
                  <c:v>POLLO</c:v>
                </c:pt>
                <c:pt idx="30">
                  <c:v>TE</c:v>
                </c:pt>
                <c:pt idx="31">
                  <c:v>VACUNO</c:v>
                </c:pt>
                <c:pt idx="32">
                  <c:v>VINO</c:v>
                </c:pt>
                <c:pt idx="33">
                  <c:v>YOGURT</c:v>
                </c:pt>
              </c:strCache>
            </c:strRef>
          </c:cat>
          <c:val>
            <c:numRef>
              <c:f>RESUMEN!$D$3:$D$36</c:f>
              <c:numCache>
                <c:formatCode>\$#,##0</c:formatCode>
                <c:ptCount val="34"/>
                <c:pt idx="0">
                  <c:v>4341565.4333333336</c:v>
                </c:pt>
                <c:pt idx="1">
                  <c:v>15334</c:v>
                </c:pt>
                <c:pt idx="2">
                  <c:v>9824.8333333333339</c:v>
                </c:pt>
                <c:pt idx="3">
                  <c:v>87456.6</c:v>
                </c:pt>
                <c:pt idx="4">
                  <c:v>3575.3666666666672</c:v>
                </c:pt>
                <c:pt idx="5">
                  <c:v>24334.566666666666</c:v>
                </c:pt>
                <c:pt idx="6">
                  <c:v>305338.00000000006</c:v>
                </c:pt>
                <c:pt idx="7">
                  <c:v>5725.5000000000009</c:v>
                </c:pt>
                <c:pt idx="8">
                  <c:v>359066.76666666672</c:v>
                </c:pt>
                <c:pt idx="9">
                  <c:v>249244.9666666667</c:v>
                </c:pt>
                <c:pt idx="10">
                  <c:v>75831.250000000015</c:v>
                </c:pt>
                <c:pt idx="11">
                  <c:v>21962.233333333337</c:v>
                </c:pt>
                <c:pt idx="12">
                  <c:v>16750.250000000004</c:v>
                </c:pt>
                <c:pt idx="13">
                  <c:v>4590.3</c:v>
                </c:pt>
                <c:pt idx="14">
                  <c:v>51589.633333333339</c:v>
                </c:pt>
                <c:pt idx="15">
                  <c:v>85564.966666666674</c:v>
                </c:pt>
                <c:pt idx="16">
                  <c:v>766766.73333333328</c:v>
                </c:pt>
                <c:pt idx="17">
                  <c:v>89310.1</c:v>
                </c:pt>
                <c:pt idx="18">
                  <c:v>392.15000000000003</c:v>
                </c:pt>
                <c:pt idx="19">
                  <c:v>34256.200000000004</c:v>
                </c:pt>
                <c:pt idx="20">
                  <c:v>10858.466666666667</c:v>
                </c:pt>
                <c:pt idx="21">
                  <c:v>404023.40000000008</c:v>
                </c:pt>
                <c:pt idx="22">
                  <c:v>4705.8</c:v>
                </c:pt>
                <c:pt idx="23">
                  <c:v>177778.33333333337</c:v>
                </c:pt>
                <c:pt idx="24">
                  <c:v>15303.2</c:v>
                </c:pt>
                <c:pt idx="25">
                  <c:v>3654.2000000000003</c:v>
                </c:pt>
                <c:pt idx="26">
                  <c:v>4445.1000000000004</c:v>
                </c:pt>
                <c:pt idx="27">
                  <c:v>46598.933333333334</c:v>
                </c:pt>
                <c:pt idx="28">
                  <c:v>497111.26666666672</c:v>
                </c:pt>
                <c:pt idx="29">
                  <c:v>36447.950000000004</c:v>
                </c:pt>
                <c:pt idx="30">
                  <c:v>101912.06666666669</c:v>
                </c:pt>
                <c:pt idx="31">
                  <c:v>390760.15</c:v>
                </c:pt>
                <c:pt idx="32">
                  <c:v>28037.899999999998</c:v>
                </c:pt>
                <c:pt idx="33">
                  <c:v>9194.5333333333347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A6-4157-B78A-57BF5A5EF2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5276301"/>
        <c:axId val="11595880"/>
      </c:barChart>
      <c:catAx>
        <c:axId val="7527630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L"/>
          </a:p>
        </c:txPr>
        <c:crossAx val="11595880"/>
        <c:crosses val="autoZero"/>
        <c:auto val="1"/>
        <c:lblAlgn val="ctr"/>
        <c:lblOffset val="100"/>
        <c:noMultiLvlLbl val="0"/>
      </c:catAx>
      <c:valAx>
        <c:axId val="11595880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L"/>
          </a:p>
        </c:txPr>
        <c:crossAx val="7527630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60</xdr:row>
      <xdr:rowOff>0</xdr:rowOff>
    </xdr:from>
    <xdr:to>
      <xdr:col>7</xdr:col>
      <xdr:colOff>307440</xdr:colOff>
      <xdr:row>86</xdr:row>
      <xdr:rowOff>86760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8A951"/>
  </sheetPr>
  <dimension ref="A1:J59"/>
  <sheetViews>
    <sheetView showGridLines="0" tabSelected="1" zoomScaleNormal="100" workbookViewId="0">
      <pane ySplit="1" topLeftCell="A2" activePane="bottomLeft" state="frozen"/>
      <selection pane="bottomLeft" activeCell="H58" sqref="H58:I58"/>
    </sheetView>
  </sheetViews>
  <sheetFormatPr baseColWidth="10" defaultColWidth="8.6328125" defaultRowHeight="14.5" x14ac:dyDescent="0.35"/>
  <cols>
    <col min="1" max="1" width="2" customWidth="1"/>
    <col min="2" max="9" width="18" customWidth="1"/>
    <col min="10" max="10" width="2" customWidth="1"/>
  </cols>
  <sheetData>
    <row r="1" spans="1:10" ht="37.5" customHeight="1" x14ac:dyDescent="0.35">
      <c r="A1" s="53" t="s">
        <v>850</v>
      </c>
      <c r="B1" s="53"/>
      <c r="C1" s="53"/>
      <c r="D1" s="53"/>
      <c r="E1" s="53"/>
      <c r="F1" s="53"/>
      <c r="G1" s="53"/>
      <c r="H1" s="53"/>
      <c r="I1" s="53"/>
      <c r="J1" s="53"/>
    </row>
    <row r="2" spans="1:10" ht="13.5" customHeight="1" x14ac:dyDescent="0.35">
      <c r="A2" s="54"/>
      <c r="B2" s="54"/>
      <c r="C2" s="54"/>
      <c r="D2" s="54"/>
      <c r="E2" s="54"/>
      <c r="F2" s="54"/>
      <c r="G2" s="54"/>
      <c r="H2" s="54"/>
      <c r="I2" s="54"/>
      <c r="J2" s="54"/>
    </row>
    <row r="3" spans="1:10" ht="13.5" customHeight="1" x14ac:dyDescent="0.35">
      <c r="A3" s="54"/>
      <c r="B3" s="54"/>
      <c r="C3" s="54"/>
      <c r="D3" s="54"/>
      <c r="E3" s="54"/>
      <c r="F3" s="54"/>
      <c r="G3" s="54"/>
      <c r="H3" s="54"/>
      <c r="I3" s="54"/>
      <c r="J3" s="54"/>
    </row>
    <row r="4" spans="1:10" ht="7.5" customHeight="1" x14ac:dyDescent="0.35"/>
    <row r="5" spans="1:10" ht="13.5" customHeight="1" x14ac:dyDescent="0.35">
      <c r="B5" s="55" t="s">
        <v>0</v>
      </c>
      <c r="C5" s="55"/>
      <c r="D5" s="55" t="s">
        <v>1</v>
      </c>
      <c r="E5" s="55"/>
      <c r="F5" s="55" t="s">
        <v>2</v>
      </c>
      <c r="G5" s="55"/>
      <c r="H5" s="55" t="s">
        <v>3</v>
      </c>
      <c r="I5" s="55"/>
    </row>
    <row r="6" spans="1:10" ht="21.75" customHeight="1" x14ac:dyDescent="0.35">
      <c r="B6" s="56">
        <f>COUNTA('CONSOLIDADO PRECIOS'!B$5:B$646)-COUNTIF('CONSOLIDADO PRECIOS'!B$5:B$646,"")</f>
        <v>574</v>
      </c>
      <c r="C6" s="56"/>
      <c r="D6" s="56">
        <f>COUNTA(RESUMEN!A3:A36)</f>
        <v>34</v>
      </c>
      <c r="E6" s="56"/>
      <c r="F6" s="56">
        <f>COUNTA(PROVEEDORES!A3:A42)</f>
        <v>40</v>
      </c>
      <c r="G6" s="56"/>
      <c r="H6" s="57">
        <f>RESUMEN!D37</f>
        <v>8279311.1500000004</v>
      </c>
      <c r="I6" s="57"/>
    </row>
    <row r="7" spans="1:10" ht="9.75" customHeight="1" x14ac:dyDescent="0.35"/>
    <row r="8" spans="1:10" ht="15.75" customHeight="1" x14ac:dyDescent="0.35">
      <c r="B8" s="50" t="s">
        <v>4</v>
      </c>
      <c r="C8" s="50"/>
      <c r="D8" s="1">
        <f>'CONSOLIDADO PRECIOS'!B2</f>
        <v>0.1</v>
      </c>
      <c r="E8" s="51"/>
      <c r="F8" s="51"/>
      <c r="G8" s="51"/>
      <c r="H8" s="51"/>
      <c r="I8" s="51"/>
    </row>
    <row r="9" spans="1:10" ht="9.75" customHeight="1" x14ac:dyDescent="0.35"/>
    <row r="10" spans="1:10" ht="15.75" customHeight="1" x14ac:dyDescent="0.35">
      <c r="B10" s="44" t="s">
        <v>5</v>
      </c>
      <c r="C10" s="44"/>
      <c r="D10" s="44"/>
      <c r="E10" s="44"/>
      <c r="F10" s="44"/>
      <c r="G10" s="44"/>
      <c r="H10" s="44"/>
      <c r="I10" s="44"/>
    </row>
    <row r="11" spans="1:10" ht="13.5" customHeight="1" x14ac:dyDescent="0.35">
      <c r="B11" s="52" t="s">
        <v>6</v>
      </c>
      <c r="C11" s="52"/>
      <c r="D11" s="52" t="s">
        <v>7</v>
      </c>
      <c r="E11" s="52"/>
      <c r="F11" s="52" t="s">
        <v>8</v>
      </c>
      <c r="G11" s="52"/>
      <c r="H11" s="52" t="s">
        <v>9</v>
      </c>
      <c r="I11" s="52"/>
    </row>
    <row r="12" spans="1:10" ht="15" customHeight="1" x14ac:dyDescent="0.35">
      <c r="B12" s="34" t="str">
        <f>RESUMEN!A3</f>
        <v>ABARROTE</v>
      </c>
      <c r="C12" s="34"/>
      <c r="D12" s="48">
        <f>RESUMEN!B3</f>
        <v>240</v>
      </c>
      <c r="E12" s="48"/>
      <c r="F12" s="49">
        <f>RESUMEN!C3</f>
        <v>18165.545746164575</v>
      </c>
      <c r="G12" s="49"/>
      <c r="H12" s="36">
        <f>RESUMEN!D3</f>
        <v>4341565.4333333336</v>
      </c>
      <c r="I12" s="36"/>
    </row>
    <row r="13" spans="1:10" ht="15" customHeight="1" x14ac:dyDescent="0.35">
      <c r="B13" s="37" t="str">
        <f>RESUMEN!A4</f>
        <v>AGUA</v>
      </c>
      <c r="C13" s="37"/>
      <c r="D13" s="46">
        <f>RESUMEN!B4</f>
        <v>3</v>
      </c>
      <c r="E13" s="46"/>
      <c r="F13" s="47">
        <f>RESUMEN!C4</f>
        <v>7667</v>
      </c>
      <c r="G13" s="47"/>
      <c r="H13" s="39">
        <f>RESUMEN!D4</f>
        <v>15334</v>
      </c>
      <c r="I13" s="39"/>
    </row>
    <row r="14" spans="1:10" ht="15" customHeight="1" x14ac:dyDescent="0.35">
      <c r="B14" s="34" t="str">
        <f>RESUMEN!A5</f>
        <v>ALGAS</v>
      </c>
      <c r="C14" s="34"/>
      <c r="D14" s="48">
        <f>RESUMEN!B5</f>
        <v>2</v>
      </c>
      <c r="E14" s="48"/>
      <c r="F14" s="49">
        <f>RESUMEN!C5</f>
        <v>9824.8333333333339</v>
      </c>
      <c r="G14" s="49"/>
      <c r="H14" s="36">
        <f>RESUMEN!D5</f>
        <v>9824.8333333333339</v>
      </c>
      <c r="I14" s="36"/>
    </row>
    <row r="15" spans="1:10" ht="15" customHeight="1" x14ac:dyDescent="0.35">
      <c r="B15" s="37" t="str">
        <f>RESUMEN!A6</f>
        <v>ARTICULO COCINA</v>
      </c>
      <c r="C15" s="37"/>
      <c r="D15" s="46">
        <f>RESUMEN!B6</f>
        <v>35</v>
      </c>
      <c r="E15" s="46"/>
      <c r="F15" s="47">
        <f>RESUMEN!C6</f>
        <v>2572.2529411764708</v>
      </c>
      <c r="G15" s="47"/>
      <c r="H15" s="39">
        <f>RESUMEN!D6</f>
        <v>87456.6</v>
      </c>
      <c r="I15" s="39"/>
    </row>
    <row r="16" spans="1:10" ht="15" customHeight="1" x14ac:dyDescent="0.35">
      <c r="B16" s="34" t="str">
        <f>RESUMEN!A7</f>
        <v>BROTES</v>
      </c>
      <c r="C16" s="34"/>
      <c r="D16" s="48">
        <f>RESUMEN!B7</f>
        <v>2</v>
      </c>
      <c r="E16" s="48"/>
      <c r="F16" s="49">
        <f>RESUMEN!C7</f>
        <v>3575.3666666666672</v>
      </c>
      <c r="G16" s="49"/>
      <c r="H16" s="36">
        <f>RESUMEN!D7</f>
        <v>3575.3666666666672</v>
      </c>
      <c r="I16" s="36"/>
    </row>
    <row r="17" spans="2:9" ht="15" customHeight="1" x14ac:dyDescent="0.35">
      <c r="B17" s="37" t="str">
        <f>RESUMEN!A8</f>
        <v>CABRITO</v>
      </c>
      <c r="C17" s="37"/>
      <c r="D17" s="46">
        <f>RESUMEN!B8</f>
        <v>2</v>
      </c>
      <c r="E17" s="46"/>
      <c r="F17" s="47">
        <f>RESUMEN!C8</f>
        <v>24334.566666666666</v>
      </c>
      <c r="G17" s="47"/>
      <c r="H17" s="39">
        <f>RESUMEN!D8</f>
        <v>24334.566666666666</v>
      </c>
      <c r="I17" s="39"/>
    </row>
    <row r="18" spans="2:9" ht="15" customHeight="1" x14ac:dyDescent="0.35">
      <c r="B18" s="34" t="str">
        <f>RESUMEN!A9</f>
        <v>CERDO</v>
      </c>
      <c r="C18" s="34"/>
      <c r="D18" s="48">
        <f>RESUMEN!B9</f>
        <v>22</v>
      </c>
      <c r="E18" s="48"/>
      <c r="F18" s="49">
        <f>RESUMEN!C9</f>
        <v>14539.904761904765</v>
      </c>
      <c r="G18" s="49"/>
      <c r="H18" s="36">
        <f>RESUMEN!D9</f>
        <v>305338.00000000006</v>
      </c>
      <c r="I18" s="36"/>
    </row>
    <row r="19" spans="2:9" ht="15" customHeight="1" x14ac:dyDescent="0.35">
      <c r="B19" s="37" t="str">
        <f>RESUMEN!A10</f>
        <v>CERVEZA</v>
      </c>
      <c r="C19" s="37"/>
      <c r="D19" s="46">
        <f>RESUMEN!B10</f>
        <v>2</v>
      </c>
      <c r="E19" s="46"/>
      <c r="F19" s="47">
        <f>RESUMEN!C10</f>
        <v>5725.5000000000009</v>
      </c>
      <c r="G19" s="47"/>
      <c r="H19" s="39">
        <f>RESUMEN!D10</f>
        <v>5725.5000000000009</v>
      </c>
      <c r="I19" s="39"/>
    </row>
    <row r="20" spans="2:9" ht="15" customHeight="1" x14ac:dyDescent="0.35">
      <c r="B20" s="34" t="str">
        <f>RESUMEN!A11</f>
        <v>CHOCOLATE</v>
      </c>
      <c r="C20" s="34"/>
      <c r="D20" s="48">
        <f>RESUMEN!B11</f>
        <v>22</v>
      </c>
      <c r="E20" s="48"/>
      <c r="F20" s="49">
        <f>RESUMEN!C11</f>
        <v>17098.417460317462</v>
      </c>
      <c r="G20" s="49"/>
      <c r="H20" s="36">
        <f>RESUMEN!D11</f>
        <v>359066.76666666672</v>
      </c>
      <c r="I20" s="36"/>
    </row>
    <row r="21" spans="2:9" ht="15" customHeight="1" x14ac:dyDescent="0.35">
      <c r="B21" s="37" t="str">
        <f>RESUMEN!A12</f>
        <v>COLORANTES</v>
      </c>
      <c r="C21" s="37"/>
      <c r="D21" s="46">
        <f>RESUMEN!B12</f>
        <v>14</v>
      </c>
      <c r="E21" s="46"/>
      <c r="F21" s="47">
        <f>RESUMEN!C12</f>
        <v>19172.689743589748</v>
      </c>
      <c r="G21" s="47"/>
      <c r="H21" s="39">
        <f>RESUMEN!D12</f>
        <v>249244.9666666667</v>
      </c>
      <c r="I21" s="39"/>
    </row>
    <row r="22" spans="2:9" ht="15" customHeight="1" x14ac:dyDescent="0.35">
      <c r="B22" s="34" t="str">
        <f>RESUMEN!A13</f>
        <v>CONGELADO</v>
      </c>
      <c r="C22" s="34"/>
      <c r="D22" s="48">
        <f>RESUMEN!B13</f>
        <v>14</v>
      </c>
      <c r="E22" s="48"/>
      <c r="F22" s="49">
        <f>RESUMEN!C13</f>
        <v>5833.173076923078</v>
      </c>
      <c r="G22" s="49"/>
      <c r="H22" s="36">
        <f>RESUMEN!D13</f>
        <v>75831.250000000015</v>
      </c>
      <c r="I22" s="36"/>
    </row>
    <row r="23" spans="2:9" ht="15" customHeight="1" x14ac:dyDescent="0.35">
      <c r="B23" s="37" t="str">
        <f>RESUMEN!A14</f>
        <v>CONSERVA</v>
      </c>
      <c r="C23" s="37"/>
      <c r="D23" s="46">
        <f>RESUMEN!B14</f>
        <v>5</v>
      </c>
      <c r="E23" s="46"/>
      <c r="F23" s="47">
        <f>RESUMEN!C14</f>
        <v>5490.5583333333343</v>
      </c>
      <c r="G23" s="47"/>
      <c r="H23" s="39">
        <f>RESUMEN!D14</f>
        <v>21962.233333333337</v>
      </c>
      <c r="I23" s="39"/>
    </row>
    <row r="24" spans="2:9" ht="15" customHeight="1" x14ac:dyDescent="0.35">
      <c r="B24" s="34" t="str">
        <f>RESUMEN!A15</f>
        <v>EMBUTIDO</v>
      </c>
      <c r="C24" s="34"/>
      <c r="D24" s="48">
        <f>RESUMEN!B15</f>
        <v>4</v>
      </c>
      <c r="E24" s="48"/>
      <c r="F24" s="49">
        <f>RESUMEN!C15</f>
        <v>5583.4166666666679</v>
      </c>
      <c r="G24" s="49"/>
      <c r="H24" s="36">
        <f>RESUMEN!D15</f>
        <v>16750.250000000004</v>
      </c>
      <c r="I24" s="36"/>
    </row>
    <row r="25" spans="2:9" ht="15" customHeight="1" x14ac:dyDescent="0.35">
      <c r="B25" s="37" t="str">
        <f>RESUMEN!A16</f>
        <v>ENCURTIDO</v>
      </c>
      <c r="C25" s="37"/>
      <c r="D25" s="46">
        <f>RESUMEN!B16</f>
        <v>2</v>
      </c>
      <c r="E25" s="46"/>
      <c r="F25" s="47">
        <f>RESUMEN!C16</f>
        <v>4590.3</v>
      </c>
      <c r="G25" s="47"/>
      <c r="H25" s="39">
        <f>RESUMEN!D16</f>
        <v>4590.3</v>
      </c>
      <c r="I25" s="39"/>
    </row>
    <row r="26" spans="2:9" ht="15" customHeight="1" x14ac:dyDescent="0.35">
      <c r="B26" s="34" t="str">
        <f>RESUMEN!A17</f>
        <v>ENDULZANTE</v>
      </c>
      <c r="C26" s="34"/>
      <c r="D26" s="48">
        <f>RESUMEN!B17</f>
        <v>4</v>
      </c>
      <c r="E26" s="48"/>
      <c r="F26" s="49">
        <f>RESUMEN!C17</f>
        <v>17196.544444444447</v>
      </c>
      <c r="G26" s="49"/>
      <c r="H26" s="36">
        <f>RESUMEN!D17</f>
        <v>51589.633333333339</v>
      </c>
      <c r="I26" s="36"/>
    </row>
    <row r="27" spans="2:9" ht="15" customHeight="1" x14ac:dyDescent="0.35">
      <c r="B27" s="37" t="str">
        <f>RESUMEN!A18</f>
        <v>ESPORAS</v>
      </c>
      <c r="C27" s="37"/>
      <c r="D27" s="46">
        <f>RESUMEN!B18</f>
        <v>3</v>
      </c>
      <c r="E27" s="46"/>
      <c r="F27" s="47">
        <f>RESUMEN!C18</f>
        <v>42782.483333333337</v>
      </c>
      <c r="G27" s="47"/>
      <c r="H27" s="39">
        <f>RESUMEN!D18</f>
        <v>85564.966666666674</v>
      </c>
      <c r="I27" s="39"/>
    </row>
    <row r="28" spans="2:9" ht="15" customHeight="1" x14ac:dyDescent="0.35">
      <c r="B28" s="34" t="str">
        <f>RESUMEN!A19</f>
        <v>FRUTA VERDURA</v>
      </c>
      <c r="C28" s="34"/>
      <c r="D28" s="48">
        <f>RESUMEN!B19</f>
        <v>105</v>
      </c>
      <c r="E28" s="48"/>
      <c r="F28" s="49">
        <f>RESUMEN!C19</f>
        <v>7372.7570512820512</v>
      </c>
      <c r="G28" s="49"/>
      <c r="H28" s="36">
        <f>RESUMEN!D19</f>
        <v>766766.73333333328</v>
      </c>
      <c r="I28" s="36"/>
    </row>
    <row r="29" spans="2:9" ht="15" customHeight="1" x14ac:dyDescent="0.35">
      <c r="B29" s="37" t="str">
        <f>RESUMEN!A20</f>
        <v>FRUTOS SECOS</v>
      </c>
      <c r="C29" s="37"/>
      <c r="D29" s="46">
        <f>RESUMEN!B20</f>
        <v>4</v>
      </c>
      <c r="E29" s="46"/>
      <c r="F29" s="47">
        <f>RESUMEN!C20</f>
        <v>29770.033333333336</v>
      </c>
      <c r="G29" s="47"/>
      <c r="H29" s="39">
        <f>RESUMEN!D20</f>
        <v>89310.1</v>
      </c>
      <c r="I29" s="39"/>
    </row>
    <row r="30" spans="2:9" ht="15" customHeight="1" x14ac:dyDescent="0.35">
      <c r="B30" s="34" t="str">
        <f>RESUMEN!A21</f>
        <v>HUEVO</v>
      </c>
      <c r="C30" s="34"/>
      <c r="D30" s="48">
        <f>RESUMEN!B21</f>
        <v>3</v>
      </c>
      <c r="E30" s="48"/>
      <c r="F30" s="49">
        <f>RESUMEN!C21</f>
        <v>196.07500000000002</v>
      </c>
      <c r="G30" s="49"/>
      <c r="H30" s="36">
        <f>RESUMEN!D21</f>
        <v>392.15000000000003</v>
      </c>
      <c r="I30" s="36"/>
    </row>
    <row r="31" spans="2:9" ht="15" customHeight="1" x14ac:dyDescent="0.35">
      <c r="B31" s="37" t="str">
        <f>RESUMEN!A22</f>
        <v>JAMON</v>
      </c>
      <c r="C31" s="37"/>
      <c r="D31" s="46">
        <f>RESUMEN!B22</f>
        <v>3</v>
      </c>
      <c r="E31" s="46"/>
      <c r="F31" s="47">
        <f>RESUMEN!C22</f>
        <v>17128.100000000002</v>
      </c>
      <c r="G31" s="47"/>
      <c r="H31" s="39">
        <f>RESUMEN!D22</f>
        <v>34256.200000000004</v>
      </c>
      <c r="I31" s="39"/>
    </row>
    <row r="32" spans="2:9" ht="15" customHeight="1" x14ac:dyDescent="0.35">
      <c r="B32" s="34" t="str">
        <f>RESUMEN!A23</f>
        <v>JUGO</v>
      </c>
      <c r="C32" s="34"/>
      <c r="D32" s="48">
        <f>RESUMEN!B23</f>
        <v>3</v>
      </c>
      <c r="E32" s="48"/>
      <c r="F32" s="49">
        <f>RESUMEN!C23</f>
        <v>5429.2333333333336</v>
      </c>
      <c r="G32" s="49"/>
      <c r="H32" s="36">
        <f>RESUMEN!D23</f>
        <v>10858.466666666667</v>
      </c>
      <c r="I32" s="36"/>
    </row>
    <row r="33" spans="2:9" ht="15" customHeight="1" x14ac:dyDescent="0.35">
      <c r="B33" s="37" t="str">
        <f>RESUMEN!A24</f>
        <v>LACTEO</v>
      </c>
      <c r="C33" s="37"/>
      <c r="D33" s="46">
        <f>RESUMEN!B24</f>
        <v>36</v>
      </c>
      <c r="E33" s="46"/>
      <c r="F33" s="47">
        <f>RESUMEN!C24</f>
        <v>11543.525714285717</v>
      </c>
      <c r="G33" s="47"/>
      <c r="H33" s="39">
        <f>RESUMEN!D24</f>
        <v>404023.40000000008</v>
      </c>
      <c r="I33" s="39"/>
    </row>
    <row r="34" spans="2:9" ht="15" customHeight="1" x14ac:dyDescent="0.35">
      <c r="B34" s="34" t="str">
        <f>RESUMEN!A25</f>
        <v>LEGUMBRE</v>
      </c>
      <c r="C34" s="34"/>
      <c r="D34" s="48">
        <f>RESUMEN!B25</f>
        <v>3</v>
      </c>
      <c r="E34" s="48"/>
      <c r="F34" s="49">
        <f>RESUMEN!C25</f>
        <v>2352.9</v>
      </c>
      <c r="G34" s="49"/>
      <c r="H34" s="36">
        <f>RESUMEN!D25</f>
        <v>4705.8</v>
      </c>
      <c r="I34" s="36"/>
    </row>
    <row r="35" spans="2:9" ht="15" customHeight="1" x14ac:dyDescent="0.35">
      <c r="B35" s="37" t="str">
        <f>RESUMEN!A26</f>
        <v>LICOR</v>
      </c>
      <c r="C35" s="37"/>
      <c r="D35" s="46">
        <f>RESUMEN!B26</f>
        <v>14</v>
      </c>
      <c r="E35" s="46"/>
      <c r="F35" s="47">
        <f>RESUMEN!C26</f>
        <v>13675.256410256414</v>
      </c>
      <c r="G35" s="47"/>
      <c r="H35" s="39">
        <f>RESUMEN!D26</f>
        <v>177778.33333333337</v>
      </c>
      <c r="I35" s="39"/>
    </row>
    <row r="36" spans="2:9" ht="15" customHeight="1" x14ac:dyDescent="0.35">
      <c r="B36" s="34" t="str">
        <f>RESUMEN!A27</f>
        <v>MASA</v>
      </c>
      <c r="C36" s="34"/>
      <c r="D36" s="48">
        <f>RESUMEN!B27</f>
        <v>3</v>
      </c>
      <c r="E36" s="48"/>
      <c r="F36" s="49">
        <f>RESUMEN!C27</f>
        <v>7651.6</v>
      </c>
      <c r="G36" s="49"/>
      <c r="H36" s="36">
        <f>RESUMEN!D27</f>
        <v>15303.2</v>
      </c>
      <c r="I36" s="36"/>
    </row>
    <row r="37" spans="2:9" ht="15" customHeight="1" x14ac:dyDescent="0.35">
      <c r="B37" s="37" t="str">
        <f>RESUMEN!A28</f>
        <v>NITROGENO</v>
      </c>
      <c r="C37" s="37"/>
      <c r="D37" s="46">
        <f>RESUMEN!B28</f>
        <v>2</v>
      </c>
      <c r="E37" s="46"/>
      <c r="F37" s="47">
        <f>RESUMEN!C28</f>
        <v>3654.2000000000003</v>
      </c>
      <c r="G37" s="47"/>
      <c r="H37" s="39">
        <f>RESUMEN!D28</f>
        <v>3654.2000000000003</v>
      </c>
      <c r="I37" s="39"/>
    </row>
    <row r="38" spans="2:9" ht="15" customHeight="1" x14ac:dyDescent="0.35">
      <c r="B38" s="34" t="str">
        <f>RESUMEN!A29</f>
        <v>PAN</v>
      </c>
      <c r="C38" s="34"/>
      <c r="D38" s="48">
        <f>RESUMEN!B29</f>
        <v>9</v>
      </c>
      <c r="E38" s="48"/>
      <c r="F38" s="49">
        <f>RESUMEN!C29</f>
        <v>555.63750000000005</v>
      </c>
      <c r="G38" s="49"/>
      <c r="H38" s="36">
        <f>RESUMEN!D29</f>
        <v>4445.1000000000004</v>
      </c>
      <c r="I38" s="36"/>
    </row>
    <row r="39" spans="2:9" ht="15" customHeight="1" x14ac:dyDescent="0.35">
      <c r="B39" s="37" t="str">
        <f>RESUMEN!A30</f>
        <v>PATO</v>
      </c>
      <c r="C39" s="37"/>
      <c r="D39" s="46">
        <f>RESUMEN!B30</f>
        <v>2</v>
      </c>
      <c r="E39" s="46"/>
      <c r="F39" s="47">
        <f>RESUMEN!C30</f>
        <v>46598.933333333334</v>
      </c>
      <c r="G39" s="47"/>
      <c r="H39" s="39">
        <f>RESUMEN!D30</f>
        <v>46598.933333333334</v>
      </c>
      <c r="I39" s="39"/>
    </row>
    <row r="40" spans="2:9" ht="15" customHeight="1" x14ac:dyDescent="0.35">
      <c r="B40" s="34" t="str">
        <f>RESUMEN!A31</f>
        <v>PESCADO MARISCO</v>
      </c>
      <c r="C40" s="34"/>
      <c r="D40" s="48">
        <f>RESUMEN!B31</f>
        <v>30</v>
      </c>
      <c r="E40" s="48"/>
      <c r="F40" s="49">
        <f>RESUMEN!C31</f>
        <v>17141.767816091957</v>
      </c>
      <c r="G40" s="49"/>
      <c r="H40" s="36">
        <f>RESUMEN!D31</f>
        <v>497111.26666666672</v>
      </c>
      <c r="I40" s="36"/>
    </row>
    <row r="41" spans="2:9" ht="15" customHeight="1" x14ac:dyDescent="0.35">
      <c r="B41" s="37" t="str">
        <f>RESUMEN!A32</f>
        <v>POLLO</v>
      </c>
      <c r="C41" s="37"/>
      <c r="D41" s="46">
        <f>RESUMEN!B32</f>
        <v>9</v>
      </c>
      <c r="E41" s="46"/>
      <c r="F41" s="47">
        <f>RESUMEN!C32</f>
        <v>4555.9937500000005</v>
      </c>
      <c r="G41" s="47"/>
      <c r="H41" s="39">
        <f>RESUMEN!D32</f>
        <v>36447.950000000004</v>
      </c>
      <c r="I41" s="39"/>
    </row>
    <row r="42" spans="2:9" ht="15" customHeight="1" x14ac:dyDescent="0.35">
      <c r="B42" s="34" t="str">
        <f>RESUMEN!A33</f>
        <v>TE</v>
      </c>
      <c r="C42" s="34"/>
      <c r="D42" s="48">
        <f>RESUMEN!B33</f>
        <v>5</v>
      </c>
      <c r="E42" s="48"/>
      <c r="F42" s="49">
        <f>RESUMEN!C33</f>
        <v>25478.016666666674</v>
      </c>
      <c r="G42" s="49"/>
      <c r="H42" s="36">
        <f>RESUMEN!D33</f>
        <v>101912.06666666669</v>
      </c>
      <c r="I42" s="36"/>
    </row>
    <row r="43" spans="2:9" ht="15" customHeight="1" x14ac:dyDescent="0.35">
      <c r="B43" s="37" t="str">
        <f>RESUMEN!A34</f>
        <v>VACUNO</v>
      </c>
      <c r="C43" s="37"/>
      <c r="D43" s="46">
        <f>RESUMEN!B34</f>
        <v>24</v>
      </c>
      <c r="E43" s="46"/>
      <c r="F43" s="47">
        <f>RESUMEN!C34</f>
        <v>16989.571739130435</v>
      </c>
      <c r="G43" s="47"/>
      <c r="H43" s="39">
        <f>RESUMEN!D34</f>
        <v>390760.15</v>
      </c>
      <c r="I43" s="39"/>
    </row>
    <row r="44" spans="2:9" ht="15" customHeight="1" x14ac:dyDescent="0.35">
      <c r="B44" s="34" t="str">
        <f>RESUMEN!A35</f>
        <v>VINO</v>
      </c>
      <c r="C44" s="34"/>
      <c r="D44" s="48">
        <f>RESUMEN!B35</f>
        <v>7</v>
      </c>
      <c r="E44" s="48"/>
      <c r="F44" s="49">
        <f>RESUMEN!C35</f>
        <v>4672.9833333333327</v>
      </c>
      <c r="G44" s="49"/>
      <c r="H44" s="36">
        <f>RESUMEN!D35</f>
        <v>28037.899999999998</v>
      </c>
      <c r="I44" s="36"/>
    </row>
    <row r="45" spans="2:9" ht="15" customHeight="1" x14ac:dyDescent="0.35">
      <c r="B45" s="37" t="str">
        <f>RESUMEN!A36</f>
        <v>YOGURT</v>
      </c>
      <c r="C45" s="37"/>
      <c r="D45" s="46">
        <f>RESUMEN!B36</f>
        <v>4</v>
      </c>
      <c r="E45" s="46"/>
      <c r="F45" s="47">
        <f>RESUMEN!C36</f>
        <v>3064.8444444444449</v>
      </c>
      <c r="G45" s="47"/>
      <c r="H45" s="39">
        <f>RESUMEN!D36</f>
        <v>9194.5333333333347</v>
      </c>
      <c r="I45" s="39"/>
    </row>
    <row r="46" spans="2:9" ht="18" customHeight="1" x14ac:dyDescent="0.35">
      <c r="B46" s="40" t="s">
        <v>10</v>
      </c>
      <c r="C46" s="40"/>
      <c r="D46" s="41">
        <f>RESUMEN!B37</f>
        <v>642</v>
      </c>
      <c r="E46" s="41"/>
      <c r="F46" s="42"/>
      <c r="G46" s="42"/>
      <c r="H46" s="43">
        <f>RESUMEN!D37</f>
        <v>8279311.1500000004</v>
      </c>
      <c r="I46" s="43"/>
    </row>
    <row r="48" spans="2:9" ht="15.75" customHeight="1" x14ac:dyDescent="0.35">
      <c r="B48" s="44" t="s">
        <v>11</v>
      </c>
      <c r="C48" s="44"/>
      <c r="D48" s="44"/>
      <c r="E48" s="44"/>
      <c r="F48" s="44"/>
      <c r="G48" s="44"/>
      <c r="H48" s="44"/>
      <c r="I48" s="44"/>
    </row>
    <row r="49" spans="2:9" ht="13.5" customHeight="1" x14ac:dyDescent="0.35">
      <c r="B49" s="45" t="s">
        <v>12</v>
      </c>
      <c r="C49" s="45"/>
      <c r="D49" s="45"/>
      <c r="E49" s="45" t="s">
        <v>6</v>
      </c>
      <c r="F49" s="45"/>
      <c r="G49" s="45"/>
      <c r="H49" s="45" t="s">
        <v>13</v>
      </c>
      <c r="I49" s="45"/>
    </row>
    <row r="50" spans="2:9" ht="15" customHeight="1" x14ac:dyDescent="0.35">
      <c r="B50" s="37" t="str">
        <f>IFERROR(INDEX('CONSOLIDADO PRECIOS'!$B$5:$B$646,MATCH(LARGE('CONSOLIDADO PRECIOS'!$U$5:$U$646,1),'CONSOLIDADO PRECIOS'!$U$5:$U$646,0)),"")</f>
        <v>BAYAS DE ENEBRO</v>
      </c>
      <c r="C50" s="37"/>
      <c r="D50" s="37"/>
      <c r="E50" s="38" t="str">
        <f>IFERROR(INDEX('CONSOLIDADO PRECIOS'!$A$5:$A$646,MATCH(LARGE('CONSOLIDADO PRECIOS'!$U$5:$U$646,1),'CONSOLIDADO PRECIOS'!$U$5:$U$646,0)),"")</f>
        <v>FRUTA VERDURA</v>
      </c>
      <c r="F50" s="38"/>
      <c r="G50" s="38"/>
      <c r="H50" s="39">
        <f>IFERROR(LARGE('CONSOLIDADO PRECIOS'!$U$5:$U$646,1),"")</f>
        <v>250252.2</v>
      </c>
      <c r="I50" s="39"/>
    </row>
    <row r="51" spans="2:9" ht="15" customHeight="1" x14ac:dyDescent="0.35">
      <c r="B51" s="34" t="str">
        <f>IFERROR(INDEX('CONSOLIDADO PRECIOS'!$B$5:$B$646,MATCH(LARGE('CONSOLIDADO PRECIOS'!$U$5:$U$646,2),'CONSOLIDADO PRECIOS'!$U$5:$U$646,0)),"")</f>
        <v>FRAMBUESA LIOFILIZADA</v>
      </c>
      <c r="C51" s="34"/>
      <c r="D51" s="34"/>
      <c r="E51" s="35" t="str">
        <f>IFERROR(INDEX('CONSOLIDADO PRECIOS'!$A$5:$A$646,MATCH(LARGE('CONSOLIDADO PRECIOS'!$U$5:$U$646,2),'CONSOLIDADO PRECIOS'!$U$5:$U$646,0)),"")</f>
        <v>ABARROTE</v>
      </c>
      <c r="F51" s="35"/>
      <c r="G51" s="35"/>
      <c r="H51" s="36">
        <f>IFERROR(LARGE('CONSOLIDADO PRECIOS'!$U$5:$U$646,2),"")</f>
        <v>173730.7</v>
      </c>
      <c r="I51" s="36"/>
    </row>
    <row r="52" spans="2:9" ht="15" customHeight="1" x14ac:dyDescent="0.35">
      <c r="B52" s="37" t="str">
        <f>IFERROR(INDEX('CONSOLIDADO PRECIOS'!$B$5:$B$646,MATCH(LARGE('CONSOLIDADO PRECIOS'!$U$5:$U$646,3),'CONSOLIDADO PRECIOS'!$U$5:$U$646,0)),"")</f>
        <v>MARACUYA CRISPY</v>
      </c>
      <c r="C52" s="37"/>
      <c r="D52" s="37"/>
      <c r="E52" s="38" t="str">
        <f>IFERROR(INDEX('CONSOLIDADO PRECIOS'!$A$5:$A$646,MATCH(LARGE('CONSOLIDADO PRECIOS'!$U$5:$U$646,3),'CONSOLIDADO PRECIOS'!$U$5:$U$646,0)),"")</f>
        <v>ABARROTE</v>
      </c>
      <c r="F52" s="38"/>
      <c r="G52" s="38"/>
      <c r="H52" s="39">
        <f>IFERROR(LARGE('CONSOLIDADO PRECIOS'!$U$5:$U$646,3),"")</f>
        <v>170623.2</v>
      </c>
      <c r="I52" s="39"/>
    </row>
    <row r="53" spans="2:9" ht="15" customHeight="1" x14ac:dyDescent="0.35">
      <c r="B53" s="34" t="str">
        <f>IFERROR(INDEX('CONSOLIDADO PRECIOS'!$B$5:$B$646,MATCH(LARGE('CONSOLIDADO PRECIOS'!$U$5:$U$646,4),'CONSOLIDADO PRECIOS'!$U$5:$U$646,0)),"")</f>
        <v>POTATOWHIP</v>
      </c>
      <c r="C53" s="34"/>
      <c r="D53" s="34"/>
      <c r="E53" s="35" t="str">
        <f>IFERROR(INDEX('CONSOLIDADO PRECIOS'!$A$5:$A$646,MATCH(LARGE('CONSOLIDADO PRECIOS'!$U$5:$U$646,4),'CONSOLIDADO PRECIOS'!$U$5:$U$646,0)),"")</f>
        <v>ABARROTE</v>
      </c>
      <c r="F53" s="35"/>
      <c r="G53" s="35"/>
      <c r="H53" s="36">
        <f>IFERROR(LARGE('CONSOLIDADO PRECIOS'!$U$5:$U$646,4),"")</f>
        <v>157881.16666666669</v>
      </c>
      <c r="I53" s="36"/>
    </row>
    <row r="54" spans="2:9" ht="15" customHeight="1" x14ac:dyDescent="0.35">
      <c r="B54" s="37" t="str">
        <f>IFERROR(INDEX('CONSOLIDADO PRECIOS'!$B$5:$B$646,MATCH(LARGE('CONSOLIDADO PRECIOS'!$U$5:$U$646,5),'CONSOLIDADO PRECIOS'!$U$5:$U$646,0)),"")</f>
        <v>ESENCIA DE FRAMBUESA</v>
      </c>
      <c r="C54" s="37"/>
      <c r="D54" s="37"/>
      <c r="E54" s="38" t="str">
        <f>IFERROR(INDEX('CONSOLIDADO PRECIOS'!$A$5:$A$646,MATCH(LARGE('CONSOLIDADO PRECIOS'!$U$5:$U$646,5),'CONSOLIDADO PRECIOS'!$U$5:$U$646,0)),"")</f>
        <v>ABARROTE</v>
      </c>
      <c r="F54" s="38"/>
      <c r="G54" s="38"/>
      <c r="H54" s="39">
        <f>IFERROR(LARGE('CONSOLIDADO PRECIOS'!$U$5:$U$646,5),"")</f>
        <v>130162.26666666668</v>
      </c>
      <c r="I54" s="39"/>
    </row>
    <row r="55" spans="2:9" ht="15" customHeight="1" x14ac:dyDescent="0.35">
      <c r="B55" s="34" t="str">
        <f>IFERROR(INDEX('CONSOLIDADO PRECIOS'!$B$5:$B$646,MATCH(LARGE('CONSOLIDADO PRECIOS'!$U$5:$U$646,6),'CONSOLIDADO PRECIOS'!$U$5:$U$646,0)),"")</f>
        <v>ESENCIA DE PIÑA</v>
      </c>
      <c r="C55" s="34"/>
      <c r="D55" s="34"/>
      <c r="E55" s="35" t="str">
        <f>IFERROR(INDEX('CONSOLIDADO PRECIOS'!$A$5:$A$646,MATCH(LARGE('CONSOLIDADO PRECIOS'!$U$5:$U$646,6),'CONSOLIDADO PRECIOS'!$U$5:$U$646,0)),"")</f>
        <v>ABARROTE</v>
      </c>
      <c r="F55" s="35"/>
      <c r="G55" s="35"/>
      <c r="H55" s="36">
        <f>IFERROR(LARGE('CONSOLIDADO PRECIOS'!$U$5:$U$646,6),"")</f>
        <v>128711.00000000001</v>
      </c>
      <c r="I55" s="36"/>
    </row>
    <row r="56" spans="2:9" ht="15" customHeight="1" x14ac:dyDescent="0.35">
      <c r="B56" s="37" t="str">
        <f>IFERROR(INDEX('CONSOLIDADO PRECIOS'!$B$5:$B$646,MATCH(LARGE('CONSOLIDADO PRECIOS'!$U$5:$U$646,7),'CONSOLIDADO PRECIOS'!$U$5:$U$646,0)),"")</f>
        <v>ALGINATO DE SODIO</v>
      </c>
      <c r="C56" s="37"/>
      <c r="D56" s="37"/>
      <c r="E56" s="38" t="str">
        <f>IFERROR(INDEX('CONSOLIDADO PRECIOS'!$A$5:$A$646,MATCH(LARGE('CONSOLIDADO PRECIOS'!$U$5:$U$646,7),'CONSOLIDADO PRECIOS'!$U$5:$U$646,0)),"")</f>
        <v>ABARROTE</v>
      </c>
      <c r="F56" s="38"/>
      <c r="G56" s="38"/>
      <c r="H56" s="39">
        <f>IFERROR(LARGE('CONSOLIDADO PRECIOS'!$U$5:$U$646,7),"")</f>
        <v>114726.70000000001</v>
      </c>
      <c r="I56" s="39"/>
    </row>
    <row r="57" spans="2:9" ht="15" customHeight="1" x14ac:dyDescent="0.35">
      <c r="B57" s="34" t="str">
        <f>IFERROR(INDEX('CONSOLIDADO PRECIOS'!$B$5:$B$646,MATCH(LARGE('CONSOLIDADO PRECIOS'!$U$5:$U$646,8),'CONSOLIDADO PRECIOS'!$U$5:$U$646,0)),"")</f>
        <v>GOMA KAPPA</v>
      </c>
      <c r="C57" s="34"/>
      <c r="D57" s="34"/>
      <c r="E57" s="35" t="str">
        <f>IFERROR(INDEX('CONSOLIDADO PRECIOS'!$A$5:$A$646,MATCH(LARGE('CONSOLIDADO PRECIOS'!$U$5:$U$646,8),'CONSOLIDADO PRECIOS'!$U$5:$U$646,0)),"")</f>
        <v>ABARROTE</v>
      </c>
      <c r="F57" s="35"/>
      <c r="G57" s="35"/>
      <c r="H57" s="36">
        <f>IFERROR(LARGE('CONSOLIDADO PRECIOS'!$U$5:$U$646,8),"")</f>
        <v>95434.53333333334</v>
      </c>
      <c r="I57" s="36"/>
    </row>
    <row r="58" spans="2:9" ht="15" customHeight="1" x14ac:dyDescent="0.35">
      <c r="B58" s="37" t="str">
        <f>IFERROR(INDEX('CONSOLIDADO PRECIOS'!$B$5:$B$646,MATCH(LARGE('CONSOLIDADO PRECIOS'!$U$5:$U$646,9),'CONSOLIDADO PRECIOS'!$U$5:$U$646,0)),"")</f>
        <v>PEPERONCCINO O CHILE EN HOJUELAS</v>
      </c>
      <c r="C58" s="37"/>
      <c r="D58" s="37"/>
      <c r="E58" s="38" t="str">
        <f>IFERROR(INDEX('CONSOLIDADO PRECIOS'!$A$5:$A$646,MATCH(LARGE('CONSOLIDADO PRECIOS'!$U$5:$U$646,9),'CONSOLIDADO PRECIOS'!$U$5:$U$646,0)),"")</f>
        <v>ABARROTE</v>
      </c>
      <c r="F58" s="38"/>
      <c r="G58" s="38"/>
      <c r="H58" s="39">
        <f>IFERROR(LARGE('CONSOLIDADO PRECIOS'!$U$5:$U$646,9),"")</f>
        <v>94822.933333333349</v>
      </c>
      <c r="I58" s="39"/>
    </row>
    <row r="59" spans="2:9" ht="15" customHeight="1" x14ac:dyDescent="0.35">
      <c r="B59" s="34" t="str">
        <f>IFERROR(INDEX('CONSOLIDADO PRECIOS'!$B$5:$B$646,MATCH(LARGE('CONSOLIDADO PRECIOS'!$U$5:$U$646,10),'CONSOLIDADO PRECIOS'!$U$5:$U$646,0)),"")</f>
        <v>TE MATCHA</v>
      </c>
      <c r="C59" s="34"/>
      <c r="D59" s="34"/>
      <c r="E59" s="35" t="str">
        <f>IFERROR(INDEX('CONSOLIDADO PRECIOS'!$A$5:$A$646,MATCH(LARGE('CONSOLIDADO PRECIOS'!$U$5:$U$646,10),'CONSOLIDADO PRECIOS'!$U$5:$U$646,0)),"")</f>
        <v>TE</v>
      </c>
      <c r="F59" s="35"/>
      <c r="G59" s="35"/>
      <c r="H59" s="36">
        <f>IFERROR(LARGE('CONSOLIDADO PRECIOS'!$U$5:$U$646,10),"")</f>
        <v>92763.733333333352</v>
      </c>
      <c r="I59" s="36"/>
    </row>
  </sheetData>
  <mergeCells count="192">
    <mergeCell ref="A1:J1"/>
    <mergeCell ref="A2:J2"/>
    <mergeCell ref="A3:J3"/>
    <mergeCell ref="B5:C5"/>
    <mergeCell ref="D5:E5"/>
    <mergeCell ref="F5:G5"/>
    <mergeCell ref="H5:I5"/>
    <mergeCell ref="B6:C6"/>
    <mergeCell ref="D6:E6"/>
    <mergeCell ref="F6:G6"/>
    <mergeCell ref="H6:I6"/>
    <mergeCell ref="B8:C8"/>
    <mergeCell ref="E8:I8"/>
    <mergeCell ref="B10:I10"/>
    <mergeCell ref="B11:C11"/>
    <mergeCell ref="D11:E11"/>
    <mergeCell ref="F11:G11"/>
    <mergeCell ref="H11:I11"/>
    <mergeCell ref="B12:C12"/>
    <mergeCell ref="D12:E12"/>
    <mergeCell ref="F12:G12"/>
    <mergeCell ref="H12:I12"/>
    <mergeCell ref="B13:C13"/>
    <mergeCell ref="D13:E13"/>
    <mergeCell ref="F13:G13"/>
    <mergeCell ref="H13:I13"/>
    <mergeCell ref="B14:C14"/>
    <mergeCell ref="D14:E14"/>
    <mergeCell ref="F14:G14"/>
    <mergeCell ref="H14:I14"/>
    <mergeCell ref="B15:C15"/>
    <mergeCell ref="D15:E15"/>
    <mergeCell ref="F15:G15"/>
    <mergeCell ref="H15:I15"/>
    <mergeCell ref="B16:C16"/>
    <mergeCell ref="D16:E16"/>
    <mergeCell ref="F16:G16"/>
    <mergeCell ref="H16:I16"/>
    <mergeCell ref="B17:C17"/>
    <mergeCell ref="D17:E17"/>
    <mergeCell ref="F17:G17"/>
    <mergeCell ref="H17:I17"/>
    <mergeCell ref="B18:C18"/>
    <mergeCell ref="D18:E18"/>
    <mergeCell ref="F18:G18"/>
    <mergeCell ref="H18:I18"/>
    <mergeCell ref="B19:C19"/>
    <mergeCell ref="D19:E19"/>
    <mergeCell ref="F19:G19"/>
    <mergeCell ref="H19:I19"/>
    <mergeCell ref="B20:C20"/>
    <mergeCell ref="D20:E20"/>
    <mergeCell ref="F20:G20"/>
    <mergeCell ref="H20:I20"/>
    <mergeCell ref="B21:C21"/>
    <mergeCell ref="D21:E21"/>
    <mergeCell ref="F21:G21"/>
    <mergeCell ref="H21:I21"/>
    <mergeCell ref="B22:C22"/>
    <mergeCell ref="D22:E22"/>
    <mergeCell ref="F22:G22"/>
    <mergeCell ref="H22:I22"/>
    <mergeCell ref="B23:C23"/>
    <mergeCell ref="D23:E23"/>
    <mergeCell ref="F23:G23"/>
    <mergeCell ref="H23:I23"/>
    <mergeCell ref="B24:C24"/>
    <mergeCell ref="D24:E24"/>
    <mergeCell ref="F24:G24"/>
    <mergeCell ref="H24:I24"/>
    <mergeCell ref="B25:C25"/>
    <mergeCell ref="D25:E25"/>
    <mergeCell ref="F25:G25"/>
    <mergeCell ref="H25:I25"/>
    <mergeCell ref="B26:C26"/>
    <mergeCell ref="D26:E26"/>
    <mergeCell ref="F26:G26"/>
    <mergeCell ref="H26:I26"/>
    <mergeCell ref="B27:C27"/>
    <mergeCell ref="D27:E27"/>
    <mergeCell ref="F27:G27"/>
    <mergeCell ref="H27:I27"/>
    <mergeCell ref="B28:C28"/>
    <mergeCell ref="D28:E28"/>
    <mergeCell ref="F28:G28"/>
    <mergeCell ref="H28:I28"/>
    <mergeCell ref="B29:C29"/>
    <mergeCell ref="D29:E29"/>
    <mergeCell ref="F29:G29"/>
    <mergeCell ref="H29:I29"/>
    <mergeCell ref="B30:C30"/>
    <mergeCell ref="D30:E30"/>
    <mergeCell ref="F30:G30"/>
    <mergeCell ref="H30:I30"/>
    <mergeCell ref="B31:C31"/>
    <mergeCell ref="D31:E31"/>
    <mergeCell ref="F31:G31"/>
    <mergeCell ref="H31:I31"/>
    <mergeCell ref="B32:C32"/>
    <mergeCell ref="D32:E32"/>
    <mergeCell ref="F32:G32"/>
    <mergeCell ref="H32:I32"/>
    <mergeCell ref="B33:C33"/>
    <mergeCell ref="D33:E33"/>
    <mergeCell ref="F33:G33"/>
    <mergeCell ref="H33:I33"/>
    <mergeCell ref="B34:C34"/>
    <mergeCell ref="D34:E34"/>
    <mergeCell ref="F34:G34"/>
    <mergeCell ref="H34:I34"/>
    <mergeCell ref="B35:C35"/>
    <mergeCell ref="D35:E35"/>
    <mergeCell ref="F35:G35"/>
    <mergeCell ref="H35:I35"/>
    <mergeCell ref="B36:C36"/>
    <mergeCell ref="D36:E36"/>
    <mergeCell ref="F36:G36"/>
    <mergeCell ref="H36:I36"/>
    <mergeCell ref="B37:C37"/>
    <mergeCell ref="D37:E37"/>
    <mergeCell ref="F37:G37"/>
    <mergeCell ref="H37:I37"/>
    <mergeCell ref="B38:C38"/>
    <mergeCell ref="D38:E38"/>
    <mergeCell ref="F38:G38"/>
    <mergeCell ref="H38:I38"/>
    <mergeCell ref="B39:C39"/>
    <mergeCell ref="D39:E39"/>
    <mergeCell ref="F39:G39"/>
    <mergeCell ref="H39:I39"/>
    <mergeCell ref="B40:C40"/>
    <mergeCell ref="D40:E40"/>
    <mergeCell ref="F40:G40"/>
    <mergeCell ref="H40:I40"/>
    <mergeCell ref="B41:C41"/>
    <mergeCell ref="D41:E41"/>
    <mergeCell ref="F41:G41"/>
    <mergeCell ref="H41:I41"/>
    <mergeCell ref="B42:C42"/>
    <mergeCell ref="D42:E42"/>
    <mergeCell ref="F42:G42"/>
    <mergeCell ref="H42:I42"/>
    <mergeCell ref="B43:C43"/>
    <mergeCell ref="D43:E43"/>
    <mergeCell ref="F43:G43"/>
    <mergeCell ref="H43:I43"/>
    <mergeCell ref="B44:C44"/>
    <mergeCell ref="D44:E44"/>
    <mergeCell ref="F44:G44"/>
    <mergeCell ref="H44:I44"/>
    <mergeCell ref="B45:C45"/>
    <mergeCell ref="D45:E45"/>
    <mergeCell ref="F45:G45"/>
    <mergeCell ref="H45:I45"/>
    <mergeCell ref="B46:C46"/>
    <mergeCell ref="D46:E46"/>
    <mergeCell ref="F46:G46"/>
    <mergeCell ref="H46:I46"/>
    <mergeCell ref="B48:I48"/>
    <mergeCell ref="B49:D49"/>
    <mergeCell ref="E49:G49"/>
    <mergeCell ref="H49:I49"/>
    <mergeCell ref="B50:D50"/>
    <mergeCell ref="E50:G50"/>
    <mergeCell ref="H50:I50"/>
    <mergeCell ref="B51:D51"/>
    <mergeCell ref="E51:G51"/>
    <mergeCell ref="H51:I51"/>
    <mergeCell ref="B52:D52"/>
    <mergeCell ref="E52:G52"/>
    <mergeCell ref="H52:I52"/>
    <mergeCell ref="B53:D53"/>
    <mergeCell ref="E53:G53"/>
    <mergeCell ref="H53:I53"/>
    <mergeCell ref="B54:D54"/>
    <mergeCell ref="E54:G54"/>
    <mergeCell ref="H54:I54"/>
    <mergeCell ref="B55:D55"/>
    <mergeCell ref="E55:G55"/>
    <mergeCell ref="H55:I55"/>
    <mergeCell ref="B56:D56"/>
    <mergeCell ref="E56:G56"/>
    <mergeCell ref="H56:I56"/>
    <mergeCell ref="B57:D57"/>
    <mergeCell ref="E57:G57"/>
    <mergeCell ref="H57:I57"/>
    <mergeCell ref="B58:D58"/>
    <mergeCell ref="E58:G58"/>
    <mergeCell ref="H58:I58"/>
    <mergeCell ref="B59:D59"/>
    <mergeCell ref="E59:G59"/>
    <mergeCell ref="H59:I59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2"/>
  <sheetViews>
    <sheetView showGridLines="0" zoomScaleNormal="100" workbookViewId="0">
      <pane ySplit="2" topLeftCell="A3" activePane="bottomLeft" state="frozen"/>
      <selection pane="bottomLeft" activeCell="C12" sqref="C12"/>
    </sheetView>
  </sheetViews>
  <sheetFormatPr baseColWidth="10" defaultColWidth="8.6328125" defaultRowHeight="14.5" x14ac:dyDescent="0.35"/>
  <cols>
    <col min="1" max="1" width="36" style="62" customWidth="1"/>
    <col min="2" max="3" width="22" style="62" customWidth="1"/>
    <col min="4" max="4" width="44" style="62" customWidth="1"/>
    <col min="5" max="5" width="22" style="62" customWidth="1"/>
    <col min="6" max="6" width="12" style="62" customWidth="1"/>
    <col min="7" max="7" width="32" style="62" customWidth="1"/>
    <col min="8" max="16384" width="8.6328125" style="62"/>
  </cols>
  <sheetData>
    <row r="1" spans="1:7" ht="25.5" customHeight="1" x14ac:dyDescent="0.35">
      <c r="A1" s="58" t="s">
        <v>852</v>
      </c>
      <c r="B1" s="58"/>
      <c r="C1" s="58"/>
      <c r="D1" s="58"/>
      <c r="E1" s="58"/>
      <c r="F1" s="58"/>
      <c r="G1" s="58"/>
    </row>
    <row r="2" spans="1:7" ht="18" customHeight="1" x14ac:dyDescent="0.35">
      <c r="A2" s="2" t="s">
        <v>14</v>
      </c>
      <c r="B2" s="2" t="s">
        <v>15</v>
      </c>
      <c r="C2" s="2" t="s">
        <v>16</v>
      </c>
      <c r="D2" s="2" t="s">
        <v>200</v>
      </c>
      <c r="E2" s="2" t="s">
        <v>851</v>
      </c>
      <c r="F2" s="2" t="s">
        <v>18</v>
      </c>
      <c r="G2" s="2" t="s">
        <v>19</v>
      </c>
    </row>
    <row r="3" spans="1:7" ht="15" customHeight="1" x14ac:dyDescent="0.35">
      <c r="A3" s="3" t="s">
        <v>20</v>
      </c>
      <c r="B3" s="3" t="s">
        <v>21</v>
      </c>
      <c r="C3" s="3" t="s">
        <v>22</v>
      </c>
      <c r="D3" s="3" t="s">
        <v>23</v>
      </c>
      <c r="E3" s="3" t="s">
        <v>24</v>
      </c>
      <c r="F3" s="3" t="s">
        <v>25</v>
      </c>
      <c r="G3" s="3"/>
    </row>
    <row r="4" spans="1:7" ht="15" customHeight="1" x14ac:dyDescent="0.35">
      <c r="A4" s="4" t="s">
        <v>26</v>
      </c>
      <c r="B4" s="4" t="s">
        <v>27</v>
      </c>
      <c r="C4" s="4" t="s">
        <v>28</v>
      </c>
      <c r="D4" s="4" t="s">
        <v>29</v>
      </c>
      <c r="E4" s="4"/>
      <c r="F4" s="4" t="s">
        <v>25</v>
      </c>
      <c r="G4" s="4"/>
    </row>
    <row r="5" spans="1:7" ht="15" customHeight="1" x14ac:dyDescent="0.35">
      <c r="A5" s="3" t="s">
        <v>30</v>
      </c>
      <c r="B5" s="3" t="s">
        <v>31</v>
      </c>
      <c r="C5" s="3" t="s">
        <v>32</v>
      </c>
      <c r="D5" s="3" t="s">
        <v>33</v>
      </c>
      <c r="E5" s="3" t="s">
        <v>34</v>
      </c>
      <c r="F5" s="3" t="s">
        <v>25</v>
      </c>
      <c r="G5" s="3"/>
    </row>
    <row r="6" spans="1:7" ht="15" customHeight="1" x14ac:dyDescent="0.35">
      <c r="A6" s="4" t="s">
        <v>35</v>
      </c>
      <c r="B6" s="4" t="s">
        <v>36</v>
      </c>
      <c r="C6" s="4" t="s">
        <v>37</v>
      </c>
      <c r="D6" s="4" t="s">
        <v>38</v>
      </c>
      <c r="E6" s="4" t="s">
        <v>39</v>
      </c>
      <c r="F6" s="4" t="s">
        <v>25</v>
      </c>
      <c r="G6" s="4" t="s">
        <v>40</v>
      </c>
    </row>
    <row r="7" spans="1:7" ht="15" customHeight="1" x14ac:dyDescent="0.35">
      <c r="A7" s="3" t="s">
        <v>41</v>
      </c>
      <c r="B7" s="3" t="s">
        <v>42</v>
      </c>
      <c r="C7" s="3" t="s">
        <v>43</v>
      </c>
      <c r="D7" s="3" t="s">
        <v>44</v>
      </c>
      <c r="E7" s="3" t="s">
        <v>45</v>
      </c>
      <c r="F7" s="3" t="s">
        <v>25</v>
      </c>
      <c r="G7" s="3"/>
    </row>
    <row r="8" spans="1:7" ht="15" customHeight="1" x14ac:dyDescent="0.35">
      <c r="A8" s="4" t="s">
        <v>46</v>
      </c>
      <c r="B8" s="4" t="s">
        <v>47</v>
      </c>
      <c r="C8" s="4" t="s">
        <v>48</v>
      </c>
      <c r="D8" s="4" t="s">
        <v>49</v>
      </c>
      <c r="E8" s="4" t="s">
        <v>50</v>
      </c>
      <c r="F8" s="4" t="s">
        <v>25</v>
      </c>
      <c r="G8" s="4"/>
    </row>
    <row r="9" spans="1:7" ht="15" customHeight="1" x14ac:dyDescent="0.35">
      <c r="A9" s="3" t="s">
        <v>51</v>
      </c>
      <c r="B9" s="3" t="s">
        <v>52</v>
      </c>
      <c r="C9" s="3" t="s">
        <v>53</v>
      </c>
      <c r="D9" s="3" t="s">
        <v>54</v>
      </c>
      <c r="E9" s="3" t="s">
        <v>55</v>
      </c>
      <c r="F9" s="3" t="s">
        <v>25</v>
      </c>
      <c r="G9" s="3"/>
    </row>
    <row r="10" spans="1:7" ht="15" customHeight="1" x14ac:dyDescent="0.35">
      <c r="A10" s="4" t="s">
        <v>56</v>
      </c>
      <c r="B10" s="4" t="s">
        <v>57</v>
      </c>
      <c r="C10" s="4" t="s">
        <v>58</v>
      </c>
      <c r="D10" s="4" t="s">
        <v>59</v>
      </c>
      <c r="E10" s="4" t="s">
        <v>60</v>
      </c>
      <c r="F10" s="4" t="s">
        <v>25</v>
      </c>
      <c r="G10" s="4"/>
    </row>
    <row r="11" spans="1:7" ht="15" customHeight="1" x14ac:dyDescent="0.35">
      <c r="A11" s="3" t="s">
        <v>61</v>
      </c>
      <c r="B11" s="3" t="s">
        <v>62</v>
      </c>
      <c r="C11" s="3" t="s">
        <v>63</v>
      </c>
      <c r="D11" s="3" t="s">
        <v>64</v>
      </c>
      <c r="E11" s="3" t="s">
        <v>65</v>
      </c>
      <c r="F11" s="3" t="s">
        <v>25</v>
      </c>
      <c r="G11" s="3"/>
    </row>
    <row r="12" spans="1:7" ht="15" customHeight="1" x14ac:dyDescent="0.35">
      <c r="A12" s="4" t="s">
        <v>66</v>
      </c>
      <c r="B12" s="4" t="s">
        <v>27</v>
      </c>
      <c r="C12" s="4" t="s">
        <v>67</v>
      </c>
      <c r="D12" s="4" t="s">
        <v>68</v>
      </c>
      <c r="E12" s="4" t="s">
        <v>69</v>
      </c>
      <c r="F12" s="4" t="s">
        <v>25</v>
      </c>
      <c r="G12" s="4"/>
    </row>
    <row r="13" spans="1:7" ht="15" customHeight="1" x14ac:dyDescent="0.35">
      <c r="A13" s="3" t="s">
        <v>70</v>
      </c>
      <c r="B13" s="3" t="s">
        <v>71</v>
      </c>
      <c r="C13" s="3" t="s">
        <v>72</v>
      </c>
      <c r="D13" s="3" t="s">
        <v>73</v>
      </c>
      <c r="E13" s="3"/>
      <c r="F13" s="3" t="s">
        <v>25</v>
      </c>
      <c r="G13" s="3"/>
    </row>
    <row r="14" spans="1:7" ht="15" customHeight="1" x14ac:dyDescent="0.35">
      <c r="A14" s="4" t="s">
        <v>74</v>
      </c>
      <c r="B14" s="4" t="s">
        <v>75</v>
      </c>
      <c r="C14" s="4" t="s">
        <v>76</v>
      </c>
      <c r="D14" s="4" t="s">
        <v>77</v>
      </c>
      <c r="E14" s="4" t="s">
        <v>78</v>
      </c>
      <c r="F14" s="4" t="s">
        <v>25</v>
      </c>
      <c r="G14" s="4"/>
    </row>
    <row r="15" spans="1:7" ht="15" customHeight="1" x14ac:dyDescent="0.35">
      <c r="A15" s="3" t="s">
        <v>79</v>
      </c>
      <c r="B15" s="3" t="s">
        <v>80</v>
      </c>
      <c r="C15" s="3" t="s">
        <v>81</v>
      </c>
      <c r="D15" s="3" t="s">
        <v>82</v>
      </c>
      <c r="E15" s="3" t="s">
        <v>83</v>
      </c>
      <c r="F15" s="3" t="s">
        <v>25</v>
      </c>
      <c r="G15" s="3"/>
    </row>
    <row r="16" spans="1:7" ht="15" customHeight="1" x14ac:dyDescent="0.35">
      <c r="A16" s="4" t="s">
        <v>84</v>
      </c>
      <c r="B16" s="4" t="s">
        <v>85</v>
      </c>
      <c r="C16" s="4" t="s">
        <v>86</v>
      </c>
      <c r="D16" s="4" t="s">
        <v>87</v>
      </c>
      <c r="E16" s="4"/>
      <c r="F16" s="4" t="s">
        <v>25</v>
      </c>
      <c r="G16" s="4"/>
    </row>
    <row r="17" spans="1:7" ht="15" customHeight="1" x14ac:dyDescent="0.35">
      <c r="A17" s="3" t="s">
        <v>88</v>
      </c>
      <c r="B17" s="3" t="s">
        <v>36</v>
      </c>
      <c r="C17" s="3" t="s">
        <v>89</v>
      </c>
      <c r="D17" s="3" t="s">
        <v>90</v>
      </c>
      <c r="E17" s="3" t="s">
        <v>91</v>
      </c>
      <c r="F17" s="3" t="s">
        <v>25</v>
      </c>
      <c r="G17" s="3"/>
    </row>
    <row r="18" spans="1:7" ht="15" customHeight="1" x14ac:dyDescent="0.35">
      <c r="A18" s="4" t="s">
        <v>92</v>
      </c>
      <c r="B18" s="4"/>
      <c r="C18" s="4"/>
      <c r="D18" s="4" t="s">
        <v>93</v>
      </c>
      <c r="E18" s="4"/>
      <c r="F18" s="4" t="s">
        <v>25</v>
      </c>
      <c r="G18" s="4"/>
    </row>
    <row r="19" spans="1:7" ht="15" customHeight="1" x14ac:dyDescent="0.35">
      <c r="A19" s="3" t="s">
        <v>94</v>
      </c>
      <c r="B19" s="3" t="s">
        <v>95</v>
      </c>
      <c r="C19" s="3" t="s">
        <v>96</v>
      </c>
      <c r="D19" s="3" t="s">
        <v>97</v>
      </c>
      <c r="E19" s="3"/>
      <c r="F19" s="3" t="s">
        <v>25</v>
      </c>
      <c r="G19" s="3"/>
    </row>
    <row r="20" spans="1:7" ht="15" customHeight="1" x14ac:dyDescent="0.35">
      <c r="A20" s="4" t="s">
        <v>98</v>
      </c>
      <c r="B20" s="4" t="s">
        <v>99</v>
      </c>
      <c r="C20" s="4" t="s">
        <v>100</v>
      </c>
      <c r="D20" s="4" t="s">
        <v>101</v>
      </c>
      <c r="E20" s="4"/>
      <c r="F20" s="4" t="s">
        <v>25</v>
      </c>
      <c r="G20" s="4"/>
    </row>
    <row r="21" spans="1:7" ht="15" customHeight="1" x14ac:dyDescent="0.35">
      <c r="A21" s="3" t="s">
        <v>102</v>
      </c>
      <c r="B21" s="3" t="s">
        <v>42</v>
      </c>
      <c r="C21" s="3" t="s">
        <v>103</v>
      </c>
      <c r="D21" s="3" t="s">
        <v>104</v>
      </c>
      <c r="E21" s="3"/>
      <c r="F21" s="3" t="s">
        <v>25</v>
      </c>
      <c r="G21" s="3"/>
    </row>
    <row r="22" spans="1:7" ht="15" customHeight="1" x14ac:dyDescent="0.35">
      <c r="A22" s="4" t="s">
        <v>105</v>
      </c>
      <c r="B22" s="4" t="s">
        <v>106</v>
      </c>
      <c r="C22" s="4" t="s">
        <v>107</v>
      </c>
      <c r="D22" s="4" t="s">
        <v>108</v>
      </c>
      <c r="E22" s="4" t="s">
        <v>109</v>
      </c>
      <c r="F22" s="4" t="s">
        <v>25</v>
      </c>
      <c r="G22" s="4" t="s">
        <v>110</v>
      </c>
    </row>
    <row r="23" spans="1:7" ht="15" customHeight="1" x14ac:dyDescent="0.35">
      <c r="A23" s="3" t="s">
        <v>111</v>
      </c>
      <c r="B23" s="3" t="s">
        <v>112</v>
      </c>
      <c r="C23" s="3" t="s">
        <v>113</v>
      </c>
      <c r="D23" s="3" t="s">
        <v>114</v>
      </c>
      <c r="E23" s="3" t="s">
        <v>115</v>
      </c>
      <c r="F23" s="3" t="s">
        <v>25</v>
      </c>
      <c r="G23" s="3"/>
    </row>
    <row r="24" spans="1:7" ht="15" customHeight="1" x14ac:dyDescent="0.35">
      <c r="A24" s="4" t="s">
        <v>116</v>
      </c>
      <c r="B24" s="4" t="s">
        <v>36</v>
      </c>
      <c r="C24" s="4" t="s">
        <v>117</v>
      </c>
      <c r="D24" s="4" t="s">
        <v>118</v>
      </c>
      <c r="E24" s="4" t="s">
        <v>119</v>
      </c>
      <c r="F24" s="4" t="s">
        <v>25</v>
      </c>
      <c r="G24" s="4"/>
    </row>
    <row r="25" spans="1:7" ht="15" customHeight="1" x14ac:dyDescent="0.35">
      <c r="A25" s="3" t="s">
        <v>120</v>
      </c>
      <c r="B25" s="3" t="s">
        <v>71</v>
      </c>
      <c r="C25" s="3" t="s">
        <v>121</v>
      </c>
      <c r="D25" s="3" t="s">
        <v>122</v>
      </c>
      <c r="E25" s="3" t="s">
        <v>123</v>
      </c>
      <c r="F25" s="3" t="s">
        <v>25</v>
      </c>
      <c r="G25" s="3"/>
    </row>
    <row r="26" spans="1:7" ht="15" customHeight="1" x14ac:dyDescent="0.35">
      <c r="A26" s="4" t="s">
        <v>124</v>
      </c>
      <c r="B26" s="4" t="s">
        <v>125</v>
      </c>
      <c r="C26" s="4" t="s">
        <v>126</v>
      </c>
      <c r="D26" s="4" t="s">
        <v>127</v>
      </c>
      <c r="E26" s="4" t="s">
        <v>128</v>
      </c>
      <c r="F26" s="4" t="s">
        <v>25</v>
      </c>
      <c r="G26" s="4"/>
    </row>
    <row r="27" spans="1:7" ht="15" customHeight="1" x14ac:dyDescent="0.35">
      <c r="A27" s="3" t="s">
        <v>129</v>
      </c>
      <c r="B27" s="3" t="s">
        <v>71</v>
      </c>
      <c r="C27" s="3" t="s">
        <v>130</v>
      </c>
      <c r="D27" s="3" t="s">
        <v>131</v>
      </c>
      <c r="E27" s="3" t="s">
        <v>132</v>
      </c>
      <c r="F27" s="3" t="s">
        <v>25</v>
      </c>
      <c r="G27" s="3"/>
    </row>
    <row r="28" spans="1:7" ht="15" customHeight="1" x14ac:dyDescent="0.35">
      <c r="A28" s="4" t="s">
        <v>133</v>
      </c>
      <c r="B28" s="4" t="s">
        <v>134</v>
      </c>
      <c r="C28" s="4" t="s">
        <v>135</v>
      </c>
      <c r="D28" s="4" t="s">
        <v>136</v>
      </c>
      <c r="E28" s="4" t="s">
        <v>137</v>
      </c>
      <c r="F28" s="4" t="s">
        <v>138</v>
      </c>
      <c r="G28" s="4"/>
    </row>
    <row r="29" spans="1:7" ht="15" customHeight="1" x14ac:dyDescent="0.35">
      <c r="A29" s="3" t="s">
        <v>139</v>
      </c>
      <c r="B29" s="3" t="s">
        <v>36</v>
      </c>
      <c r="C29" s="3" t="s">
        <v>140</v>
      </c>
      <c r="D29" s="3" t="s">
        <v>141</v>
      </c>
      <c r="E29" s="3" t="s">
        <v>142</v>
      </c>
      <c r="F29" s="3" t="s">
        <v>25</v>
      </c>
      <c r="G29" s="3"/>
    </row>
    <row r="30" spans="1:7" ht="15" customHeight="1" x14ac:dyDescent="0.35">
      <c r="A30" s="4" t="s">
        <v>143</v>
      </c>
      <c r="B30" s="4" t="s">
        <v>144</v>
      </c>
      <c r="C30" s="4" t="s">
        <v>145</v>
      </c>
      <c r="D30" s="4" t="s">
        <v>146</v>
      </c>
      <c r="E30" s="4"/>
      <c r="F30" s="4" t="s">
        <v>25</v>
      </c>
      <c r="G30" s="4"/>
    </row>
    <row r="31" spans="1:7" ht="15" customHeight="1" x14ac:dyDescent="0.35">
      <c r="A31" s="3" t="s">
        <v>147</v>
      </c>
      <c r="B31" s="3" t="s">
        <v>36</v>
      </c>
      <c r="C31" s="3" t="s">
        <v>140</v>
      </c>
      <c r="D31" s="3" t="s">
        <v>148</v>
      </c>
      <c r="E31" s="3" t="s">
        <v>142</v>
      </c>
      <c r="F31" s="3" t="s">
        <v>25</v>
      </c>
      <c r="G31" s="3"/>
    </row>
    <row r="32" spans="1:7" ht="15" customHeight="1" x14ac:dyDescent="0.35">
      <c r="A32" s="4" t="s">
        <v>149</v>
      </c>
      <c r="B32" s="4" t="s">
        <v>150</v>
      </c>
      <c r="C32" s="4" t="s">
        <v>151</v>
      </c>
      <c r="D32" s="4" t="s">
        <v>152</v>
      </c>
      <c r="E32" s="4" t="s">
        <v>153</v>
      </c>
      <c r="F32" s="4" t="s">
        <v>25</v>
      </c>
      <c r="G32" s="4"/>
    </row>
    <row r="33" spans="1:7" ht="15" customHeight="1" x14ac:dyDescent="0.35">
      <c r="A33" s="3" t="s">
        <v>154</v>
      </c>
      <c r="B33" s="3" t="s">
        <v>125</v>
      </c>
      <c r="C33" s="3" t="s">
        <v>155</v>
      </c>
      <c r="D33" s="3" t="s">
        <v>156</v>
      </c>
      <c r="E33" s="3"/>
      <c r="F33" s="3" t="s">
        <v>25</v>
      </c>
      <c r="G33" s="3"/>
    </row>
    <row r="34" spans="1:7" ht="15" customHeight="1" x14ac:dyDescent="0.35">
      <c r="A34" s="4" t="s">
        <v>157</v>
      </c>
      <c r="B34" s="4" t="s">
        <v>158</v>
      </c>
      <c r="C34" s="4"/>
      <c r="D34" s="4" t="s">
        <v>159</v>
      </c>
      <c r="E34" s="4"/>
      <c r="F34" s="4" t="s">
        <v>25</v>
      </c>
      <c r="G34" s="4"/>
    </row>
    <row r="35" spans="1:7" ht="15" customHeight="1" x14ac:dyDescent="0.35">
      <c r="A35" s="3" t="s">
        <v>160</v>
      </c>
      <c r="B35" s="3" t="s">
        <v>27</v>
      </c>
      <c r="C35" s="3" t="s">
        <v>161</v>
      </c>
      <c r="D35" s="3" t="s">
        <v>162</v>
      </c>
      <c r="E35" s="3" t="s">
        <v>163</v>
      </c>
      <c r="F35" s="3" t="s">
        <v>25</v>
      </c>
      <c r="G35" s="3"/>
    </row>
    <row r="36" spans="1:7" ht="15" customHeight="1" x14ac:dyDescent="0.35">
      <c r="A36" s="4" t="s">
        <v>164</v>
      </c>
      <c r="B36" s="4" t="s">
        <v>165</v>
      </c>
      <c r="C36" s="4" t="s">
        <v>166</v>
      </c>
      <c r="D36" s="4" t="s">
        <v>167</v>
      </c>
      <c r="E36" s="4" t="s">
        <v>168</v>
      </c>
      <c r="F36" s="4" t="s">
        <v>25</v>
      </c>
      <c r="G36" s="4"/>
    </row>
    <row r="37" spans="1:7" ht="15" customHeight="1" x14ac:dyDescent="0.35">
      <c r="A37" s="3" t="s">
        <v>169</v>
      </c>
      <c r="B37" s="3" t="s">
        <v>170</v>
      </c>
      <c r="C37" s="3" t="s">
        <v>171</v>
      </c>
      <c r="D37" s="3" t="s">
        <v>172</v>
      </c>
      <c r="E37" s="3" t="s">
        <v>173</v>
      </c>
      <c r="F37" s="3" t="s">
        <v>174</v>
      </c>
      <c r="G37" s="3"/>
    </row>
    <row r="38" spans="1:7" ht="15" customHeight="1" x14ac:dyDescent="0.35">
      <c r="A38" s="4" t="s">
        <v>175</v>
      </c>
      <c r="B38" s="4" t="s">
        <v>176</v>
      </c>
      <c r="C38" s="4" t="s">
        <v>177</v>
      </c>
      <c r="D38" s="4" t="s">
        <v>178</v>
      </c>
      <c r="E38" s="4" t="s">
        <v>179</v>
      </c>
      <c r="F38" s="4" t="s">
        <v>174</v>
      </c>
      <c r="G38" s="4"/>
    </row>
    <row r="39" spans="1:7" ht="15" customHeight="1" x14ac:dyDescent="0.35">
      <c r="A39" s="3" t="s">
        <v>180</v>
      </c>
      <c r="B39" s="3" t="s">
        <v>181</v>
      </c>
      <c r="C39" s="3" t="s">
        <v>182</v>
      </c>
      <c r="D39" s="3" t="s">
        <v>183</v>
      </c>
      <c r="E39" s="3" t="s">
        <v>184</v>
      </c>
      <c r="F39" s="3" t="s">
        <v>174</v>
      </c>
      <c r="G39" s="3"/>
    </row>
    <row r="40" spans="1:7" ht="15" customHeight="1" x14ac:dyDescent="0.35">
      <c r="A40" s="4" t="s">
        <v>185</v>
      </c>
      <c r="B40" s="4" t="s">
        <v>112</v>
      </c>
      <c r="C40" s="4" t="s">
        <v>186</v>
      </c>
      <c r="D40" s="4" t="s">
        <v>187</v>
      </c>
      <c r="E40" s="4" t="s">
        <v>188</v>
      </c>
      <c r="F40" s="4" t="s">
        <v>174</v>
      </c>
      <c r="G40" s="4"/>
    </row>
    <row r="41" spans="1:7" ht="15" customHeight="1" x14ac:dyDescent="0.35">
      <c r="A41" s="3" t="s">
        <v>189</v>
      </c>
      <c r="B41" s="3" t="s">
        <v>190</v>
      </c>
      <c r="C41" s="3" t="s">
        <v>191</v>
      </c>
      <c r="D41" s="3" t="s">
        <v>192</v>
      </c>
      <c r="E41" s="3" t="s">
        <v>193</v>
      </c>
      <c r="F41" s="3"/>
      <c r="G41" s="3"/>
    </row>
    <row r="42" spans="1:7" ht="15" customHeight="1" x14ac:dyDescent="0.35">
      <c r="A42" s="4" t="s">
        <v>194</v>
      </c>
      <c r="B42" s="4" t="s">
        <v>195</v>
      </c>
      <c r="C42" s="4"/>
      <c r="D42" s="4" t="s">
        <v>196</v>
      </c>
      <c r="E42" s="4"/>
      <c r="F42" s="4"/>
      <c r="G42" s="4"/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8A951"/>
  </sheetPr>
  <dimension ref="A1:U646"/>
  <sheetViews>
    <sheetView showGridLines="0" zoomScaleNormal="100" workbookViewId="0">
      <pane ySplit="4" topLeftCell="A5" activePane="bottomLeft" state="frozen"/>
      <selection pane="bottomLeft" sqref="A1:U1"/>
    </sheetView>
  </sheetViews>
  <sheetFormatPr baseColWidth="10" defaultColWidth="8.6328125" defaultRowHeight="14.5" x14ac:dyDescent="0.35"/>
  <cols>
    <col min="1" max="1" width="14" style="62" customWidth="1"/>
    <col min="2" max="2" width="32" style="62" customWidth="1"/>
    <col min="3" max="3" width="5" style="62" customWidth="1"/>
    <col min="4" max="4" width="10" style="62" customWidth="1"/>
    <col min="5" max="5" width="26" style="62" customWidth="1"/>
    <col min="6" max="6" width="14" style="62" customWidth="1"/>
    <col min="7" max="7" width="30" style="62" customWidth="1"/>
    <col min="8" max="8" width="18" style="62" customWidth="1"/>
    <col min="9" max="9" width="12" style="62" customWidth="1"/>
    <col min="10" max="10" width="26" style="62" customWidth="1"/>
    <col min="11" max="11" width="14" style="62" customWidth="1"/>
    <col min="12" max="12" width="30" style="62" customWidth="1"/>
    <col min="13" max="13" width="18" style="62" customWidth="1"/>
    <col min="14" max="14" width="12" style="62" customWidth="1"/>
    <col min="15" max="15" width="26" style="62" customWidth="1"/>
    <col min="16" max="16" width="14" style="62" customWidth="1"/>
    <col min="17" max="17" width="30" style="62" customWidth="1"/>
    <col min="18" max="18" width="18" style="62" customWidth="1"/>
    <col min="19" max="20" width="12" style="62" customWidth="1"/>
    <col min="21" max="21" width="14" style="62" customWidth="1"/>
    <col min="22" max="16384" width="8.6328125" style="62"/>
  </cols>
  <sheetData>
    <row r="1" spans="1:21" ht="27.75" customHeight="1" x14ac:dyDescent="0.35">
      <c r="A1" s="60" t="s">
        <v>853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</row>
    <row r="2" spans="1:21" ht="19.5" customHeight="1" x14ac:dyDescent="0.35">
      <c r="A2" s="5" t="s">
        <v>4</v>
      </c>
      <c r="B2" s="1">
        <v>0.1</v>
      </c>
      <c r="C2" s="61"/>
      <c r="D2" s="61"/>
      <c r="E2" s="61"/>
      <c r="F2" s="61"/>
    </row>
    <row r="3" spans="1:21" ht="4.5" customHeight="1" x14ac:dyDescent="0.35"/>
    <row r="4" spans="1:21" ht="27.75" customHeight="1" x14ac:dyDescent="0.35">
      <c r="A4" s="63" t="s">
        <v>6</v>
      </c>
      <c r="B4" s="63" t="s">
        <v>12</v>
      </c>
      <c r="C4" s="63" t="s">
        <v>197</v>
      </c>
      <c r="D4" s="63" t="s">
        <v>198</v>
      </c>
      <c r="E4" s="63" t="s">
        <v>199</v>
      </c>
      <c r="F4" s="63" t="s">
        <v>15</v>
      </c>
      <c r="G4" s="63" t="s">
        <v>200</v>
      </c>
      <c r="H4" s="63" t="s">
        <v>17</v>
      </c>
      <c r="I4" s="63" t="s">
        <v>201</v>
      </c>
      <c r="J4" s="63" t="s">
        <v>202</v>
      </c>
      <c r="K4" s="63" t="s">
        <v>15</v>
      </c>
      <c r="L4" s="63" t="s">
        <v>200</v>
      </c>
      <c r="M4" s="63" t="s">
        <v>17</v>
      </c>
      <c r="N4" s="63" t="s">
        <v>203</v>
      </c>
      <c r="O4" s="63" t="s">
        <v>204</v>
      </c>
      <c r="P4" s="63" t="s">
        <v>15</v>
      </c>
      <c r="Q4" s="63" t="s">
        <v>200</v>
      </c>
      <c r="R4" s="63" t="s">
        <v>17</v>
      </c>
      <c r="S4" s="63" t="s">
        <v>205</v>
      </c>
      <c r="T4" s="63" t="s">
        <v>206</v>
      </c>
      <c r="U4" s="63" t="s">
        <v>13</v>
      </c>
    </row>
    <row r="5" spans="1:21" ht="12" customHeight="1" x14ac:dyDescent="0.35">
      <c r="A5" s="59" t="s">
        <v>207</v>
      </c>
      <c r="B5" s="59"/>
      <c r="C5" s="59"/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</row>
    <row r="6" spans="1:21" ht="15" customHeight="1" x14ac:dyDescent="0.35">
      <c r="A6" s="6" t="s">
        <v>207</v>
      </c>
      <c r="B6" s="7" t="s">
        <v>208</v>
      </c>
      <c r="C6" s="8" t="s">
        <v>209</v>
      </c>
      <c r="D6" s="9">
        <v>0.02</v>
      </c>
      <c r="E6" s="64" t="s">
        <v>35</v>
      </c>
      <c r="F6" s="65" t="str">
        <f>IFERROR(VLOOKUP(E6,PROVEEDORES!$A$3:$G$42,2,0),"")</f>
        <v>ABARROTES</v>
      </c>
      <c r="G6" s="66" t="str">
        <f>IFERROR(VLOOKUP(E6,PROVEEDORES!$A$3:$G$42,4,0),"")</f>
        <v>pagos@bidfood.cl,pmolina@bidfood.cl</v>
      </c>
      <c r="H6" s="10" t="str">
        <f>IFERROR(VLOOKUP(E6,PROVEEDORES!$A$3:$G$42,5,0),"")</f>
        <v>56225994444 - 56998038459</v>
      </c>
      <c r="I6" s="11">
        <v>3250</v>
      </c>
      <c r="J6" s="64" t="s">
        <v>105</v>
      </c>
      <c r="K6" s="65" t="str">
        <f>IFERROR(VLOOKUP(J6,PROVEEDORES!$A$3:$G$42,2,0),"")</f>
        <v>ESPECIES</v>
      </c>
      <c r="L6" s="66" t="str">
        <f>IFERROR(VLOOKUP(J6,PROVEEDORES!$A$3:$G$42,4,0),"")</f>
        <v>chef@gourmetselect.cl,contabilidad@gourmetselect.cl,pedidos@gourmetselect.cl,info@gourmetselect.cl</v>
      </c>
      <c r="M6" s="10" t="str">
        <f>IFERROR(VLOOKUP(J6,PROVEEDORES!$A$3:$G$42,5,0),"")</f>
        <v>56944921093</v>
      </c>
      <c r="N6" s="11">
        <v>3484</v>
      </c>
      <c r="O6" s="64" t="s">
        <v>41</v>
      </c>
      <c r="P6" s="65" t="str">
        <f>IFERROR(VLOOKUP(O6,PROVEEDORES!$A$3:$G$42,2,0),"")</f>
        <v>FRUTAS Y VERDURAS</v>
      </c>
      <c r="Q6" s="66" t="str">
        <f>IFERROR(VLOOKUP(O6,PROVEEDORES!$A$3:$G$42,4,0),"")</f>
        <v>caseritaencasa@gmail.com</v>
      </c>
      <c r="R6" s="10" t="str">
        <f>IFERROR(VLOOKUP(O6,PROVEEDORES!$A$3:$G$42,5,0),"")</f>
        <v>56952069703</v>
      </c>
      <c r="S6" s="11">
        <v>3043</v>
      </c>
      <c r="T6" s="12">
        <f t="shared" ref="T6:T69" si="0">AVERAGE(I6,N6,S6)</f>
        <v>3259</v>
      </c>
      <c r="U6" s="13">
        <f t="shared" ref="U6:U69" si="1">T6*(1+$B$2)</f>
        <v>3584.9</v>
      </c>
    </row>
    <row r="7" spans="1:21" ht="15" customHeight="1" x14ac:dyDescent="0.35">
      <c r="A7" s="14" t="s">
        <v>207</v>
      </c>
      <c r="B7" s="15" t="s">
        <v>210</v>
      </c>
      <c r="C7" s="16" t="s">
        <v>209</v>
      </c>
      <c r="D7" s="17">
        <v>1.125E-2</v>
      </c>
      <c r="E7" s="67" t="s">
        <v>35</v>
      </c>
      <c r="F7" s="68" t="str">
        <f>IFERROR(VLOOKUP(E7,PROVEEDORES!$A$3:$G$42,2,0),"")</f>
        <v>ABARROTES</v>
      </c>
      <c r="G7" s="69" t="str">
        <f>IFERROR(VLOOKUP(E7,PROVEEDORES!$A$3:$G$42,4,0),"")</f>
        <v>pagos@bidfood.cl,pmolina@bidfood.cl</v>
      </c>
      <c r="H7" s="18" t="str">
        <f>IFERROR(VLOOKUP(E7,PROVEEDORES!$A$3:$G$42,5,0),"")</f>
        <v>56225994444 - 56998038459</v>
      </c>
      <c r="I7" s="19">
        <v>10990</v>
      </c>
      <c r="J7" s="67" t="s">
        <v>105</v>
      </c>
      <c r="K7" s="68" t="str">
        <f>IFERROR(VLOOKUP(J7,PROVEEDORES!$A$3:$G$42,2,0),"")</f>
        <v>ESPECIES</v>
      </c>
      <c r="L7" s="69" t="str">
        <f>IFERROR(VLOOKUP(J7,PROVEEDORES!$A$3:$G$42,4,0),"")</f>
        <v>chef@gourmetselect.cl,contabilidad@gourmetselect.cl,pedidos@gourmetselect.cl,info@gourmetselect.cl</v>
      </c>
      <c r="M7" s="18" t="str">
        <f>IFERROR(VLOOKUP(J7,PROVEEDORES!$A$3:$G$42,5,0),"")</f>
        <v>56944921093</v>
      </c>
      <c r="N7" s="19">
        <v>10281</v>
      </c>
      <c r="O7" s="67" t="s">
        <v>41</v>
      </c>
      <c r="P7" s="68" t="str">
        <f>IFERROR(VLOOKUP(O7,PROVEEDORES!$A$3:$G$42,2,0),"")</f>
        <v>FRUTAS Y VERDURAS</v>
      </c>
      <c r="Q7" s="69" t="str">
        <f>IFERROR(VLOOKUP(O7,PROVEEDORES!$A$3:$G$42,4,0),"")</f>
        <v>caseritaencasa@gmail.com</v>
      </c>
      <c r="R7" s="18" t="str">
        <f>IFERROR(VLOOKUP(O7,PROVEEDORES!$A$3:$G$42,5,0),"")</f>
        <v>56952069703</v>
      </c>
      <c r="S7" s="19">
        <v>15100</v>
      </c>
      <c r="T7" s="20">
        <f t="shared" si="0"/>
        <v>12123.666666666666</v>
      </c>
      <c r="U7" s="21">
        <f t="shared" si="1"/>
        <v>13336.033333333333</v>
      </c>
    </row>
    <row r="8" spans="1:21" ht="15" customHeight="1" x14ac:dyDescent="0.35">
      <c r="A8" s="6" t="s">
        <v>207</v>
      </c>
      <c r="B8" s="7" t="s">
        <v>211</v>
      </c>
      <c r="C8" s="8" t="s">
        <v>209</v>
      </c>
      <c r="D8" s="9">
        <v>3.7499999999999999E-3</v>
      </c>
      <c r="E8" s="64" t="s">
        <v>35</v>
      </c>
      <c r="F8" s="65" t="str">
        <f>IFERROR(VLOOKUP(E8,PROVEEDORES!$A$3:$G$42,2,0),"")</f>
        <v>ABARROTES</v>
      </c>
      <c r="G8" s="66" t="str">
        <f>IFERROR(VLOOKUP(E8,PROVEEDORES!$A$3:$G$42,4,0),"")</f>
        <v>pagos@bidfood.cl,pmolina@bidfood.cl</v>
      </c>
      <c r="H8" s="10" t="str">
        <f>IFERROR(VLOOKUP(E8,PROVEEDORES!$A$3:$G$42,5,0),"")</f>
        <v>56225994444 - 56998038459</v>
      </c>
      <c r="I8" s="11">
        <v>4980</v>
      </c>
      <c r="J8" s="64" t="s">
        <v>105</v>
      </c>
      <c r="K8" s="65" t="str">
        <f>IFERROR(VLOOKUP(J8,PROVEEDORES!$A$3:$G$42,2,0),"")</f>
        <v>ESPECIES</v>
      </c>
      <c r="L8" s="66" t="str">
        <f>IFERROR(VLOOKUP(J8,PROVEEDORES!$A$3:$G$42,4,0),"")</f>
        <v>chef@gourmetselect.cl,contabilidad@gourmetselect.cl,pedidos@gourmetselect.cl,info@gourmetselect.cl</v>
      </c>
      <c r="M8" s="10" t="str">
        <f>IFERROR(VLOOKUP(J8,PROVEEDORES!$A$3:$G$42,5,0),"")</f>
        <v>56944921093</v>
      </c>
      <c r="N8" s="11">
        <v>5316</v>
      </c>
      <c r="O8" s="64" t="s">
        <v>41</v>
      </c>
      <c r="P8" s="65" t="str">
        <f>IFERROR(VLOOKUP(O8,PROVEEDORES!$A$3:$G$42,2,0),"")</f>
        <v>FRUTAS Y VERDURAS</v>
      </c>
      <c r="Q8" s="66" t="str">
        <f>IFERROR(VLOOKUP(O8,PROVEEDORES!$A$3:$G$42,4,0),"")</f>
        <v>caseritaencasa@gmail.com</v>
      </c>
      <c r="R8" s="10" t="str">
        <f>IFERROR(VLOOKUP(O8,PROVEEDORES!$A$3:$G$42,5,0),"")</f>
        <v>56952069703</v>
      </c>
      <c r="S8" s="11">
        <v>7763</v>
      </c>
      <c r="T8" s="12">
        <f t="shared" si="0"/>
        <v>6019.666666666667</v>
      </c>
      <c r="U8" s="13">
        <f t="shared" si="1"/>
        <v>6621.6333333333341</v>
      </c>
    </row>
    <row r="9" spans="1:21" ht="15" customHeight="1" x14ac:dyDescent="0.35">
      <c r="A9" s="14" t="s">
        <v>207</v>
      </c>
      <c r="B9" s="15" t="s">
        <v>212</v>
      </c>
      <c r="C9" s="16" t="s">
        <v>209</v>
      </c>
      <c r="D9" s="17">
        <v>1.7566250000000001</v>
      </c>
      <c r="E9" s="67" t="s">
        <v>35</v>
      </c>
      <c r="F9" s="68" t="str">
        <f>IFERROR(VLOOKUP(E9,PROVEEDORES!$A$3:$G$42,2,0),"")</f>
        <v>ABARROTES</v>
      </c>
      <c r="G9" s="69" t="str">
        <f>IFERROR(VLOOKUP(E9,PROVEEDORES!$A$3:$G$42,4,0),"")</f>
        <v>pagos@bidfood.cl,pmolina@bidfood.cl</v>
      </c>
      <c r="H9" s="18" t="str">
        <f>IFERROR(VLOOKUP(E9,PROVEEDORES!$A$3:$G$42,5,0),"")</f>
        <v>56225994444 - 56998038459</v>
      </c>
      <c r="I9" s="19">
        <v>2304</v>
      </c>
      <c r="J9" s="67" t="s">
        <v>105</v>
      </c>
      <c r="K9" s="68" t="str">
        <f>IFERROR(VLOOKUP(J9,PROVEEDORES!$A$3:$G$42,2,0),"")</f>
        <v>ESPECIES</v>
      </c>
      <c r="L9" s="69" t="str">
        <f>IFERROR(VLOOKUP(J9,PROVEEDORES!$A$3:$G$42,4,0),"")</f>
        <v>chef@gourmetselect.cl,contabilidad@gourmetselect.cl,pedidos@gourmetselect.cl,info@gourmetselect.cl</v>
      </c>
      <c r="M9" s="18" t="str">
        <f>IFERROR(VLOOKUP(J9,PROVEEDORES!$A$3:$G$42,5,0),"")</f>
        <v>56944921093</v>
      </c>
      <c r="N9" s="19">
        <v>3448</v>
      </c>
      <c r="O9" s="67" t="s">
        <v>41</v>
      </c>
      <c r="P9" s="68" t="str">
        <f>IFERROR(VLOOKUP(O9,PROVEEDORES!$A$3:$G$42,2,0),"")</f>
        <v>FRUTAS Y VERDURAS</v>
      </c>
      <c r="Q9" s="69" t="str">
        <f>IFERROR(VLOOKUP(O9,PROVEEDORES!$A$3:$G$42,4,0),"")</f>
        <v>caseritaencasa@gmail.com</v>
      </c>
      <c r="R9" s="18" t="str">
        <f>IFERROR(VLOOKUP(O9,PROVEEDORES!$A$3:$G$42,5,0),"")</f>
        <v>56952069703</v>
      </c>
      <c r="S9" s="19">
        <v>3850</v>
      </c>
      <c r="T9" s="20">
        <f t="shared" si="0"/>
        <v>3200.6666666666665</v>
      </c>
      <c r="U9" s="21">
        <f t="shared" si="1"/>
        <v>3520.7333333333336</v>
      </c>
    </row>
    <row r="10" spans="1:21" ht="15" customHeight="1" x14ac:dyDescent="0.35">
      <c r="A10" s="6" t="s">
        <v>207</v>
      </c>
      <c r="B10" s="7" t="s">
        <v>213</v>
      </c>
      <c r="C10" s="8" t="s">
        <v>209</v>
      </c>
      <c r="D10" s="9">
        <v>1.0346875</v>
      </c>
      <c r="E10" s="64" t="s">
        <v>35</v>
      </c>
      <c r="F10" s="65" t="str">
        <f>IFERROR(VLOOKUP(E10,PROVEEDORES!$A$3:$G$42,2,0),"")</f>
        <v>ABARROTES</v>
      </c>
      <c r="G10" s="66" t="str">
        <f>IFERROR(VLOOKUP(E10,PROVEEDORES!$A$3:$G$42,4,0),"")</f>
        <v>pagos@bidfood.cl,pmolina@bidfood.cl</v>
      </c>
      <c r="H10" s="10" t="str">
        <f>IFERROR(VLOOKUP(E10,PROVEEDORES!$A$3:$G$42,5,0),"")</f>
        <v>56225994444 - 56998038459</v>
      </c>
      <c r="I10" s="11">
        <v>14516</v>
      </c>
      <c r="J10" s="64" t="s">
        <v>105</v>
      </c>
      <c r="K10" s="65" t="str">
        <f>IFERROR(VLOOKUP(J10,PROVEEDORES!$A$3:$G$42,2,0),"")</f>
        <v>ESPECIES</v>
      </c>
      <c r="L10" s="66" t="str">
        <f>IFERROR(VLOOKUP(J10,PROVEEDORES!$A$3:$G$42,4,0),"")</f>
        <v>chef@gourmetselect.cl,contabilidad@gourmetselect.cl,pedidos@gourmetselect.cl,info@gourmetselect.cl</v>
      </c>
      <c r="M10" s="10" t="str">
        <f>IFERROR(VLOOKUP(J10,PROVEEDORES!$A$3:$G$42,5,0),"")</f>
        <v>56944921093</v>
      </c>
      <c r="N10" s="11">
        <v>18087</v>
      </c>
      <c r="O10" s="64" t="s">
        <v>41</v>
      </c>
      <c r="P10" s="65" t="str">
        <f>IFERROR(VLOOKUP(O10,PROVEEDORES!$A$3:$G$42,2,0),"")</f>
        <v>FRUTAS Y VERDURAS</v>
      </c>
      <c r="Q10" s="66" t="str">
        <f>IFERROR(VLOOKUP(O10,PROVEEDORES!$A$3:$G$42,4,0),"")</f>
        <v>caseritaencasa@gmail.com</v>
      </c>
      <c r="R10" s="10" t="str">
        <f>IFERROR(VLOOKUP(O10,PROVEEDORES!$A$3:$G$42,5,0),"")</f>
        <v>56952069703</v>
      </c>
      <c r="S10" s="11">
        <v>15378</v>
      </c>
      <c r="T10" s="12">
        <f t="shared" si="0"/>
        <v>15993.666666666666</v>
      </c>
      <c r="U10" s="13">
        <f t="shared" si="1"/>
        <v>17593.033333333333</v>
      </c>
    </row>
    <row r="11" spans="1:21" ht="15" customHeight="1" x14ac:dyDescent="0.35">
      <c r="A11" s="14" t="s">
        <v>207</v>
      </c>
      <c r="B11" s="15" t="s">
        <v>214</v>
      </c>
      <c r="C11" s="16" t="s">
        <v>209</v>
      </c>
      <c r="D11" s="17">
        <v>1.5625E-2</v>
      </c>
      <c r="E11" s="67" t="s">
        <v>35</v>
      </c>
      <c r="F11" s="68" t="str">
        <f>IFERROR(VLOOKUP(E11,PROVEEDORES!$A$3:$G$42,2,0),"")</f>
        <v>ABARROTES</v>
      </c>
      <c r="G11" s="69" t="str">
        <f>IFERROR(VLOOKUP(E11,PROVEEDORES!$A$3:$G$42,4,0),"")</f>
        <v>pagos@bidfood.cl,pmolina@bidfood.cl</v>
      </c>
      <c r="H11" s="18" t="str">
        <f>IFERROR(VLOOKUP(E11,PROVEEDORES!$A$3:$G$42,5,0),"")</f>
        <v>56225994444 - 56998038459</v>
      </c>
      <c r="I11" s="19">
        <v>11872</v>
      </c>
      <c r="J11" s="67" t="s">
        <v>105</v>
      </c>
      <c r="K11" s="68" t="str">
        <f>IFERROR(VLOOKUP(J11,PROVEEDORES!$A$3:$G$42,2,0),"")</f>
        <v>ESPECIES</v>
      </c>
      <c r="L11" s="69" t="str">
        <f>IFERROR(VLOOKUP(J11,PROVEEDORES!$A$3:$G$42,4,0),"")</f>
        <v>chef@gourmetselect.cl,contabilidad@gourmetselect.cl,pedidos@gourmetselect.cl,info@gourmetselect.cl</v>
      </c>
      <c r="M11" s="18" t="str">
        <f>IFERROR(VLOOKUP(J11,PROVEEDORES!$A$3:$G$42,5,0),"")</f>
        <v>56944921093</v>
      </c>
      <c r="N11" s="19">
        <v>16039</v>
      </c>
      <c r="O11" s="67" t="s">
        <v>41</v>
      </c>
      <c r="P11" s="68" t="str">
        <f>IFERROR(VLOOKUP(O11,PROVEEDORES!$A$3:$G$42,2,0),"")</f>
        <v>FRUTAS Y VERDURAS</v>
      </c>
      <c r="Q11" s="69" t="str">
        <f>IFERROR(VLOOKUP(O11,PROVEEDORES!$A$3:$G$42,4,0),"")</f>
        <v>caseritaencasa@gmail.com</v>
      </c>
      <c r="R11" s="18" t="str">
        <f>IFERROR(VLOOKUP(O11,PROVEEDORES!$A$3:$G$42,5,0),"")</f>
        <v>56952069703</v>
      </c>
      <c r="S11" s="19">
        <v>1111</v>
      </c>
      <c r="T11" s="20">
        <f t="shared" si="0"/>
        <v>9674</v>
      </c>
      <c r="U11" s="21">
        <f t="shared" si="1"/>
        <v>10641.400000000001</v>
      </c>
    </row>
    <row r="12" spans="1:21" ht="15" customHeight="1" x14ac:dyDescent="0.35">
      <c r="A12" s="6" t="s">
        <v>207</v>
      </c>
      <c r="B12" s="7" t="s">
        <v>215</v>
      </c>
      <c r="C12" s="8" t="s">
        <v>209</v>
      </c>
      <c r="D12" s="9">
        <v>4.45</v>
      </c>
      <c r="E12" s="64" t="s">
        <v>35</v>
      </c>
      <c r="F12" s="65" t="str">
        <f>IFERROR(VLOOKUP(E12,PROVEEDORES!$A$3:$G$42,2,0),"")</f>
        <v>ABARROTES</v>
      </c>
      <c r="G12" s="66" t="str">
        <f>IFERROR(VLOOKUP(E12,PROVEEDORES!$A$3:$G$42,4,0),"")</f>
        <v>pagos@bidfood.cl,pmolina@bidfood.cl</v>
      </c>
      <c r="H12" s="10" t="str">
        <f>IFERROR(VLOOKUP(E12,PROVEEDORES!$A$3:$G$42,5,0),"")</f>
        <v>56225994444 - 56998038459</v>
      </c>
      <c r="I12" s="11">
        <v>2270</v>
      </c>
      <c r="J12" s="64" t="s">
        <v>105</v>
      </c>
      <c r="K12" s="65" t="str">
        <f>IFERROR(VLOOKUP(J12,PROVEEDORES!$A$3:$G$42,2,0),"")</f>
        <v>ESPECIES</v>
      </c>
      <c r="L12" s="66" t="str">
        <f>IFERROR(VLOOKUP(J12,PROVEEDORES!$A$3:$G$42,4,0),"")</f>
        <v>chef@gourmetselect.cl,contabilidad@gourmetselect.cl,pedidos@gourmetselect.cl,info@gourmetselect.cl</v>
      </c>
      <c r="M12" s="10" t="str">
        <f>IFERROR(VLOOKUP(J12,PROVEEDORES!$A$3:$G$42,5,0),"")</f>
        <v>56944921093</v>
      </c>
      <c r="N12" s="11">
        <v>2832</v>
      </c>
      <c r="O12" s="64" t="s">
        <v>41</v>
      </c>
      <c r="P12" s="65" t="str">
        <f>IFERROR(VLOOKUP(O12,PROVEEDORES!$A$3:$G$42,2,0),"")</f>
        <v>FRUTAS Y VERDURAS</v>
      </c>
      <c r="Q12" s="66" t="str">
        <f>IFERROR(VLOOKUP(O12,PROVEEDORES!$A$3:$G$42,4,0),"")</f>
        <v>caseritaencasa@gmail.com</v>
      </c>
      <c r="R12" s="10" t="str">
        <f>IFERROR(VLOOKUP(O12,PROVEEDORES!$A$3:$G$42,5,0),"")</f>
        <v>56952069703</v>
      </c>
      <c r="S12" s="11">
        <v>927</v>
      </c>
      <c r="T12" s="12">
        <f t="shared" si="0"/>
        <v>2009.6666666666667</v>
      </c>
      <c r="U12" s="13">
        <f t="shared" si="1"/>
        <v>2210.6333333333337</v>
      </c>
    </row>
    <row r="13" spans="1:21" ht="15" customHeight="1" x14ac:dyDescent="0.35">
      <c r="A13" s="14" t="s">
        <v>207</v>
      </c>
      <c r="B13" s="15" t="s">
        <v>216</v>
      </c>
      <c r="C13" s="16" t="s">
        <v>209</v>
      </c>
      <c r="D13" s="17">
        <v>0.17249999999999999</v>
      </c>
      <c r="E13" s="67" t="s">
        <v>35</v>
      </c>
      <c r="F13" s="68" t="str">
        <f>IFERROR(VLOOKUP(E13,PROVEEDORES!$A$3:$G$42,2,0),"")</f>
        <v>ABARROTES</v>
      </c>
      <c r="G13" s="69" t="str">
        <f>IFERROR(VLOOKUP(E13,PROVEEDORES!$A$3:$G$42,4,0),"")</f>
        <v>pagos@bidfood.cl,pmolina@bidfood.cl</v>
      </c>
      <c r="H13" s="18" t="str">
        <f>IFERROR(VLOOKUP(E13,PROVEEDORES!$A$3:$G$42,5,0),"")</f>
        <v>56225994444 - 56998038459</v>
      </c>
      <c r="I13" s="19">
        <v>3878</v>
      </c>
      <c r="J13" s="67" t="s">
        <v>105</v>
      </c>
      <c r="K13" s="68" t="str">
        <f>IFERROR(VLOOKUP(J13,PROVEEDORES!$A$3:$G$42,2,0),"")</f>
        <v>ESPECIES</v>
      </c>
      <c r="L13" s="69" t="str">
        <f>IFERROR(VLOOKUP(J13,PROVEEDORES!$A$3:$G$42,4,0),"")</f>
        <v>chef@gourmetselect.cl,contabilidad@gourmetselect.cl,pedidos@gourmetselect.cl,info@gourmetselect.cl</v>
      </c>
      <c r="M13" s="18" t="str">
        <f>IFERROR(VLOOKUP(J13,PROVEEDORES!$A$3:$G$42,5,0),"")</f>
        <v>56944921093</v>
      </c>
      <c r="N13" s="19">
        <v>1045</v>
      </c>
      <c r="O13" s="67" t="s">
        <v>41</v>
      </c>
      <c r="P13" s="68" t="str">
        <f>IFERROR(VLOOKUP(O13,PROVEEDORES!$A$3:$G$42,2,0),"")</f>
        <v>FRUTAS Y VERDURAS</v>
      </c>
      <c r="Q13" s="69" t="str">
        <f>IFERROR(VLOOKUP(O13,PROVEEDORES!$A$3:$G$42,4,0),"")</f>
        <v>caseritaencasa@gmail.com</v>
      </c>
      <c r="R13" s="18" t="str">
        <f>IFERROR(VLOOKUP(O13,PROVEEDORES!$A$3:$G$42,5,0),"")</f>
        <v>56952069703</v>
      </c>
      <c r="S13" s="19">
        <v>2914</v>
      </c>
      <c r="T13" s="20">
        <f t="shared" si="0"/>
        <v>2612.3333333333335</v>
      </c>
      <c r="U13" s="21">
        <f t="shared" si="1"/>
        <v>2873.5666666666671</v>
      </c>
    </row>
    <row r="14" spans="1:21" ht="15" customHeight="1" x14ac:dyDescent="0.35">
      <c r="A14" s="6" t="s">
        <v>207</v>
      </c>
      <c r="B14" s="7" t="s">
        <v>217</v>
      </c>
      <c r="C14" s="8" t="s">
        <v>209</v>
      </c>
      <c r="D14" s="9">
        <v>1.87825</v>
      </c>
      <c r="E14" s="64" t="s">
        <v>35</v>
      </c>
      <c r="F14" s="65" t="str">
        <f>IFERROR(VLOOKUP(E14,PROVEEDORES!$A$3:$G$42,2,0),"")</f>
        <v>ABARROTES</v>
      </c>
      <c r="G14" s="66" t="str">
        <f>IFERROR(VLOOKUP(E14,PROVEEDORES!$A$3:$G$42,4,0),"")</f>
        <v>pagos@bidfood.cl,pmolina@bidfood.cl</v>
      </c>
      <c r="H14" s="10" t="str">
        <f>IFERROR(VLOOKUP(E14,PROVEEDORES!$A$3:$G$42,5,0),"")</f>
        <v>56225994444 - 56998038459</v>
      </c>
      <c r="I14" s="11">
        <v>2300</v>
      </c>
      <c r="J14" s="64" t="s">
        <v>105</v>
      </c>
      <c r="K14" s="65" t="str">
        <f>IFERROR(VLOOKUP(J14,PROVEEDORES!$A$3:$G$42,2,0),"")</f>
        <v>ESPECIES</v>
      </c>
      <c r="L14" s="66" t="str">
        <f>IFERROR(VLOOKUP(J14,PROVEEDORES!$A$3:$G$42,4,0),"")</f>
        <v>chef@gourmetselect.cl,contabilidad@gourmetselect.cl,pedidos@gourmetselect.cl,info@gourmetselect.cl</v>
      </c>
      <c r="M14" s="10" t="str">
        <f>IFERROR(VLOOKUP(J14,PROVEEDORES!$A$3:$G$42,5,0),"")</f>
        <v>56944921093</v>
      </c>
      <c r="N14" s="11">
        <v>3014</v>
      </c>
      <c r="O14" s="64" t="s">
        <v>41</v>
      </c>
      <c r="P14" s="65" t="str">
        <f>IFERROR(VLOOKUP(O14,PROVEEDORES!$A$3:$G$42,2,0),"")</f>
        <v>FRUTAS Y VERDURAS</v>
      </c>
      <c r="Q14" s="66" t="str">
        <f>IFERROR(VLOOKUP(O14,PROVEEDORES!$A$3:$G$42,4,0),"")</f>
        <v>caseritaencasa@gmail.com</v>
      </c>
      <c r="R14" s="10" t="str">
        <f>IFERROR(VLOOKUP(O14,PROVEEDORES!$A$3:$G$42,5,0),"")</f>
        <v>56952069703</v>
      </c>
      <c r="S14" s="11">
        <v>838</v>
      </c>
      <c r="T14" s="12">
        <f t="shared" si="0"/>
        <v>2050.6666666666665</v>
      </c>
      <c r="U14" s="13">
        <f t="shared" si="1"/>
        <v>2255.7333333333336</v>
      </c>
    </row>
    <row r="15" spans="1:21" ht="15" customHeight="1" x14ac:dyDescent="0.35">
      <c r="A15" s="14" t="s">
        <v>207</v>
      </c>
      <c r="B15" s="15" t="s">
        <v>218</v>
      </c>
      <c r="C15" s="16" t="s">
        <v>219</v>
      </c>
      <c r="D15" s="17">
        <v>1.5625E-2</v>
      </c>
      <c r="E15" s="67" t="s">
        <v>35</v>
      </c>
      <c r="F15" s="68" t="str">
        <f>IFERROR(VLOOKUP(E15,PROVEEDORES!$A$3:$G$42,2,0),"")</f>
        <v>ABARROTES</v>
      </c>
      <c r="G15" s="69" t="str">
        <f>IFERROR(VLOOKUP(E15,PROVEEDORES!$A$3:$G$42,4,0),"")</f>
        <v>pagos@bidfood.cl,pmolina@bidfood.cl</v>
      </c>
      <c r="H15" s="18" t="str">
        <f>IFERROR(VLOOKUP(E15,PROVEEDORES!$A$3:$G$42,5,0),"")</f>
        <v>56225994444 - 56998038459</v>
      </c>
      <c r="I15" s="19">
        <v>8194</v>
      </c>
      <c r="J15" s="67" t="s">
        <v>105</v>
      </c>
      <c r="K15" s="68" t="str">
        <f>IFERROR(VLOOKUP(J15,PROVEEDORES!$A$3:$G$42,2,0),"")</f>
        <v>ESPECIES</v>
      </c>
      <c r="L15" s="69" t="str">
        <f>IFERROR(VLOOKUP(J15,PROVEEDORES!$A$3:$G$42,4,0),"")</f>
        <v>chef@gourmetselect.cl,contabilidad@gourmetselect.cl,pedidos@gourmetselect.cl,info@gourmetselect.cl</v>
      </c>
      <c r="M15" s="18" t="str">
        <f>IFERROR(VLOOKUP(J15,PROVEEDORES!$A$3:$G$42,5,0),"")</f>
        <v>56944921093</v>
      </c>
      <c r="N15" s="19">
        <v>5048</v>
      </c>
      <c r="O15" s="67" t="s">
        <v>41</v>
      </c>
      <c r="P15" s="68" t="str">
        <f>IFERROR(VLOOKUP(O15,PROVEEDORES!$A$3:$G$42,2,0),"")</f>
        <v>FRUTAS Y VERDURAS</v>
      </c>
      <c r="Q15" s="69" t="str">
        <f>IFERROR(VLOOKUP(O15,PROVEEDORES!$A$3:$G$42,4,0),"")</f>
        <v>caseritaencasa@gmail.com</v>
      </c>
      <c r="R15" s="18" t="str">
        <f>IFERROR(VLOOKUP(O15,PROVEEDORES!$A$3:$G$42,5,0),"")</f>
        <v>56952069703</v>
      </c>
      <c r="S15" s="19">
        <v>5292</v>
      </c>
      <c r="T15" s="20">
        <f t="shared" si="0"/>
        <v>6178</v>
      </c>
      <c r="U15" s="21">
        <f t="shared" si="1"/>
        <v>6795.8</v>
      </c>
    </row>
    <row r="16" spans="1:21" ht="15" customHeight="1" x14ac:dyDescent="0.35">
      <c r="A16" s="6" t="s">
        <v>207</v>
      </c>
      <c r="B16" s="7" t="s">
        <v>220</v>
      </c>
      <c r="C16" s="8" t="s">
        <v>219</v>
      </c>
      <c r="D16" s="9">
        <v>9.3749999999999997E-3</v>
      </c>
      <c r="E16" s="64" t="s">
        <v>35</v>
      </c>
      <c r="F16" s="65" t="str">
        <f>IFERROR(VLOOKUP(E16,PROVEEDORES!$A$3:$G$42,2,0),"")</f>
        <v>ABARROTES</v>
      </c>
      <c r="G16" s="66" t="str">
        <f>IFERROR(VLOOKUP(E16,PROVEEDORES!$A$3:$G$42,4,0),"")</f>
        <v>pagos@bidfood.cl,pmolina@bidfood.cl</v>
      </c>
      <c r="H16" s="10" t="str">
        <f>IFERROR(VLOOKUP(E16,PROVEEDORES!$A$3:$G$42,5,0),"")</f>
        <v>56225994444 - 56998038459</v>
      </c>
      <c r="I16" s="11">
        <v>4522</v>
      </c>
      <c r="J16" s="64" t="s">
        <v>105</v>
      </c>
      <c r="K16" s="65" t="str">
        <f>IFERROR(VLOOKUP(J16,PROVEEDORES!$A$3:$G$42,2,0),"")</f>
        <v>ESPECIES</v>
      </c>
      <c r="L16" s="66" t="str">
        <f>IFERROR(VLOOKUP(J16,PROVEEDORES!$A$3:$G$42,4,0),"")</f>
        <v>chef@gourmetselect.cl,contabilidad@gourmetselect.cl,pedidos@gourmetselect.cl,info@gourmetselect.cl</v>
      </c>
      <c r="M16" s="10" t="str">
        <f>IFERROR(VLOOKUP(J16,PROVEEDORES!$A$3:$G$42,5,0),"")</f>
        <v>56944921093</v>
      </c>
      <c r="N16" s="11">
        <v>2860</v>
      </c>
      <c r="O16" s="64" t="s">
        <v>41</v>
      </c>
      <c r="P16" s="65" t="str">
        <f>IFERROR(VLOOKUP(O16,PROVEEDORES!$A$3:$G$42,2,0),"")</f>
        <v>FRUTAS Y VERDURAS</v>
      </c>
      <c r="Q16" s="66" t="str">
        <f>IFERROR(VLOOKUP(O16,PROVEEDORES!$A$3:$G$42,4,0),"")</f>
        <v>caseritaencasa@gmail.com</v>
      </c>
      <c r="R16" s="10" t="str">
        <f>IFERROR(VLOOKUP(O16,PROVEEDORES!$A$3:$G$42,5,0),"")</f>
        <v>56952069703</v>
      </c>
      <c r="S16" s="11">
        <v>2343</v>
      </c>
      <c r="T16" s="12">
        <f t="shared" si="0"/>
        <v>3241.6666666666665</v>
      </c>
      <c r="U16" s="13">
        <f t="shared" si="1"/>
        <v>3565.8333333333335</v>
      </c>
    </row>
    <row r="17" spans="1:21" ht="15" customHeight="1" x14ac:dyDescent="0.35">
      <c r="A17" s="14" t="s">
        <v>207</v>
      </c>
      <c r="B17" s="15" t="s">
        <v>221</v>
      </c>
      <c r="C17" s="16" t="s">
        <v>219</v>
      </c>
      <c r="D17" s="17">
        <v>0.20749999999999999</v>
      </c>
      <c r="E17" s="67" t="s">
        <v>35</v>
      </c>
      <c r="F17" s="68" t="str">
        <f>IFERROR(VLOOKUP(E17,PROVEEDORES!$A$3:$G$42,2,0),"")</f>
        <v>ABARROTES</v>
      </c>
      <c r="G17" s="69" t="str">
        <f>IFERROR(VLOOKUP(E17,PROVEEDORES!$A$3:$G$42,4,0),"")</f>
        <v>pagos@bidfood.cl,pmolina@bidfood.cl</v>
      </c>
      <c r="H17" s="18" t="str">
        <f>IFERROR(VLOOKUP(E17,PROVEEDORES!$A$3:$G$42,5,0),"")</f>
        <v>56225994444 - 56998038459</v>
      </c>
      <c r="I17" s="19">
        <v>5562</v>
      </c>
      <c r="J17" s="67" t="s">
        <v>105</v>
      </c>
      <c r="K17" s="68" t="str">
        <f>IFERROR(VLOOKUP(J17,PROVEEDORES!$A$3:$G$42,2,0),"")</f>
        <v>ESPECIES</v>
      </c>
      <c r="L17" s="69" t="str">
        <f>IFERROR(VLOOKUP(J17,PROVEEDORES!$A$3:$G$42,4,0),"")</f>
        <v>chef@gourmetselect.cl,contabilidad@gourmetselect.cl,pedidos@gourmetselect.cl,info@gourmetselect.cl</v>
      </c>
      <c r="M17" s="18" t="str">
        <f>IFERROR(VLOOKUP(J17,PROVEEDORES!$A$3:$G$42,5,0),"")</f>
        <v>56944921093</v>
      </c>
      <c r="N17" s="19">
        <v>4511</v>
      </c>
      <c r="O17" s="67" t="s">
        <v>41</v>
      </c>
      <c r="P17" s="68" t="str">
        <f>IFERROR(VLOOKUP(O17,PROVEEDORES!$A$3:$G$42,2,0),"")</f>
        <v>FRUTAS Y VERDURAS</v>
      </c>
      <c r="Q17" s="69" t="str">
        <f>IFERROR(VLOOKUP(O17,PROVEEDORES!$A$3:$G$42,4,0),"")</f>
        <v>caseritaencasa@gmail.com</v>
      </c>
      <c r="R17" s="18" t="str">
        <f>IFERROR(VLOOKUP(O17,PROVEEDORES!$A$3:$G$42,5,0),"")</f>
        <v>56952069703</v>
      </c>
      <c r="S17" s="19">
        <v>3372</v>
      </c>
      <c r="T17" s="20">
        <f t="shared" si="0"/>
        <v>4481.666666666667</v>
      </c>
      <c r="U17" s="21">
        <f t="shared" si="1"/>
        <v>4929.8333333333339</v>
      </c>
    </row>
    <row r="18" spans="1:21" ht="15" customHeight="1" x14ac:dyDescent="0.35">
      <c r="A18" s="6" t="s">
        <v>207</v>
      </c>
      <c r="B18" s="7" t="s">
        <v>222</v>
      </c>
      <c r="C18" s="8" t="s">
        <v>209</v>
      </c>
      <c r="D18" s="9">
        <v>1.375E-2</v>
      </c>
      <c r="E18" s="64" t="s">
        <v>105</v>
      </c>
      <c r="F18" s="65" t="str">
        <f>IFERROR(VLOOKUP(E18,PROVEEDORES!$A$3:$G$42,2,0),"")</f>
        <v>ESPECIES</v>
      </c>
      <c r="G18" s="66" t="str">
        <f>IFERROR(VLOOKUP(E18,PROVEEDORES!$A$3:$G$42,4,0),"")</f>
        <v>chef@gourmetselect.cl,contabilidad@gourmetselect.cl,pedidos@gourmetselect.cl,info@gourmetselect.cl</v>
      </c>
      <c r="H18" s="10" t="str">
        <f>IFERROR(VLOOKUP(E18,PROVEEDORES!$A$3:$G$42,5,0),"")</f>
        <v>56944921093</v>
      </c>
      <c r="I18" s="11">
        <v>3968</v>
      </c>
      <c r="J18" s="64" t="s">
        <v>35</v>
      </c>
      <c r="K18" s="65" t="str">
        <f>IFERROR(VLOOKUP(J18,PROVEEDORES!$A$3:$G$42,2,0),"")</f>
        <v>ABARROTES</v>
      </c>
      <c r="L18" s="66" t="str">
        <f>IFERROR(VLOOKUP(J18,PROVEEDORES!$A$3:$G$42,4,0),"")</f>
        <v>pagos@bidfood.cl,pmolina@bidfood.cl</v>
      </c>
      <c r="M18" s="10" t="str">
        <f>IFERROR(VLOOKUP(J18,PROVEEDORES!$A$3:$G$42,5,0),"")</f>
        <v>56225994444 - 56998038459</v>
      </c>
      <c r="N18" s="11">
        <v>3123</v>
      </c>
      <c r="O18" s="64" t="s">
        <v>41</v>
      </c>
      <c r="P18" s="65" t="str">
        <f>IFERROR(VLOOKUP(O18,PROVEEDORES!$A$3:$G$42,2,0),"")</f>
        <v>FRUTAS Y VERDURAS</v>
      </c>
      <c r="Q18" s="66" t="str">
        <f>IFERROR(VLOOKUP(O18,PROVEEDORES!$A$3:$G$42,4,0),"")</f>
        <v>caseritaencasa@gmail.com</v>
      </c>
      <c r="R18" s="10" t="str">
        <f>IFERROR(VLOOKUP(O18,PROVEEDORES!$A$3:$G$42,5,0),"")</f>
        <v>56952069703</v>
      </c>
      <c r="S18" s="11">
        <v>275</v>
      </c>
      <c r="T18" s="12">
        <f t="shared" si="0"/>
        <v>2455.3333333333335</v>
      </c>
      <c r="U18" s="13">
        <f t="shared" si="1"/>
        <v>2700.8666666666672</v>
      </c>
    </row>
    <row r="19" spans="1:21" ht="15" customHeight="1" x14ac:dyDescent="0.35">
      <c r="A19" s="14" t="s">
        <v>207</v>
      </c>
      <c r="B19" s="15" t="s">
        <v>223</v>
      </c>
      <c r="C19" s="16" t="s">
        <v>219</v>
      </c>
      <c r="D19" s="17">
        <v>1.875E-4</v>
      </c>
      <c r="E19" s="67" t="s">
        <v>105</v>
      </c>
      <c r="F19" s="68" t="str">
        <f>IFERROR(VLOOKUP(E19,PROVEEDORES!$A$3:$G$42,2,0),"")</f>
        <v>ESPECIES</v>
      </c>
      <c r="G19" s="69" t="str">
        <f>IFERROR(VLOOKUP(E19,PROVEEDORES!$A$3:$G$42,4,0),"")</f>
        <v>chef@gourmetselect.cl,contabilidad@gourmetselect.cl,pedidos@gourmetselect.cl,info@gourmetselect.cl</v>
      </c>
      <c r="H19" s="18" t="str">
        <f>IFERROR(VLOOKUP(E19,PROVEEDORES!$A$3:$G$42,5,0),"")</f>
        <v>56944921093</v>
      </c>
      <c r="I19" s="19">
        <v>18000</v>
      </c>
      <c r="J19" s="67" t="s">
        <v>35</v>
      </c>
      <c r="K19" s="68" t="str">
        <f>IFERROR(VLOOKUP(J19,PROVEEDORES!$A$3:$G$42,2,0),"")</f>
        <v>ABARROTES</v>
      </c>
      <c r="L19" s="69" t="str">
        <f>IFERROR(VLOOKUP(J19,PROVEEDORES!$A$3:$G$42,4,0),"")</f>
        <v>pagos@bidfood.cl,pmolina@bidfood.cl</v>
      </c>
      <c r="M19" s="18" t="str">
        <f>IFERROR(VLOOKUP(J19,PROVEEDORES!$A$3:$G$42,5,0),"")</f>
        <v>56225994444 - 56998038459</v>
      </c>
      <c r="N19" s="19">
        <v>24696</v>
      </c>
      <c r="O19" s="67" t="s">
        <v>41</v>
      </c>
      <c r="P19" s="68" t="str">
        <f>IFERROR(VLOOKUP(O19,PROVEEDORES!$A$3:$G$42,2,0),"")</f>
        <v>FRUTAS Y VERDURAS</v>
      </c>
      <c r="Q19" s="69" t="str">
        <f>IFERROR(VLOOKUP(O19,PROVEEDORES!$A$3:$G$42,4,0),"")</f>
        <v>caseritaencasa@gmail.com</v>
      </c>
      <c r="R19" s="18" t="str">
        <f>IFERROR(VLOOKUP(O19,PROVEEDORES!$A$3:$G$42,5,0),"")</f>
        <v>56952069703</v>
      </c>
      <c r="S19" s="19">
        <v>37404</v>
      </c>
      <c r="T19" s="20">
        <f t="shared" si="0"/>
        <v>26700</v>
      </c>
      <c r="U19" s="21">
        <f t="shared" si="1"/>
        <v>29370.000000000004</v>
      </c>
    </row>
    <row r="20" spans="1:21" ht="15" customHeight="1" x14ac:dyDescent="0.35">
      <c r="A20" s="6" t="s">
        <v>207</v>
      </c>
      <c r="B20" s="7" t="s">
        <v>224</v>
      </c>
      <c r="C20" s="8" t="s">
        <v>219</v>
      </c>
      <c r="D20" s="9">
        <v>1.025E-2</v>
      </c>
      <c r="E20" s="64" t="s">
        <v>105</v>
      </c>
      <c r="F20" s="65" t="str">
        <f>IFERROR(VLOOKUP(E20,PROVEEDORES!$A$3:$G$42,2,0),"")</f>
        <v>ESPECIES</v>
      </c>
      <c r="G20" s="66" t="str">
        <f>IFERROR(VLOOKUP(E20,PROVEEDORES!$A$3:$G$42,4,0),"")</f>
        <v>chef@gourmetselect.cl,contabilidad@gourmetselect.cl,pedidos@gourmetselect.cl,info@gourmetselect.cl</v>
      </c>
      <c r="H20" s="10" t="str">
        <f>IFERROR(VLOOKUP(E20,PROVEEDORES!$A$3:$G$42,5,0),"")</f>
        <v>56944921093</v>
      </c>
      <c r="I20" s="11">
        <v>14040</v>
      </c>
      <c r="J20" s="64" t="s">
        <v>35</v>
      </c>
      <c r="K20" s="65" t="str">
        <f>IFERROR(VLOOKUP(J20,PROVEEDORES!$A$3:$G$42,2,0),"")</f>
        <v>ABARROTES</v>
      </c>
      <c r="L20" s="66" t="str">
        <f>IFERROR(VLOOKUP(J20,PROVEEDORES!$A$3:$G$42,4,0),"")</f>
        <v>pagos@bidfood.cl,pmolina@bidfood.cl</v>
      </c>
      <c r="M20" s="10" t="str">
        <f>IFERROR(VLOOKUP(J20,PROVEEDORES!$A$3:$G$42,5,0),"")</f>
        <v>56225994444 - 56998038459</v>
      </c>
      <c r="N20" s="11">
        <v>11597</v>
      </c>
      <c r="O20" s="64" t="s">
        <v>41</v>
      </c>
      <c r="P20" s="65" t="str">
        <f>IFERROR(VLOOKUP(O20,PROVEEDORES!$A$3:$G$42,2,0),"")</f>
        <v>FRUTAS Y VERDURAS</v>
      </c>
      <c r="Q20" s="66" t="str">
        <f>IFERROR(VLOOKUP(O20,PROVEEDORES!$A$3:$G$42,4,0),"")</f>
        <v>caseritaencasa@gmail.com</v>
      </c>
      <c r="R20" s="10" t="str">
        <f>IFERROR(VLOOKUP(O20,PROVEEDORES!$A$3:$G$42,5,0),"")</f>
        <v>56952069703</v>
      </c>
      <c r="S20" s="11">
        <v>6287</v>
      </c>
      <c r="T20" s="12">
        <f t="shared" si="0"/>
        <v>10641.333333333334</v>
      </c>
      <c r="U20" s="13">
        <f t="shared" si="1"/>
        <v>11705.466666666669</v>
      </c>
    </row>
    <row r="21" spans="1:21" ht="15" customHeight="1" x14ac:dyDescent="0.35">
      <c r="A21" s="14" t="s">
        <v>207</v>
      </c>
      <c r="B21" s="15" t="s">
        <v>225</v>
      </c>
      <c r="C21" s="16" t="s">
        <v>219</v>
      </c>
      <c r="D21" s="17">
        <v>1.7874999999999999E-2</v>
      </c>
      <c r="E21" s="67" t="s">
        <v>105</v>
      </c>
      <c r="F21" s="68" t="str">
        <f>IFERROR(VLOOKUP(E21,PROVEEDORES!$A$3:$G$42,2,0),"")</f>
        <v>ESPECIES</v>
      </c>
      <c r="G21" s="69" t="str">
        <f>IFERROR(VLOOKUP(E21,PROVEEDORES!$A$3:$G$42,4,0),"")</f>
        <v>chef@gourmetselect.cl,contabilidad@gourmetselect.cl,pedidos@gourmetselect.cl,info@gourmetselect.cl</v>
      </c>
      <c r="H21" s="18" t="str">
        <f>IFERROR(VLOOKUP(E21,PROVEEDORES!$A$3:$G$42,5,0),"")</f>
        <v>56944921093</v>
      </c>
      <c r="I21" s="19">
        <v>81000</v>
      </c>
      <c r="J21" s="67" t="s">
        <v>35</v>
      </c>
      <c r="K21" s="68" t="str">
        <f>IFERROR(VLOOKUP(J21,PROVEEDORES!$A$3:$G$42,2,0),"")</f>
        <v>ABARROTES</v>
      </c>
      <c r="L21" s="69" t="str">
        <f>IFERROR(VLOOKUP(J21,PROVEEDORES!$A$3:$G$42,4,0),"")</f>
        <v>pagos@bidfood.cl,pmolina@bidfood.cl</v>
      </c>
      <c r="M21" s="18" t="str">
        <f>IFERROR(VLOOKUP(J21,PROVEEDORES!$A$3:$G$42,5,0),"")</f>
        <v>56225994444 - 56998038459</v>
      </c>
      <c r="N21" s="19">
        <v>49167</v>
      </c>
      <c r="O21" s="67" t="s">
        <v>41</v>
      </c>
      <c r="P21" s="68" t="str">
        <f>IFERROR(VLOOKUP(O21,PROVEEDORES!$A$3:$G$42,2,0),"")</f>
        <v>FRUTAS Y VERDURAS</v>
      </c>
      <c r="Q21" s="69" t="str">
        <f>IFERROR(VLOOKUP(O21,PROVEEDORES!$A$3:$G$42,4,0),"")</f>
        <v>caseritaencasa@gmail.com</v>
      </c>
      <c r="R21" s="18" t="str">
        <f>IFERROR(VLOOKUP(O21,PROVEEDORES!$A$3:$G$42,5,0),"")</f>
        <v>56952069703</v>
      </c>
      <c r="S21" s="19">
        <v>117175</v>
      </c>
      <c r="T21" s="20">
        <f t="shared" si="0"/>
        <v>82447.333333333328</v>
      </c>
      <c r="U21" s="21">
        <f t="shared" si="1"/>
        <v>90692.066666666666</v>
      </c>
    </row>
    <row r="22" spans="1:21" ht="15" customHeight="1" x14ac:dyDescent="0.35">
      <c r="A22" s="6" t="s">
        <v>207</v>
      </c>
      <c r="B22" s="7" t="s">
        <v>226</v>
      </c>
      <c r="C22" s="8" t="s">
        <v>219</v>
      </c>
      <c r="D22" s="9">
        <v>0.13100000000000001</v>
      </c>
      <c r="E22" s="64" t="s">
        <v>41</v>
      </c>
      <c r="F22" s="65" t="str">
        <f>IFERROR(VLOOKUP(E22,PROVEEDORES!$A$3:$G$42,2,0),"")</f>
        <v>FRUTAS Y VERDURAS</v>
      </c>
      <c r="G22" s="66" t="str">
        <f>IFERROR(VLOOKUP(E22,PROVEEDORES!$A$3:$G$42,4,0),"")</f>
        <v>caseritaencasa@gmail.com</v>
      </c>
      <c r="H22" s="10" t="str">
        <f>IFERROR(VLOOKUP(E22,PROVEEDORES!$A$3:$G$42,5,0),"")</f>
        <v>56952069703</v>
      </c>
      <c r="I22" s="11">
        <v>7336</v>
      </c>
      <c r="J22" s="64" t="s">
        <v>35</v>
      </c>
      <c r="K22" s="65" t="str">
        <f>IFERROR(VLOOKUP(J22,PROVEEDORES!$A$3:$G$42,2,0),"")</f>
        <v>ABARROTES</v>
      </c>
      <c r="L22" s="66" t="str">
        <f>IFERROR(VLOOKUP(J22,PROVEEDORES!$A$3:$G$42,4,0),"")</f>
        <v>pagos@bidfood.cl,pmolina@bidfood.cl</v>
      </c>
      <c r="M22" s="10" t="str">
        <f>IFERROR(VLOOKUP(J22,PROVEEDORES!$A$3:$G$42,5,0),"")</f>
        <v>56225994444 - 56998038459</v>
      </c>
      <c r="N22" s="11">
        <v>11562</v>
      </c>
      <c r="O22" s="64" t="s">
        <v>105</v>
      </c>
      <c r="P22" s="65" t="str">
        <f>IFERROR(VLOOKUP(O22,PROVEEDORES!$A$3:$G$42,2,0),"")</f>
        <v>ESPECIES</v>
      </c>
      <c r="Q22" s="66" t="str">
        <f>IFERROR(VLOOKUP(O22,PROVEEDORES!$A$3:$G$42,4,0),"")</f>
        <v>chef@gourmetselect.cl,contabilidad@gourmetselect.cl,pedidos@gourmetselect.cl,info@gourmetselect.cl</v>
      </c>
      <c r="R22" s="10" t="str">
        <f>IFERROR(VLOOKUP(O22,PROVEEDORES!$A$3:$G$42,5,0),"")</f>
        <v>56944921093</v>
      </c>
      <c r="S22" s="11">
        <v>4851</v>
      </c>
      <c r="T22" s="12">
        <f t="shared" si="0"/>
        <v>7916.333333333333</v>
      </c>
      <c r="U22" s="13">
        <f t="shared" si="1"/>
        <v>8707.9666666666672</v>
      </c>
    </row>
    <row r="23" spans="1:21" ht="15" customHeight="1" x14ac:dyDescent="0.35">
      <c r="A23" s="14" t="s">
        <v>207</v>
      </c>
      <c r="B23" s="15" t="s">
        <v>227</v>
      </c>
      <c r="C23" s="16" t="s">
        <v>219</v>
      </c>
      <c r="D23" s="17">
        <v>4.4999999999999998E-2</v>
      </c>
      <c r="E23" s="67" t="s">
        <v>41</v>
      </c>
      <c r="F23" s="68" t="str">
        <f>IFERROR(VLOOKUP(E23,PROVEEDORES!$A$3:$G$42,2,0),"")</f>
        <v>FRUTAS Y VERDURAS</v>
      </c>
      <c r="G23" s="69" t="str">
        <f>IFERROR(VLOOKUP(E23,PROVEEDORES!$A$3:$G$42,4,0),"")</f>
        <v>caseritaencasa@gmail.com</v>
      </c>
      <c r="H23" s="18" t="str">
        <f>IFERROR(VLOOKUP(E23,PROVEEDORES!$A$3:$G$42,5,0),"")</f>
        <v>56952069703</v>
      </c>
      <c r="I23" s="19">
        <v>23604</v>
      </c>
      <c r="J23" s="67" t="s">
        <v>35</v>
      </c>
      <c r="K23" s="68" t="str">
        <f>IFERROR(VLOOKUP(J23,PROVEEDORES!$A$3:$G$42,2,0),"")</f>
        <v>ABARROTES</v>
      </c>
      <c r="L23" s="69" t="str">
        <f>IFERROR(VLOOKUP(J23,PROVEEDORES!$A$3:$G$42,4,0),"")</f>
        <v>pagos@bidfood.cl,pmolina@bidfood.cl</v>
      </c>
      <c r="M23" s="18" t="str">
        <f>IFERROR(VLOOKUP(J23,PROVEEDORES!$A$3:$G$42,5,0),"")</f>
        <v>56225994444 - 56998038459</v>
      </c>
      <c r="N23" s="19">
        <v>17762</v>
      </c>
      <c r="O23" s="67" t="s">
        <v>105</v>
      </c>
      <c r="P23" s="68" t="str">
        <f>IFERROR(VLOOKUP(O23,PROVEEDORES!$A$3:$G$42,2,0),"")</f>
        <v>ESPECIES</v>
      </c>
      <c r="Q23" s="69" t="str">
        <f>IFERROR(VLOOKUP(O23,PROVEEDORES!$A$3:$G$42,4,0),"")</f>
        <v>chef@gourmetselect.cl,contabilidad@gourmetselect.cl,pedidos@gourmetselect.cl,info@gourmetselect.cl</v>
      </c>
      <c r="R23" s="18" t="str">
        <f>IFERROR(VLOOKUP(O23,PROVEEDORES!$A$3:$G$42,5,0),"")</f>
        <v>56944921093</v>
      </c>
      <c r="S23" s="19">
        <v>35236</v>
      </c>
      <c r="T23" s="20">
        <f t="shared" si="0"/>
        <v>25534</v>
      </c>
      <c r="U23" s="21">
        <f t="shared" si="1"/>
        <v>28087.4</v>
      </c>
    </row>
    <row r="24" spans="1:21" ht="15" customHeight="1" x14ac:dyDescent="0.35">
      <c r="A24" s="6" t="s">
        <v>207</v>
      </c>
      <c r="B24" s="7" t="s">
        <v>228</v>
      </c>
      <c r="C24" s="8" t="s">
        <v>219</v>
      </c>
      <c r="D24" s="9">
        <v>1.8624999999999999E-2</v>
      </c>
      <c r="E24" s="64" t="s">
        <v>41</v>
      </c>
      <c r="F24" s="65" t="str">
        <f>IFERROR(VLOOKUP(E24,PROVEEDORES!$A$3:$G$42,2,0),"")</f>
        <v>FRUTAS Y VERDURAS</v>
      </c>
      <c r="G24" s="66" t="str">
        <f>IFERROR(VLOOKUP(E24,PROVEEDORES!$A$3:$G$42,4,0),"")</f>
        <v>caseritaencasa@gmail.com</v>
      </c>
      <c r="H24" s="10" t="str">
        <f>IFERROR(VLOOKUP(E24,PROVEEDORES!$A$3:$G$42,5,0),"")</f>
        <v>56952069703</v>
      </c>
      <c r="I24" s="11">
        <v>5236</v>
      </c>
      <c r="J24" s="64" t="s">
        <v>35</v>
      </c>
      <c r="K24" s="65" t="str">
        <f>IFERROR(VLOOKUP(J24,PROVEEDORES!$A$3:$G$42,2,0),"")</f>
        <v>ABARROTES</v>
      </c>
      <c r="L24" s="66" t="str">
        <f>IFERROR(VLOOKUP(J24,PROVEEDORES!$A$3:$G$42,4,0),"")</f>
        <v>pagos@bidfood.cl,pmolina@bidfood.cl</v>
      </c>
      <c r="M24" s="10" t="str">
        <f>IFERROR(VLOOKUP(J24,PROVEEDORES!$A$3:$G$42,5,0),"")</f>
        <v>56225994444 - 56998038459</v>
      </c>
      <c r="N24" s="11">
        <v>1882</v>
      </c>
      <c r="O24" s="64" t="s">
        <v>105</v>
      </c>
      <c r="P24" s="65" t="str">
        <f>IFERROR(VLOOKUP(O24,PROVEEDORES!$A$3:$G$42,2,0),"")</f>
        <v>ESPECIES</v>
      </c>
      <c r="Q24" s="66" t="str">
        <f>IFERROR(VLOOKUP(O24,PROVEEDORES!$A$3:$G$42,4,0),"")</f>
        <v>chef@gourmetselect.cl,contabilidad@gourmetselect.cl,pedidos@gourmetselect.cl,info@gourmetselect.cl</v>
      </c>
      <c r="R24" s="10" t="str">
        <f>IFERROR(VLOOKUP(O24,PROVEEDORES!$A$3:$G$42,5,0),"")</f>
        <v>56944921093</v>
      </c>
      <c r="S24" s="11">
        <v>8104</v>
      </c>
      <c r="T24" s="12">
        <f t="shared" si="0"/>
        <v>5074</v>
      </c>
      <c r="U24" s="13">
        <f t="shared" si="1"/>
        <v>5581.4000000000005</v>
      </c>
    </row>
    <row r="25" spans="1:21" ht="15" customHeight="1" x14ac:dyDescent="0.35">
      <c r="A25" s="14" t="s">
        <v>207</v>
      </c>
      <c r="B25" s="15" t="s">
        <v>229</v>
      </c>
      <c r="C25" s="16" t="s">
        <v>219</v>
      </c>
      <c r="D25" s="17">
        <v>0.110625</v>
      </c>
      <c r="E25" s="67" t="s">
        <v>41</v>
      </c>
      <c r="F25" s="68" t="str">
        <f>IFERROR(VLOOKUP(E25,PROVEEDORES!$A$3:$G$42,2,0),"")</f>
        <v>FRUTAS Y VERDURAS</v>
      </c>
      <c r="G25" s="69" t="str">
        <f>IFERROR(VLOOKUP(E25,PROVEEDORES!$A$3:$G$42,4,0),"")</f>
        <v>caseritaencasa@gmail.com</v>
      </c>
      <c r="H25" s="18" t="str">
        <f>IFERROR(VLOOKUP(E25,PROVEEDORES!$A$3:$G$42,5,0),"")</f>
        <v>56952069703</v>
      </c>
      <c r="I25" s="19">
        <v>3034</v>
      </c>
      <c r="J25" s="67" t="s">
        <v>35</v>
      </c>
      <c r="K25" s="68" t="str">
        <f>IFERROR(VLOOKUP(J25,PROVEEDORES!$A$3:$G$42,2,0),"")</f>
        <v>ABARROTES</v>
      </c>
      <c r="L25" s="69" t="str">
        <f>IFERROR(VLOOKUP(J25,PROVEEDORES!$A$3:$G$42,4,0),"")</f>
        <v>pagos@bidfood.cl,pmolina@bidfood.cl</v>
      </c>
      <c r="M25" s="18" t="str">
        <f>IFERROR(VLOOKUP(J25,PROVEEDORES!$A$3:$G$42,5,0),"")</f>
        <v>56225994444 - 56998038459</v>
      </c>
      <c r="N25" s="19">
        <v>4577</v>
      </c>
      <c r="O25" s="67" t="s">
        <v>105</v>
      </c>
      <c r="P25" s="68" t="str">
        <f>IFERROR(VLOOKUP(O25,PROVEEDORES!$A$3:$G$42,2,0),"")</f>
        <v>ESPECIES</v>
      </c>
      <c r="Q25" s="69" t="str">
        <f>IFERROR(VLOOKUP(O25,PROVEEDORES!$A$3:$G$42,4,0),"")</f>
        <v>chef@gourmetselect.cl,contabilidad@gourmetselect.cl,pedidos@gourmetselect.cl,info@gourmetselect.cl</v>
      </c>
      <c r="R25" s="18" t="str">
        <f>IFERROR(VLOOKUP(O25,PROVEEDORES!$A$3:$G$42,5,0),"")</f>
        <v>56944921093</v>
      </c>
      <c r="S25" s="19">
        <v>5644</v>
      </c>
      <c r="T25" s="20">
        <f t="shared" si="0"/>
        <v>4418.333333333333</v>
      </c>
      <c r="U25" s="21">
        <f t="shared" si="1"/>
        <v>4860.166666666667</v>
      </c>
    </row>
    <row r="26" spans="1:21" ht="15" customHeight="1" x14ac:dyDescent="0.35">
      <c r="A26" s="6" t="s">
        <v>207</v>
      </c>
      <c r="B26" s="7" t="s">
        <v>230</v>
      </c>
      <c r="C26" s="8" t="s">
        <v>219</v>
      </c>
      <c r="D26" s="9">
        <v>6.2500000000000003E-3</v>
      </c>
      <c r="E26" s="64" t="s">
        <v>41</v>
      </c>
      <c r="F26" s="65" t="str">
        <f>IFERROR(VLOOKUP(E26,PROVEEDORES!$A$3:$G$42,2,0),"")</f>
        <v>FRUTAS Y VERDURAS</v>
      </c>
      <c r="G26" s="66" t="str">
        <f>IFERROR(VLOOKUP(E26,PROVEEDORES!$A$3:$G$42,4,0),"")</f>
        <v>caseritaencasa@gmail.com</v>
      </c>
      <c r="H26" s="10" t="str">
        <f>IFERROR(VLOOKUP(E26,PROVEEDORES!$A$3:$G$42,5,0),"")</f>
        <v>56952069703</v>
      </c>
      <c r="I26" s="11">
        <v>17000</v>
      </c>
      <c r="J26" s="64" t="s">
        <v>35</v>
      </c>
      <c r="K26" s="65" t="str">
        <f>IFERROR(VLOOKUP(J26,PROVEEDORES!$A$3:$G$42,2,0),"")</f>
        <v>ABARROTES</v>
      </c>
      <c r="L26" s="66" t="str">
        <f>IFERROR(VLOOKUP(J26,PROVEEDORES!$A$3:$G$42,4,0),"")</f>
        <v>pagos@bidfood.cl,pmolina@bidfood.cl</v>
      </c>
      <c r="M26" s="10" t="str">
        <f>IFERROR(VLOOKUP(J26,PROVEEDORES!$A$3:$G$42,5,0),"")</f>
        <v>56225994444 - 56998038459</v>
      </c>
      <c r="N26" s="11">
        <v>18352</v>
      </c>
      <c r="O26" s="64" t="s">
        <v>105</v>
      </c>
      <c r="P26" s="65" t="str">
        <f>IFERROR(VLOOKUP(O26,PROVEEDORES!$A$3:$G$42,2,0),"")</f>
        <v>ESPECIES</v>
      </c>
      <c r="Q26" s="66" t="str">
        <f>IFERROR(VLOOKUP(O26,PROVEEDORES!$A$3:$G$42,4,0),"")</f>
        <v>chef@gourmetselect.cl,contabilidad@gourmetselect.cl,pedidos@gourmetselect.cl,info@gourmetselect.cl</v>
      </c>
      <c r="R26" s="10" t="str">
        <f>IFERROR(VLOOKUP(O26,PROVEEDORES!$A$3:$G$42,5,0),"")</f>
        <v>56944921093</v>
      </c>
      <c r="S26" s="11">
        <v>2339</v>
      </c>
      <c r="T26" s="12">
        <f t="shared" si="0"/>
        <v>12563.666666666666</v>
      </c>
      <c r="U26" s="13">
        <f t="shared" si="1"/>
        <v>13820.033333333335</v>
      </c>
    </row>
    <row r="27" spans="1:21" ht="15" customHeight="1" x14ac:dyDescent="0.35">
      <c r="A27" s="14" t="s">
        <v>207</v>
      </c>
      <c r="B27" s="15" t="s">
        <v>231</v>
      </c>
      <c r="C27" s="16" t="s">
        <v>219</v>
      </c>
      <c r="D27" s="17">
        <v>3.4250000000000003E-2</v>
      </c>
      <c r="E27" s="67" t="s">
        <v>41</v>
      </c>
      <c r="F27" s="68" t="str">
        <f>IFERROR(VLOOKUP(E27,PROVEEDORES!$A$3:$G$42,2,0),"")</f>
        <v>FRUTAS Y VERDURAS</v>
      </c>
      <c r="G27" s="69" t="str">
        <f>IFERROR(VLOOKUP(E27,PROVEEDORES!$A$3:$G$42,4,0),"")</f>
        <v>caseritaencasa@gmail.com</v>
      </c>
      <c r="H27" s="18" t="str">
        <f>IFERROR(VLOOKUP(E27,PROVEEDORES!$A$3:$G$42,5,0),"")</f>
        <v>56952069703</v>
      </c>
      <c r="I27" s="19">
        <v>6690</v>
      </c>
      <c r="J27" s="67" t="s">
        <v>35</v>
      </c>
      <c r="K27" s="68" t="str">
        <f>IFERROR(VLOOKUP(J27,PROVEEDORES!$A$3:$G$42,2,0),"")</f>
        <v>ABARROTES</v>
      </c>
      <c r="L27" s="69" t="str">
        <f>IFERROR(VLOOKUP(J27,PROVEEDORES!$A$3:$G$42,4,0),"")</f>
        <v>pagos@bidfood.cl,pmolina@bidfood.cl</v>
      </c>
      <c r="M27" s="18" t="str">
        <f>IFERROR(VLOOKUP(J27,PROVEEDORES!$A$3:$G$42,5,0),"")</f>
        <v>56225994444 - 56998038459</v>
      </c>
      <c r="N27" s="19">
        <v>8546</v>
      </c>
      <c r="O27" s="67" t="s">
        <v>105</v>
      </c>
      <c r="P27" s="68" t="str">
        <f>IFERROR(VLOOKUP(O27,PROVEEDORES!$A$3:$G$42,2,0),"")</f>
        <v>ESPECIES</v>
      </c>
      <c r="Q27" s="69" t="str">
        <f>IFERROR(VLOOKUP(O27,PROVEEDORES!$A$3:$G$42,4,0),"")</f>
        <v>chef@gourmetselect.cl,contabilidad@gourmetselect.cl,pedidos@gourmetselect.cl,info@gourmetselect.cl</v>
      </c>
      <c r="R27" s="18" t="str">
        <f>IFERROR(VLOOKUP(O27,PROVEEDORES!$A$3:$G$42,5,0),"")</f>
        <v>56944921093</v>
      </c>
      <c r="S27" s="19">
        <v>3158</v>
      </c>
      <c r="T27" s="20">
        <f t="shared" si="0"/>
        <v>6131.333333333333</v>
      </c>
      <c r="U27" s="21">
        <f t="shared" si="1"/>
        <v>6744.4666666666672</v>
      </c>
    </row>
    <row r="28" spans="1:21" ht="15" customHeight="1" x14ac:dyDescent="0.35">
      <c r="A28" s="6" t="s">
        <v>207</v>
      </c>
      <c r="B28" s="7" t="s">
        <v>232</v>
      </c>
      <c r="C28" s="8" t="s">
        <v>209</v>
      </c>
      <c r="D28" s="9">
        <v>8.6250000000000007E-3</v>
      </c>
      <c r="E28" s="64" t="s">
        <v>41</v>
      </c>
      <c r="F28" s="65" t="str">
        <f>IFERROR(VLOOKUP(E28,PROVEEDORES!$A$3:$G$42,2,0),"")</f>
        <v>FRUTAS Y VERDURAS</v>
      </c>
      <c r="G28" s="66" t="str">
        <f>IFERROR(VLOOKUP(E28,PROVEEDORES!$A$3:$G$42,4,0),"")</f>
        <v>caseritaencasa@gmail.com</v>
      </c>
      <c r="H28" s="10" t="str">
        <f>IFERROR(VLOOKUP(E28,PROVEEDORES!$A$3:$G$42,5,0),"")</f>
        <v>56952069703</v>
      </c>
      <c r="I28" s="11">
        <v>44781</v>
      </c>
      <c r="J28" s="64" t="s">
        <v>35</v>
      </c>
      <c r="K28" s="65" t="str">
        <f>IFERROR(VLOOKUP(J28,PROVEEDORES!$A$3:$G$42,2,0),"")</f>
        <v>ABARROTES</v>
      </c>
      <c r="L28" s="66" t="str">
        <f>IFERROR(VLOOKUP(J28,PROVEEDORES!$A$3:$G$42,4,0),"")</f>
        <v>pagos@bidfood.cl,pmolina@bidfood.cl</v>
      </c>
      <c r="M28" s="10" t="str">
        <f>IFERROR(VLOOKUP(J28,PROVEEDORES!$A$3:$G$42,5,0),"")</f>
        <v>56225994444 - 56998038459</v>
      </c>
      <c r="N28" s="11">
        <v>62380</v>
      </c>
      <c r="O28" s="64" t="s">
        <v>105</v>
      </c>
      <c r="P28" s="65" t="str">
        <f>IFERROR(VLOOKUP(O28,PROVEEDORES!$A$3:$G$42,2,0),"")</f>
        <v>ESPECIES</v>
      </c>
      <c r="Q28" s="66" t="str">
        <f>IFERROR(VLOOKUP(O28,PROVEEDORES!$A$3:$G$42,4,0),"")</f>
        <v>chef@gourmetselect.cl,contabilidad@gourmetselect.cl,pedidos@gourmetselect.cl,info@gourmetselect.cl</v>
      </c>
      <c r="R28" s="10" t="str">
        <f>IFERROR(VLOOKUP(O28,PROVEEDORES!$A$3:$G$42,5,0),"")</f>
        <v>56944921093</v>
      </c>
      <c r="S28" s="11">
        <v>67539</v>
      </c>
      <c r="T28" s="12">
        <f t="shared" si="0"/>
        <v>58233.333333333336</v>
      </c>
      <c r="U28" s="13">
        <f t="shared" si="1"/>
        <v>64056.666666666672</v>
      </c>
    </row>
    <row r="29" spans="1:21" ht="15" customHeight="1" x14ac:dyDescent="0.35">
      <c r="A29" s="14" t="s">
        <v>207</v>
      </c>
      <c r="B29" s="15" t="s">
        <v>233</v>
      </c>
      <c r="C29" s="16" t="s">
        <v>219</v>
      </c>
      <c r="D29" s="17">
        <v>2.5000000000000001E-3</v>
      </c>
      <c r="E29" s="67" t="s">
        <v>41</v>
      </c>
      <c r="F29" s="68" t="str">
        <f>IFERROR(VLOOKUP(E29,PROVEEDORES!$A$3:$G$42,2,0),"")</f>
        <v>FRUTAS Y VERDURAS</v>
      </c>
      <c r="G29" s="69" t="str">
        <f>IFERROR(VLOOKUP(E29,PROVEEDORES!$A$3:$G$42,4,0),"")</f>
        <v>caseritaencasa@gmail.com</v>
      </c>
      <c r="H29" s="18" t="str">
        <f>IFERROR(VLOOKUP(E29,PROVEEDORES!$A$3:$G$42,5,0),"")</f>
        <v>56952069703</v>
      </c>
      <c r="I29" s="19">
        <v>6037</v>
      </c>
      <c r="J29" s="67" t="s">
        <v>35</v>
      </c>
      <c r="K29" s="68" t="str">
        <f>IFERROR(VLOOKUP(J29,PROVEEDORES!$A$3:$G$42,2,0),"")</f>
        <v>ABARROTES</v>
      </c>
      <c r="L29" s="69" t="str">
        <f>IFERROR(VLOOKUP(J29,PROVEEDORES!$A$3:$G$42,4,0),"")</f>
        <v>pagos@bidfood.cl,pmolina@bidfood.cl</v>
      </c>
      <c r="M29" s="18" t="str">
        <f>IFERROR(VLOOKUP(J29,PROVEEDORES!$A$3:$G$42,5,0),"")</f>
        <v>56225994444 - 56998038459</v>
      </c>
      <c r="N29" s="19">
        <v>8971</v>
      </c>
      <c r="O29" s="67" t="s">
        <v>105</v>
      </c>
      <c r="P29" s="68" t="str">
        <f>IFERROR(VLOOKUP(O29,PROVEEDORES!$A$3:$G$42,2,0),"")</f>
        <v>ESPECIES</v>
      </c>
      <c r="Q29" s="69" t="str">
        <f>IFERROR(VLOOKUP(O29,PROVEEDORES!$A$3:$G$42,4,0),"")</f>
        <v>chef@gourmetselect.cl,contabilidad@gourmetselect.cl,pedidos@gourmetselect.cl,info@gourmetselect.cl</v>
      </c>
      <c r="R29" s="18" t="str">
        <f>IFERROR(VLOOKUP(O29,PROVEEDORES!$A$3:$G$42,5,0),"")</f>
        <v>56944921093</v>
      </c>
      <c r="S29" s="19">
        <v>5439</v>
      </c>
      <c r="T29" s="20">
        <f t="shared" si="0"/>
        <v>6815.666666666667</v>
      </c>
      <c r="U29" s="21">
        <f t="shared" si="1"/>
        <v>7497.2333333333345</v>
      </c>
    </row>
    <row r="30" spans="1:21" ht="15" customHeight="1" x14ac:dyDescent="0.35">
      <c r="A30" s="6" t="s">
        <v>207</v>
      </c>
      <c r="B30" s="7" t="s">
        <v>234</v>
      </c>
      <c r="C30" s="8" t="s">
        <v>219</v>
      </c>
      <c r="D30" s="9">
        <v>2.36875E-2</v>
      </c>
      <c r="E30" s="64" t="s">
        <v>41</v>
      </c>
      <c r="F30" s="65" t="str">
        <f>IFERROR(VLOOKUP(E30,PROVEEDORES!$A$3:$G$42,2,0),"")</f>
        <v>FRUTAS Y VERDURAS</v>
      </c>
      <c r="G30" s="66" t="str">
        <f>IFERROR(VLOOKUP(E30,PROVEEDORES!$A$3:$G$42,4,0),"")</f>
        <v>caseritaencasa@gmail.com</v>
      </c>
      <c r="H30" s="10" t="str">
        <f>IFERROR(VLOOKUP(E30,PROVEEDORES!$A$3:$G$42,5,0),"")</f>
        <v>56952069703</v>
      </c>
      <c r="I30" s="11">
        <v>5926</v>
      </c>
      <c r="J30" s="64" t="s">
        <v>35</v>
      </c>
      <c r="K30" s="65" t="str">
        <f>IFERROR(VLOOKUP(J30,PROVEEDORES!$A$3:$G$42,2,0),"")</f>
        <v>ABARROTES</v>
      </c>
      <c r="L30" s="66" t="str">
        <f>IFERROR(VLOOKUP(J30,PROVEEDORES!$A$3:$G$42,4,0),"")</f>
        <v>pagos@bidfood.cl,pmolina@bidfood.cl</v>
      </c>
      <c r="M30" s="10" t="str">
        <f>IFERROR(VLOOKUP(J30,PROVEEDORES!$A$3:$G$42,5,0),"")</f>
        <v>56225994444 - 56998038459</v>
      </c>
      <c r="N30" s="11">
        <v>10210</v>
      </c>
      <c r="O30" s="64" t="s">
        <v>105</v>
      </c>
      <c r="P30" s="65" t="str">
        <f>IFERROR(VLOOKUP(O30,PROVEEDORES!$A$3:$G$42,2,0),"")</f>
        <v>ESPECIES</v>
      </c>
      <c r="Q30" s="66" t="str">
        <f>IFERROR(VLOOKUP(O30,PROVEEDORES!$A$3:$G$42,4,0),"")</f>
        <v>chef@gourmetselect.cl,contabilidad@gourmetselect.cl,pedidos@gourmetselect.cl,info@gourmetselect.cl</v>
      </c>
      <c r="R30" s="10" t="str">
        <f>IFERROR(VLOOKUP(O30,PROVEEDORES!$A$3:$G$42,5,0),"")</f>
        <v>56944921093</v>
      </c>
      <c r="S30" s="11">
        <v>8116</v>
      </c>
      <c r="T30" s="12">
        <f t="shared" si="0"/>
        <v>8084</v>
      </c>
      <c r="U30" s="13">
        <f t="shared" si="1"/>
        <v>8892.4000000000015</v>
      </c>
    </row>
    <row r="31" spans="1:21" ht="15" customHeight="1" x14ac:dyDescent="0.35">
      <c r="A31" s="14" t="s">
        <v>207</v>
      </c>
      <c r="B31" s="15" t="s">
        <v>235</v>
      </c>
      <c r="C31" s="16" t="s">
        <v>219</v>
      </c>
      <c r="D31" s="17">
        <v>1.2E-2</v>
      </c>
      <c r="E31" s="67" t="s">
        <v>41</v>
      </c>
      <c r="F31" s="68" t="str">
        <f>IFERROR(VLOOKUP(E31,PROVEEDORES!$A$3:$G$42,2,0),"")</f>
        <v>FRUTAS Y VERDURAS</v>
      </c>
      <c r="G31" s="69" t="str">
        <f>IFERROR(VLOOKUP(E31,PROVEEDORES!$A$3:$G$42,4,0),"")</f>
        <v>caseritaencasa@gmail.com</v>
      </c>
      <c r="H31" s="18" t="str">
        <f>IFERROR(VLOOKUP(E31,PROVEEDORES!$A$3:$G$42,5,0),"")</f>
        <v>56952069703</v>
      </c>
      <c r="I31" s="19">
        <v>50980</v>
      </c>
      <c r="J31" s="67" t="s">
        <v>35</v>
      </c>
      <c r="K31" s="68" t="str">
        <f>IFERROR(VLOOKUP(J31,PROVEEDORES!$A$3:$G$42,2,0),"")</f>
        <v>ABARROTES</v>
      </c>
      <c r="L31" s="69" t="str">
        <f>IFERROR(VLOOKUP(J31,PROVEEDORES!$A$3:$G$42,4,0),"")</f>
        <v>pagos@bidfood.cl,pmolina@bidfood.cl</v>
      </c>
      <c r="M31" s="18" t="str">
        <f>IFERROR(VLOOKUP(J31,PROVEEDORES!$A$3:$G$42,5,0),"")</f>
        <v>56225994444 - 56998038459</v>
      </c>
      <c r="N31" s="19">
        <v>76215</v>
      </c>
      <c r="O31" s="67" t="s">
        <v>105</v>
      </c>
      <c r="P31" s="68" t="str">
        <f>IFERROR(VLOOKUP(O31,PROVEEDORES!$A$3:$G$42,2,0),"")</f>
        <v>ESPECIES</v>
      </c>
      <c r="Q31" s="69" t="str">
        <f>IFERROR(VLOOKUP(O31,PROVEEDORES!$A$3:$G$42,4,0),"")</f>
        <v>chef@gourmetselect.cl,contabilidad@gourmetselect.cl,pedidos@gourmetselect.cl,info@gourmetselect.cl</v>
      </c>
      <c r="R31" s="18" t="str">
        <f>IFERROR(VLOOKUP(O31,PROVEEDORES!$A$3:$G$42,5,0),"")</f>
        <v>56944921093</v>
      </c>
      <c r="S31" s="19">
        <v>79131</v>
      </c>
      <c r="T31" s="20">
        <f t="shared" si="0"/>
        <v>68775.333333333328</v>
      </c>
      <c r="U31" s="21">
        <f t="shared" si="1"/>
        <v>75652.866666666669</v>
      </c>
    </row>
    <row r="32" spans="1:21" ht="15" customHeight="1" x14ac:dyDescent="0.35">
      <c r="A32" s="6" t="s">
        <v>207</v>
      </c>
      <c r="B32" s="7" t="s">
        <v>236</v>
      </c>
      <c r="C32" s="8" t="s">
        <v>219</v>
      </c>
      <c r="D32" s="9">
        <v>2.6562499999999999E-2</v>
      </c>
      <c r="E32" s="64" t="s">
        <v>41</v>
      </c>
      <c r="F32" s="65" t="str">
        <f>IFERROR(VLOOKUP(E32,PROVEEDORES!$A$3:$G$42,2,0),"")</f>
        <v>FRUTAS Y VERDURAS</v>
      </c>
      <c r="G32" s="66" t="str">
        <f>IFERROR(VLOOKUP(E32,PROVEEDORES!$A$3:$G$42,4,0),"")</f>
        <v>caseritaencasa@gmail.com</v>
      </c>
      <c r="H32" s="10" t="str">
        <f>IFERROR(VLOOKUP(E32,PROVEEDORES!$A$3:$G$42,5,0),"")</f>
        <v>56952069703</v>
      </c>
      <c r="I32" s="11">
        <v>15309</v>
      </c>
      <c r="J32" s="64" t="s">
        <v>35</v>
      </c>
      <c r="K32" s="65" t="str">
        <f>IFERROR(VLOOKUP(J32,PROVEEDORES!$A$3:$G$42,2,0),"")</f>
        <v>ABARROTES</v>
      </c>
      <c r="L32" s="66" t="str">
        <f>IFERROR(VLOOKUP(J32,PROVEEDORES!$A$3:$G$42,4,0),"")</f>
        <v>pagos@bidfood.cl,pmolina@bidfood.cl</v>
      </c>
      <c r="M32" s="10" t="str">
        <f>IFERROR(VLOOKUP(J32,PROVEEDORES!$A$3:$G$42,5,0),"")</f>
        <v>56225994444 - 56998038459</v>
      </c>
      <c r="N32" s="11">
        <v>8030</v>
      </c>
      <c r="O32" s="64" t="s">
        <v>105</v>
      </c>
      <c r="P32" s="65" t="str">
        <f>IFERROR(VLOOKUP(O32,PROVEEDORES!$A$3:$G$42,2,0),"")</f>
        <v>ESPECIES</v>
      </c>
      <c r="Q32" s="66" t="str">
        <f>IFERROR(VLOOKUP(O32,PROVEEDORES!$A$3:$G$42,4,0),"")</f>
        <v>chef@gourmetselect.cl,contabilidad@gourmetselect.cl,pedidos@gourmetselect.cl,info@gourmetselect.cl</v>
      </c>
      <c r="R32" s="10" t="str">
        <f>IFERROR(VLOOKUP(O32,PROVEEDORES!$A$3:$G$42,5,0),"")</f>
        <v>56944921093</v>
      </c>
      <c r="S32" s="11">
        <v>17195</v>
      </c>
      <c r="T32" s="12">
        <f t="shared" si="0"/>
        <v>13511.333333333334</v>
      </c>
      <c r="U32" s="13">
        <f t="shared" si="1"/>
        <v>14862.466666666669</v>
      </c>
    </row>
    <row r="33" spans="1:21" ht="15" customHeight="1" x14ac:dyDescent="0.35">
      <c r="A33" s="14" t="s">
        <v>207</v>
      </c>
      <c r="B33" s="15" t="s">
        <v>237</v>
      </c>
      <c r="C33" s="16" t="s">
        <v>219</v>
      </c>
      <c r="D33" s="17">
        <v>5.2500000000000003E-3</v>
      </c>
      <c r="E33" s="67" t="s">
        <v>41</v>
      </c>
      <c r="F33" s="68" t="str">
        <f>IFERROR(VLOOKUP(E33,PROVEEDORES!$A$3:$G$42,2,0),"")</f>
        <v>FRUTAS Y VERDURAS</v>
      </c>
      <c r="G33" s="69" t="str">
        <f>IFERROR(VLOOKUP(E33,PROVEEDORES!$A$3:$G$42,4,0),"")</f>
        <v>caseritaencasa@gmail.com</v>
      </c>
      <c r="H33" s="18" t="str">
        <f>IFERROR(VLOOKUP(E33,PROVEEDORES!$A$3:$G$42,5,0),"")</f>
        <v>56952069703</v>
      </c>
      <c r="I33" s="19">
        <v>38675</v>
      </c>
      <c r="J33" s="67" t="s">
        <v>35</v>
      </c>
      <c r="K33" s="68" t="str">
        <f>IFERROR(VLOOKUP(J33,PROVEEDORES!$A$3:$G$42,2,0),"")</f>
        <v>ABARROTES</v>
      </c>
      <c r="L33" s="69" t="str">
        <f>IFERROR(VLOOKUP(J33,PROVEEDORES!$A$3:$G$42,4,0),"")</f>
        <v>pagos@bidfood.cl,pmolina@bidfood.cl</v>
      </c>
      <c r="M33" s="18" t="str">
        <f>IFERROR(VLOOKUP(J33,PROVEEDORES!$A$3:$G$42,5,0),"")</f>
        <v>56225994444 - 56998038459</v>
      </c>
      <c r="N33" s="19">
        <v>53178</v>
      </c>
      <c r="O33" s="67" t="s">
        <v>105</v>
      </c>
      <c r="P33" s="68" t="str">
        <f>IFERROR(VLOOKUP(O33,PROVEEDORES!$A$3:$G$42,2,0),"")</f>
        <v>ESPECIES</v>
      </c>
      <c r="Q33" s="69" t="str">
        <f>IFERROR(VLOOKUP(O33,PROVEEDORES!$A$3:$G$42,4,0),"")</f>
        <v>chef@gourmetselect.cl,contabilidad@gourmetselect.cl,pedidos@gourmetselect.cl,info@gourmetselect.cl</v>
      </c>
      <c r="R33" s="18" t="str">
        <f>IFERROR(VLOOKUP(O33,PROVEEDORES!$A$3:$G$42,5,0),"")</f>
        <v>56944921093</v>
      </c>
      <c r="S33" s="19">
        <v>67008</v>
      </c>
      <c r="T33" s="20">
        <f t="shared" si="0"/>
        <v>52953.666666666664</v>
      </c>
      <c r="U33" s="21">
        <f t="shared" si="1"/>
        <v>58249.033333333333</v>
      </c>
    </row>
    <row r="34" spans="1:21" ht="15" customHeight="1" x14ac:dyDescent="0.35">
      <c r="A34" s="6" t="s">
        <v>207</v>
      </c>
      <c r="B34" s="7" t="s">
        <v>238</v>
      </c>
      <c r="C34" s="8" t="s">
        <v>239</v>
      </c>
      <c r="D34" s="9">
        <v>3.00075</v>
      </c>
      <c r="E34" s="64" t="s">
        <v>41</v>
      </c>
      <c r="F34" s="65" t="str">
        <f>IFERROR(VLOOKUP(E34,PROVEEDORES!$A$3:$G$42,2,0),"")</f>
        <v>FRUTAS Y VERDURAS</v>
      </c>
      <c r="G34" s="66" t="str">
        <f>IFERROR(VLOOKUP(E34,PROVEEDORES!$A$3:$G$42,4,0),"")</f>
        <v>caseritaencasa@gmail.com</v>
      </c>
      <c r="H34" s="10" t="str">
        <f>IFERROR(VLOOKUP(E34,PROVEEDORES!$A$3:$G$42,5,0),"")</f>
        <v>56952069703</v>
      </c>
      <c r="I34" s="11">
        <v>107</v>
      </c>
      <c r="J34" s="64" t="s">
        <v>35</v>
      </c>
      <c r="K34" s="65" t="str">
        <f>IFERROR(VLOOKUP(J34,PROVEEDORES!$A$3:$G$42,2,0),"")</f>
        <v>ABARROTES</v>
      </c>
      <c r="L34" s="66" t="str">
        <f>IFERROR(VLOOKUP(J34,PROVEEDORES!$A$3:$G$42,4,0),"")</f>
        <v>pagos@bidfood.cl,pmolina@bidfood.cl</v>
      </c>
      <c r="M34" s="10" t="str">
        <f>IFERROR(VLOOKUP(J34,PROVEEDORES!$A$3:$G$42,5,0),"")</f>
        <v>56225994444 - 56998038459</v>
      </c>
      <c r="N34" s="11">
        <v>131</v>
      </c>
      <c r="O34" s="64" t="s">
        <v>105</v>
      </c>
      <c r="P34" s="65" t="str">
        <f>IFERROR(VLOOKUP(O34,PROVEEDORES!$A$3:$G$42,2,0),"")</f>
        <v>ESPECIES</v>
      </c>
      <c r="Q34" s="66" t="str">
        <f>IFERROR(VLOOKUP(O34,PROVEEDORES!$A$3:$G$42,4,0),"")</f>
        <v>chef@gourmetselect.cl,contabilidad@gourmetselect.cl,pedidos@gourmetselect.cl,info@gourmetselect.cl</v>
      </c>
      <c r="R34" s="10" t="str">
        <f>IFERROR(VLOOKUP(O34,PROVEEDORES!$A$3:$G$42,5,0),"")</f>
        <v>56944921093</v>
      </c>
      <c r="S34" s="11">
        <v>186</v>
      </c>
      <c r="T34" s="12">
        <f t="shared" si="0"/>
        <v>141.33333333333334</v>
      </c>
      <c r="U34" s="13">
        <f t="shared" si="1"/>
        <v>155.4666666666667</v>
      </c>
    </row>
    <row r="35" spans="1:21" ht="15" customHeight="1" x14ac:dyDescent="0.35">
      <c r="A35" s="14" t="s">
        <v>207</v>
      </c>
      <c r="B35" s="15" t="s">
        <v>240</v>
      </c>
      <c r="C35" s="16" t="s">
        <v>219</v>
      </c>
      <c r="D35" s="17">
        <v>5.6249999999999998E-3</v>
      </c>
      <c r="E35" s="67" t="s">
        <v>105</v>
      </c>
      <c r="F35" s="68" t="str">
        <f>IFERROR(VLOOKUP(E35,PROVEEDORES!$A$3:$G$42,2,0),"")</f>
        <v>ESPECIES</v>
      </c>
      <c r="G35" s="69" t="str">
        <f>IFERROR(VLOOKUP(E35,PROVEEDORES!$A$3:$G$42,4,0),"")</f>
        <v>chef@gourmetselect.cl,contabilidad@gourmetselect.cl,pedidos@gourmetselect.cl,info@gourmetselect.cl</v>
      </c>
      <c r="H35" s="18" t="str">
        <f>IFERROR(VLOOKUP(E35,PROVEEDORES!$A$3:$G$42,5,0),"")</f>
        <v>56944921093</v>
      </c>
      <c r="I35" s="19">
        <v>81840</v>
      </c>
      <c r="J35" s="67" t="s">
        <v>35</v>
      </c>
      <c r="K35" s="68" t="str">
        <f>IFERROR(VLOOKUP(J35,PROVEEDORES!$A$3:$G$42,2,0),"")</f>
        <v>ABARROTES</v>
      </c>
      <c r="L35" s="69" t="str">
        <f>IFERROR(VLOOKUP(J35,PROVEEDORES!$A$3:$G$42,4,0),"")</f>
        <v>pagos@bidfood.cl,pmolina@bidfood.cl</v>
      </c>
      <c r="M35" s="18" t="str">
        <f>IFERROR(VLOOKUP(J35,PROVEEDORES!$A$3:$G$42,5,0),"")</f>
        <v>56225994444 - 56998038459</v>
      </c>
      <c r="N35" s="19">
        <v>104919</v>
      </c>
      <c r="O35" s="67" t="s">
        <v>41</v>
      </c>
      <c r="P35" s="68" t="str">
        <f>IFERROR(VLOOKUP(O35,PROVEEDORES!$A$3:$G$42,2,0),"")</f>
        <v>FRUTAS Y VERDURAS</v>
      </c>
      <c r="Q35" s="69" t="str">
        <f>IFERROR(VLOOKUP(O35,PROVEEDORES!$A$3:$G$42,4,0),"")</f>
        <v>caseritaencasa@gmail.com</v>
      </c>
      <c r="R35" s="18" t="str">
        <f>IFERROR(VLOOKUP(O35,PROVEEDORES!$A$3:$G$42,5,0),"")</f>
        <v>56952069703</v>
      </c>
      <c r="S35" s="19">
        <v>126132</v>
      </c>
      <c r="T35" s="20">
        <f t="shared" si="0"/>
        <v>104297</v>
      </c>
      <c r="U35" s="21">
        <f t="shared" si="1"/>
        <v>114726.70000000001</v>
      </c>
    </row>
    <row r="36" spans="1:21" ht="15" customHeight="1" x14ac:dyDescent="0.35">
      <c r="A36" s="6" t="s">
        <v>207</v>
      </c>
      <c r="B36" s="7" t="s">
        <v>241</v>
      </c>
      <c r="C36" s="8" t="s">
        <v>219</v>
      </c>
      <c r="D36" s="9">
        <v>0.39200000000000002</v>
      </c>
      <c r="E36" s="64" t="s">
        <v>35</v>
      </c>
      <c r="F36" s="65" t="str">
        <f>IFERROR(VLOOKUP(E36,PROVEEDORES!$A$3:$G$42,2,0),"")</f>
        <v>ABARROTES</v>
      </c>
      <c r="G36" s="66" t="str">
        <f>IFERROR(VLOOKUP(E36,PROVEEDORES!$A$3:$G$42,4,0),"")</f>
        <v>pagos@bidfood.cl,pmolina@bidfood.cl</v>
      </c>
      <c r="H36" s="10" t="str">
        <f>IFERROR(VLOOKUP(E36,PROVEEDORES!$A$3:$G$42,5,0),"")</f>
        <v>56225994444 - 56998038459</v>
      </c>
      <c r="I36" s="11">
        <v>12862</v>
      </c>
      <c r="J36" s="64" t="s">
        <v>105</v>
      </c>
      <c r="K36" s="65" t="str">
        <f>IFERROR(VLOOKUP(J36,PROVEEDORES!$A$3:$G$42,2,0),"")</f>
        <v>ESPECIES</v>
      </c>
      <c r="L36" s="66" t="str">
        <f>IFERROR(VLOOKUP(J36,PROVEEDORES!$A$3:$G$42,4,0),"")</f>
        <v>chef@gourmetselect.cl,contabilidad@gourmetselect.cl,pedidos@gourmetselect.cl,info@gourmetselect.cl</v>
      </c>
      <c r="M36" s="10" t="str">
        <f>IFERROR(VLOOKUP(J36,PROVEEDORES!$A$3:$G$42,5,0),"")</f>
        <v>56944921093</v>
      </c>
      <c r="N36" s="11">
        <v>20869</v>
      </c>
      <c r="O36" s="64" t="s">
        <v>41</v>
      </c>
      <c r="P36" s="65" t="str">
        <f>IFERROR(VLOOKUP(O36,PROVEEDORES!$A$3:$G$42,2,0),"")</f>
        <v>FRUTAS Y VERDURAS</v>
      </c>
      <c r="Q36" s="66" t="str">
        <f>IFERROR(VLOOKUP(O36,PROVEEDORES!$A$3:$G$42,4,0),"")</f>
        <v>caseritaencasa@gmail.com</v>
      </c>
      <c r="R36" s="10" t="str">
        <f>IFERROR(VLOOKUP(O36,PROVEEDORES!$A$3:$G$42,5,0),"")</f>
        <v>56952069703</v>
      </c>
      <c r="S36" s="11">
        <v>20926</v>
      </c>
      <c r="T36" s="12">
        <f t="shared" si="0"/>
        <v>18219</v>
      </c>
      <c r="U36" s="13">
        <f t="shared" si="1"/>
        <v>20040.900000000001</v>
      </c>
    </row>
    <row r="37" spans="1:21" ht="15" customHeight="1" x14ac:dyDescent="0.35">
      <c r="A37" s="14" t="s">
        <v>207</v>
      </c>
      <c r="B37" s="15" t="s">
        <v>242</v>
      </c>
      <c r="C37" s="16" t="s">
        <v>219</v>
      </c>
      <c r="D37" s="17">
        <v>1.55E-2</v>
      </c>
      <c r="E37" s="67" t="s">
        <v>105</v>
      </c>
      <c r="F37" s="68" t="str">
        <f>IFERROR(VLOOKUP(E37,PROVEEDORES!$A$3:$G$42,2,0),"")</f>
        <v>ESPECIES</v>
      </c>
      <c r="G37" s="69" t="str">
        <f>IFERROR(VLOOKUP(E37,PROVEEDORES!$A$3:$G$42,4,0),"")</f>
        <v>chef@gourmetselect.cl,contabilidad@gourmetselect.cl,pedidos@gourmetselect.cl,info@gourmetselect.cl</v>
      </c>
      <c r="H37" s="18" t="str">
        <f>IFERROR(VLOOKUP(E37,PROVEEDORES!$A$3:$G$42,5,0),"")</f>
        <v>56944921093</v>
      </c>
      <c r="I37" s="19">
        <v>23000</v>
      </c>
      <c r="J37" s="67" t="s">
        <v>35</v>
      </c>
      <c r="K37" s="68" t="str">
        <f>IFERROR(VLOOKUP(J37,PROVEEDORES!$A$3:$G$42,2,0),"")</f>
        <v>ABARROTES</v>
      </c>
      <c r="L37" s="69" t="str">
        <f>IFERROR(VLOOKUP(J37,PROVEEDORES!$A$3:$G$42,4,0),"")</f>
        <v>pagos@bidfood.cl,pmolina@bidfood.cl</v>
      </c>
      <c r="M37" s="18" t="str">
        <f>IFERROR(VLOOKUP(J37,PROVEEDORES!$A$3:$G$42,5,0),"")</f>
        <v>56225994444 - 56998038459</v>
      </c>
      <c r="N37" s="19">
        <v>30073</v>
      </c>
      <c r="O37" s="67" t="s">
        <v>41</v>
      </c>
      <c r="P37" s="68" t="str">
        <f>IFERROR(VLOOKUP(O37,PROVEEDORES!$A$3:$G$42,2,0),"")</f>
        <v>FRUTAS Y VERDURAS</v>
      </c>
      <c r="Q37" s="69" t="str">
        <f>IFERROR(VLOOKUP(O37,PROVEEDORES!$A$3:$G$42,4,0),"")</f>
        <v>caseritaencasa@gmail.com</v>
      </c>
      <c r="R37" s="18" t="str">
        <f>IFERROR(VLOOKUP(O37,PROVEEDORES!$A$3:$G$42,5,0),"")</f>
        <v>56952069703</v>
      </c>
      <c r="S37" s="19">
        <v>28768</v>
      </c>
      <c r="T37" s="20">
        <f t="shared" si="0"/>
        <v>27280.333333333332</v>
      </c>
      <c r="U37" s="21">
        <f t="shared" si="1"/>
        <v>30008.366666666669</v>
      </c>
    </row>
    <row r="38" spans="1:21" ht="15" customHeight="1" x14ac:dyDescent="0.35">
      <c r="A38" s="6" t="s">
        <v>207</v>
      </c>
      <c r="B38" s="7" t="s">
        <v>243</v>
      </c>
      <c r="C38" s="8" t="s">
        <v>219</v>
      </c>
      <c r="D38" s="9">
        <v>0.10249999999999999</v>
      </c>
      <c r="E38" s="64" t="s">
        <v>35</v>
      </c>
      <c r="F38" s="65" t="str">
        <f>IFERROR(VLOOKUP(E38,PROVEEDORES!$A$3:$G$42,2,0),"")</f>
        <v>ABARROTES</v>
      </c>
      <c r="G38" s="66" t="str">
        <f>IFERROR(VLOOKUP(E38,PROVEEDORES!$A$3:$G$42,4,0),"")</f>
        <v>pagos@bidfood.cl,pmolina@bidfood.cl</v>
      </c>
      <c r="H38" s="10" t="str">
        <f>IFERROR(VLOOKUP(E38,PROVEEDORES!$A$3:$G$42,5,0),"")</f>
        <v>56225994444 - 56998038459</v>
      </c>
      <c r="I38" s="11">
        <v>5447</v>
      </c>
      <c r="J38" s="64" t="s">
        <v>105</v>
      </c>
      <c r="K38" s="65" t="str">
        <f>IFERROR(VLOOKUP(J38,PROVEEDORES!$A$3:$G$42,2,0),"")</f>
        <v>ESPECIES</v>
      </c>
      <c r="L38" s="66" t="str">
        <f>IFERROR(VLOOKUP(J38,PROVEEDORES!$A$3:$G$42,4,0),"")</f>
        <v>chef@gourmetselect.cl,contabilidad@gourmetselect.cl,pedidos@gourmetselect.cl,info@gourmetselect.cl</v>
      </c>
      <c r="M38" s="10" t="str">
        <f>IFERROR(VLOOKUP(J38,PROVEEDORES!$A$3:$G$42,5,0),"")</f>
        <v>56944921093</v>
      </c>
      <c r="N38" s="11">
        <v>4017</v>
      </c>
      <c r="O38" s="64" t="s">
        <v>41</v>
      </c>
      <c r="P38" s="65" t="str">
        <f>IFERROR(VLOOKUP(O38,PROVEEDORES!$A$3:$G$42,2,0),"")</f>
        <v>FRUTAS Y VERDURAS</v>
      </c>
      <c r="Q38" s="66" t="str">
        <f>IFERROR(VLOOKUP(O38,PROVEEDORES!$A$3:$G$42,4,0),"")</f>
        <v>caseritaencasa@gmail.com</v>
      </c>
      <c r="R38" s="10" t="str">
        <f>IFERROR(VLOOKUP(O38,PROVEEDORES!$A$3:$G$42,5,0),"")</f>
        <v>56952069703</v>
      </c>
      <c r="S38" s="11">
        <v>-473</v>
      </c>
      <c r="T38" s="12">
        <f t="shared" si="0"/>
        <v>2997</v>
      </c>
      <c r="U38" s="13">
        <f t="shared" si="1"/>
        <v>3296.7000000000003</v>
      </c>
    </row>
    <row r="39" spans="1:21" ht="15" customHeight="1" x14ac:dyDescent="0.35">
      <c r="A39" s="14" t="s">
        <v>207</v>
      </c>
      <c r="B39" s="15" t="s">
        <v>244</v>
      </c>
      <c r="C39" s="16" t="s">
        <v>219</v>
      </c>
      <c r="D39" s="17">
        <v>7.4999999999999997E-2</v>
      </c>
      <c r="E39" s="67" t="s">
        <v>35</v>
      </c>
      <c r="F39" s="68" t="str">
        <f>IFERROR(VLOOKUP(E39,PROVEEDORES!$A$3:$G$42,2,0),"")</f>
        <v>ABARROTES</v>
      </c>
      <c r="G39" s="69" t="str">
        <f>IFERROR(VLOOKUP(E39,PROVEEDORES!$A$3:$G$42,4,0),"")</f>
        <v>pagos@bidfood.cl,pmolina@bidfood.cl</v>
      </c>
      <c r="H39" s="18" t="str">
        <f>IFERROR(VLOOKUP(E39,PROVEEDORES!$A$3:$G$42,5,0),"")</f>
        <v>56225994444 - 56998038459</v>
      </c>
      <c r="I39" s="19">
        <v>3599</v>
      </c>
      <c r="J39" s="67" t="s">
        <v>105</v>
      </c>
      <c r="K39" s="68" t="str">
        <f>IFERROR(VLOOKUP(J39,PROVEEDORES!$A$3:$G$42,2,0),"")</f>
        <v>ESPECIES</v>
      </c>
      <c r="L39" s="69" t="str">
        <f>IFERROR(VLOOKUP(J39,PROVEEDORES!$A$3:$G$42,4,0),"")</f>
        <v>chef@gourmetselect.cl,contabilidad@gourmetselect.cl,pedidos@gourmetselect.cl,info@gourmetselect.cl</v>
      </c>
      <c r="M39" s="18" t="str">
        <f>IFERROR(VLOOKUP(J39,PROVEEDORES!$A$3:$G$42,5,0),"")</f>
        <v>56944921093</v>
      </c>
      <c r="N39" s="19">
        <v>5445</v>
      </c>
      <c r="O39" s="67" t="s">
        <v>41</v>
      </c>
      <c r="P39" s="68" t="str">
        <f>IFERROR(VLOOKUP(O39,PROVEEDORES!$A$3:$G$42,2,0),"")</f>
        <v>FRUTAS Y VERDURAS</v>
      </c>
      <c r="Q39" s="69" t="str">
        <f>IFERROR(VLOOKUP(O39,PROVEEDORES!$A$3:$G$42,4,0),"")</f>
        <v>caseritaencasa@gmail.com</v>
      </c>
      <c r="R39" s="18" t="str">
        <f>IFERROR(VLOOKUP(O39,PROVEEDORES!$A$3:$G$42,5,0),"")</f>
        <v>56952069703</v>
      </c>
      <c r="S39" s="19">
        <v>1089</v>
      </c>
      <c r="T39" s="20">
        <f t="shared" si="0"/>
        <v>3377.6666666666665</v>
      </c>
      <c r="U39" s="21">
        <f t="shared" si="1"/>
        <v>3715.4333333333334</v>
      </c>
    </row>
    <row r="40" spans="1:21" ht="15" customHeight="1" x14ac:dyDescent="0.35">
      <c r="A40" s="6" t="s">
        <v>207</v>
      </c>
      <c r="B40" s="7" t="s">
        <v>245</v>
      </c>
      <c r="C40" s="8" t="s">
        <v>219</v>
      </c>
      <c r="D40" s="9">
        <v>0.2</v>
      </c>
      <c r="E40" s="64" t="s">
        <v>35</v>
      </c>
      <c r="F40" s="65" t="str">
        <f>IFERROR(VLOOKUP(E40,PROVEEDORES!$A$3:$G$42,2,0),"")</f>
        <v>ABARROTES</v>
      </c>
      <c r="G40" s="66" t="str">
        <f>IFERROR(VLOOKUP(E40,PROVEEDORES!$A$3:$G$42,4,0),"")</f>
        <v>pagos@bidfood.cl,pmolina@bidfood.cl</v>
      </c>
      <c r="H40" s="10" t="str">
        <f>IFERROR(VLOOKUP(E40,PROVEEDORES!$A$3:$G$42,5,0),"")</f>
        <v>56225994444 - 56998038459</v>
      </c>
      <c r="I40" s="11">
        <v>1668</v>
      </c>
      <c r="J40" s="64" t="s">
        <v>105</v>
      </c>
      <c r="K40" s="65" t="str">
        <f>IFERROR(VLOOKUP(J40,PROVEEDORES!$A$3:$G$42,2,0),"")</f>
        <v>ESPECIES</v>
      </c>
      <c r="L40" s="66" t="str">
        <f>IFERROR(VLOOKUP(J40,PROVEEDORES!$A$3:$G$42,4,0),"")</f>
        <v>chef@gourmetselect.cl,contabilidad@gourmetselect.cl,pedidos@gourmetselect.cl,info@gourmetselect.cl</v>
      </c>
      <c r="M40" s="10" t="str">
        <f>IFERROR(VLOOKUP(J40,PROVEEDORES!$A$3:$G$42,5,0),"")</f>
        <v>56944921093</v>
      </c>
      <c r="N40" s="11">
        <v>505</v>
      </c>
      <c r="O40" s="64" t="s">
        <v>41</v>
      </c>
      <c r="P40" s="65" t="str">
        <f>IFERROR(VLOOKUP(O40,PROVEEDORES!$A$3:$G$42,2,0),"")</f>
        <v>FRUTAS Y VERDURAS</v>
      </c>
      <c r="Q40" s="66" t="str">
        <f>IFERROR(VLOOKUP(O40,PROVEEDORES!$A$3:$G$42,4,0),"")</f>
        <v>caseritaencasa@gmail.com</v>
      </c>
      <c r="R40" s="10" t="str">
        <f>IFERROR(VLOOKUP(O40,PROVEEDORES!$A$3:$G$42,5,0),"")</f>
        <v>56952069703</v>
      </c>
      <c r="S40" s="11">
        <v>222</v>
      </c>
      <c r="T40" s="12">
        <f t="shared" si="0"/>
        <v>798.33333333333337</v>
      </c>
      <c r="U40" s="13">
        <f t="shared" si="1"/>
        <v>878.16666666666674</v>
      </c>
    </row>
    <row r="41" spans="1:21" ht="15" customHeight="1" x14ac:dyDescent="0.35">
      <c r="A41" s="14" t="s">
        <v>207</v>
      </c>
      <c r="B41" s="15" t="s">
        <v>246</v>
      </c>
      <c r="C41" s="16" t="s">
        <v>219</v>
      </c>
      <c r="D41" s="17">
        <v>0.5</v>
      </c>
      <c r="E41" s="67" t="s">
        <v>35</v>
      </c>
      <c r="F41" s="68" t="str">
        <f>IFERROR(VLOOKUP(E41,PROVEEDORES!$A$3:$G$42,2,0),"")</f>
        <v>ABARROTES</v>
      </c>
      <c r="G41" s="69" t="str">
        <f>IFERROR(VLOOKUP(E41,PROVEEDORES!$A$3:$G$42,4,0),"")</f>
        <v>pagos@bidfood.cl,pmolina@bidfood.cl</v>
      </c>
      <c r="H41" s="18" t="str">
        <f>IFERROR(VLOOKUP(E41,PROVEEDORES!$A$3:$G$42,5,0),"")</f>
        <v>56225994444 - 56998038459</v>
      </c>
      <c r="I41" s="19">
        <v>1457</v>
      </c>
      <c r="J41" s="67" t="s">
        <v>105</v>
      </c>
      <c r="K41" s="68" t="str">
        <f>IFERROR(VLOOKUP(J41,PROVEEDORES!$A$3:$G$42,2,0),"")</f>
        <v>ESPECIES</v>
      </c>
      <c r="L41" s="69" t="str">
        <f>IFERROR(VLOOKUP(J41,PROVEEDORES!$A$3:$G$42,4,0),"")</f>
        <v>chef@gourmetselect.cl,contabilidad@gourmetselect.cl,pedidos@gourmetselect.cl,info@gourmetselect.cl</v>
      </c>
      <c r="M41" s="18" t="str">
        <f>IFERROR(VLOOKUP(J41,PROVEEDORES!$A$3:$G$42,5,0),"")</f>
        <v>56944921093</v>
      </c>
      <c r="N41" s="19">
        <v>2047</v>
      </c>
      <c r="O41" s="67" t="s">
        <v>41</v>
      </c>
      <c r="P41" s="68" t="str">
        <f>IFERROR(VLOOKUP(O41,PROVEEDORES!$A$3:$G$42,2,0),"")</f>
        <v>FRUTAS Y VERDURAS</v>
      </c>
      <c r="Q41" s="69" t="str">
        <f>IFERROR(VLOOKUP(O41,PROVEEDORES!$A$3:$G$42,4,0),"")</f>
        <v>caseritaencasa@gmail.com</v>
      </c>
      <c r="R41" s="18" t="str">
        <f>IFERROR(VLOOKUP(O41,PROVEEDORES!$A$3:$G$42,5,0),"")</f>
        <v>56952069703</v>
      </c>
      <c r="S41" s="19">
        <v>2310</v>
      </c>
      <c r="T41" s="20">
        <f t="shared" si="0"/>
        <v>1938</v>
      </c>
      <c r="U41" s="21">
        <f t="shared" si="1"/>
        <v>2131.8000000000002</v>
      </c>
    </row>
    <row r="42" spans="1:21" ht="15" customHeight="1" x14ac:dyDescent="0.35">
      <c r="A42" s="6" t="s">
        <v>207</v>
      </c>
      <c r="B42" s="7" t="s">
        <v>247</v>
      </c>
      <c r="C42" s="8" t="s">
        <v>219</v>
      </c>
      <c r="D42" s="9">
        <v>0.32</v>
      </c>
      <c r="E42" s="64" t="s">
        <v>35</v>
      </c>
      <c r="F42" s="65" t="str">
        <f>IFERROR(VLOOKUP(E42,PROVEEDORES!$A$3:$G$42,2,0),"")</f>
        <v>ABARROTES</v>
      </c>
      <c r="G42" s="66" t="str">
        <f>IFERROR(VLOOKUP(E42,PROVEEDORES!$A$3:$G$42,4,0),"")</f>
        <v>pagos@bidfood.cl,pmolina@bidfood.cl</v>
      </c>
      <c r="H42" s="10" t="str">
        <f>IFERROR(VLOOKUP(E42,PROVEEDORES!$A$3:$G$42,5,0),"")</f>
        <v>56225994444 - 56998038459</v>
      </c>
      <c r="I42" s="11">
        <v>1947</v>
      </c>
      <c r="J42" s="64" t="s">
        <v>105</v>
      </c>
      <c r="K42" s="65" t="str">
        <f>IFERROR(VLOOKUP(J42,PROVEEDORES!$A$3:$G$42,2,0),"")</f>
        <v>ESPECIES</v>
      </c>
      <c r="L42" s="66" t="str">
        <f>IFERROR(VLOOKUP(J42,PROVEEDORES!$A$3:$G$42,4,0),"")</f>
        <v>chef@gourmetselect.cl,contabilidad@gourmetselect.cl,pedidos@gourmetselect.cl,info@gourmetselect.cl</v>
      </c>
      <c r="M42" s="10" t="str">
        <f>IFERROR(VLOOKUP(J42,PROVEEDORES!$A$3:$G$42,5,0),"")</f>
        <v>56944921093</v>
      </c>
      <c r="N42" s="11">
        <v>1713</v>
      </c>
      <c r="O42" s="64" t="s">
        <v>41</v>
      </c>
      <c r="P42" s="65" t="str">
        <f>IFERROR(VLOOKUP(O42,PROVEEDORES!$A$3:$G$42,2,0),"")</f>
        <v>FRUTAS Y VERDURAS</v>
      </c>
      <c r="Q42" s="66" t="str">
        <f>IFERROR(VLOOKUP(O42,PROVEEDORES!$A$3:$G$42,4,0),"")</f>
        <v>caseritaencasa@gmail.com</v>
      </c>
      <c r="R42" s="10" t="str">
        <f>IFERROR(VLOOKUP(O42,PROVEEDORES!$A$3:$G$42,5,0),"")</f>
        <v>56952069703</v>
      </c>
      <c r="S42" s="11">
        <v>2842</v>
      </c>
      <c r="T42" s="12">
        <f t="shared" si="0"/>
        <v>2167.3333333333335</v>
      </c>
      <c r="U42" s="13">
        <f t="shared" si="1"/>
        <v>2384.0666666666671</v>
      </c>
    </row>
    <row r="43" spans="1:21" ht="15" customHeight="1" x14ac:dyDescent="0.35">
      <c r="A43" s="14" t="s">
        <v>207</v>
      </c>
      <c r="B43" s="15" t="s">
        <v>248</v>
      </c>
      <c r="C43" s="16" t="s">
        <v>219</v>
      </c>
      <c r="D43" s="17">
        <v>0.22500000000000001</v>
      </c>
      <c r="E43" s="67" t="s">
        <v>35</v>
      </c>
      <c r="F43" s="68" t="str">
        <f>IFERROR(VLOOKUP(E43,PROVEEDORES!$A$3:$G$42,2,0),"")</f>
        <v>ABARROTES</v>
      </c>
      <c r="G43" s="69" t="str">
        <f>IFERROR(VLOOKUP(E43,PROVEEDORES!$A$3:$G$42,4,0),"")</f>
        <v>pagos@bidfood.cl,pmolina@bidfood.cl</v>
      </c>
      <c r="H43" s="18" t="str">
        <f>IFERROR(VLOOKUP(E43,PROVEEDORES!$A$3:$G$42,5,0),"")</f>
        <v>56225994444 - 56998038459</v>
      </c>
      <c r="I43" s="19">
        <v>1730</v>
      </c>
      <c r="J43" s="67" t="s">
        <v>105</v>
      </c>
      <c r="K43" s="68" t="str">
        <f>IFERROR(VLOOKUP(J43,PROVEEDORES!$A$3:$G$42,2,0),"")</f>
        <v>ESPECIES</v>
      </c>
      <c r="L43" s="69" t="str">
        <f>IFERROR(VLOOKUP(J43,PROVEEDORES!$A$3:$G$42,4,0),"")</f>
        <v>chef@gourmetselect.cl,contabilidad@gourmetselect.cl,pedidos@gourmetselect.cl,info@gourmetselect.cl</v>
      </c>
      <c r="M43" s="18" t="str">
        <f>IFERROR(VLOOKUP(J43,PROVEEDORES!$A$3:$G$42,5,0),"")</f>
        <v>56944921093</v>
      </c>
      <c r="N43" s="19">
        <v>2070</v>
      </c>
      <c r="O43" s="67" t="s">
        <v>41</v>
      </c>
      <c r="P43" s="68" t="str">
        <f>IFERROR(VLOOKUP(O43,PROVEEDORES!$A$3:$G$42,2,0),"")</f>
        <v>FRUTAS Y VERDURAS</v>
      </c>
      <c r="Q43" s="69" t="str">
        <f>IFERROR(VLOOKUP(O43,PROVEEDORES!$A$3:$G$42,4,0),"")</f>
        <v>caseritaencasa@gmail.com</v>
      </c>
      <c r="R43" s="18" t="str">
        <f>IFERROR(VLOOKUP(O43,PROVEEDORES!$A$3:$G$42,5,0),"")</f>
        <v>56952069703</v>
      </c>
      <c r="S43" s="19">
        <v>3443</v>
      </c>
      <c r="T43" s="20">
        <f t="shared" si="0"/>
        <v>2414.3333333333335</v>
      </c>
      <c r="U43" s="21">
        <f t="shared" si="1"/>
        <v>2655.7666666666669</v>
      </c>
    </row>
    <row r="44" spans="1:21" ht="15" customHeight="1" x14ac:dyDescent="0.35">
      <c r="A44" s="6" t="s">
        <v>207</v>
      </c>
      <c r="B44" s="7" t="s">
        <v>249</v>
      </c>
      <c r="C44" s="8" t="s">
        <v>219</v>
      </c>
      <c r="D44" s="9">
        <v>0.06</v>
      </c>
      <c r="E44" s="64" t="s">
        <v>35</v>
      </c>
      <c r="F44" s="65" t="str">
        <f>IFERROR(VLOOKUP(E44,PROVEEDORES!$A$3:$G$42,2,0),"")</f>
        <v>ABARROTES</v>
      </c>
      <c r="G44" s="66" t="str">
        <f>IFERROR(VLOOKUP(E44,PROVEEDORES!$A$3:$G$42,4,0),"")</f>
        <v>pagos@bidfood.cl,pmolina@bidfood.cl</v>
      </c>
      <c r="H44" s="10" t="str">
        <f>IFERROR(VLOOKUP(E44,PROVEEDORES!$A$3:$G$42,5,0),"")</f>
        <v>56225994444 - 56998038459</v>
      </c>
      <c r="I44" s="11">
        <v>1954</v>
      </c>
      <c r="J44" s="64" t="s">
        <v>105</v>
      </c>
      <c r="K44" s="65" t="str">
        <f>IFERROR(VLOOKUP(J44,PROVEEDORES!$A$3:$G$42,2,0),"")</f>
        <v>ESPECIES</v>
      </c>
      <c r="L44" s="66" t="str">
        <f>IFERROR(VLOOKUP(J44,PROVEEDORES!$A$3:$G$42,4,0),"")</f>
        <v>chef@gourmetselect.cl,contabilidad@gourmetselect.cl,pedidos@gourmetselect.cl,info@gourmetselect.cl</v>
      </c>
      <c r="M44" s="10" t="str">
        <f>IFERROR(VLOOKUP(J44,PROVEEDORES!$A$3:$G$42,5,0),"")</f>
        <v>56944921093</v>
      </c>
      <c r="N44" s="11">
        <v>1892</v>
      </c>
      <c r="O44" s="64" t="s">
        <v>41</v>
      </c>
      <c r="P44" s="65" t="str">
        <f>IFERROR(VLOOKUP(O44,PROVEEDORES!$A$3:$G$42,2,0),"")</f>
        <v>FRUTAS Y VERDURAS</v>
      </c>
      <c r="Q44" s="66" t="str">
        <f>IFERROR(VLOOKUP(O44,PROVEEDORES!$A$3:$G$42,4,0),"")</f>
        <v>caseritaencasa@gmail.com</v>
      </c>
      <c r="R44" s="10" t="str">
        <f>IFERROR(VLOOKUP(O44,PROVEEDORES!$A$3:$G$42,5,0),"")</f>
        <v>56952069703</v>
      </c>
      <c r="S44" s="11">
        <v>2307</v>
      </c>
      <c r="T44" s="12">
        <f t="shared" si="0"/>
        <v>2051</v>
      </c>
      <c r="U44" s="13">
        <f t="shared" si="1"/>
        <v>2256.1000000000004</v>
      </c>
    </row>
    <row r="45" spans="1:21" ht="15" customHeight="1" x14ac:dyDescent="0.35">
      <c r="A45" s="14" t="s">
        <v>207</v>
      </c>
      <c r="B45" s="15" t="s">
        <v>250</v>
      </c>
      <c r="C45" s="16" t="s">
        <v>219</v>
      </c>
      <c r="D45" s="17">
        <v>0.1</v>
      </c>
      <c r="E45" s="67" t="s">
        <v>35</v>
      </c>
      <c r="F45" s="68" t="str">
        <f>IFERROR(VLOOKUP(E45,PROVEEDORES!$A$3:$G$42,2,0),"")</f>
        <v>ABARROTES</v>
      </c>
      <c r="G45" s="69" t="str">
        <f>IFERROR(VLOOKUP(E45,PROVEEDORES!$A$3:$G$42,4,0),"")</f>
        <v>pagos@bidfood.cl,pmolina@bidfood.cl</v>
      </c>
      <c r="H45" s="18" t="str">
        <f>IFERROR(VLOOKUP(E45,PROVEEDORES!$A$3:$G$42,5,0),"")</f>
        <v>56225994444 - 56998038459</v>
      </c>
      <c r="I45" s="19">
        <v>4590</v>
      </c>
      <c r="J45" s="67" t="s">
        <v>105</v>
      </c>
      <c r="K45" s="68" t="str">
        <f>IFERROR(VLOOKUP(J45,PROVEEDORES!$A$3:$G$42,2,0),"")</f>
        <v>ESPECIES</v>
      </c>
      <c r="L45" s="69" t="str">
        <f>IFERROR(VLOOKUP(J45,PROVEEDORES!$A$3:$G$42,4,0),"")</f>
        <v>chef@gourmetselect.cl,contabilidad@gourmetselect.cl,pedidos@gourmetselect.cl,info@gourmetselect.cl</v>
      </c>
      <c r="M45" s="18" t="str">
        <f>IFERROR(VLOOKUP(J45,PROVEEDORES!$A$3:$G$42,5,0),"")</f>
        <v>56944921093</v>
      </c>
      <c r="N45" s="19">
        <v>6504</v>
      </c>
      <c r="O45" s="67" t="s">
        <v>41</v>
      </c>
      <c r="P45" s="68" t="str">
        <f>IFERROR(VLOOKUP(O45,PROVEEDORES!$A$3:$G$42,2,0),"")</f>
        <v>FRUTAS Y VERDURAS</v>
      </c>
      <c r="Q45" s="69" t="str">
        <f>IFERROR(VLOOKUP(O45,PROVEEDORES!$A$3:$G$42,4,0),"")</f>
        <v>caseritaencasa@gmail.com</v>
      </c>
      <c r="R45" s="18" t="str">
        <f>IFERROR(VLOOKUP(O45,PROVEEDORES!$A$3:$G$42,5,0),"")</f>
        <v>56952069703</v>
      </c>
      <c r="S45" s="19">
        <v>8609</v>
      </c>
      <c r="T45" s="20">
        <f t="shared" si="0"/>
        <v>6567.666666666667</v>
      </c>
      <c r="U45" s="21">
        <f t="shared" si="1"/>
        <v>7224.4333333333343</v>
      </c>
    </row>
    <row r="46" spans="1:21" ht="15" customHeight="1" x14ac:dyDescent="0.35">
      <c r="A46" s="6" t="s">
        <v>207</v>
      </c>
      <c r="B46" s="7" t="s">
        <v>251</v>
      </c>
      <c r="C46" s="8" t="s">
        <v>219</v>
      </c>
      <c r="D46" s="9">
        <v>0.12</v>
      </c>
      <c r="E46" s="64" t="s">
        <v>41</v>
      </c>
      <c r="F46" s="65" t="str">
        <f>IFERROR(VLOOKUP(E46,PROVEEDORES!$A$3:$G$42,2,0),"")</f>
        <v>FRUTAS Y VERDURAS</v>
      </c>
      <c r="G46" s="66" t="str">
        <f>IFERROR(VLOOKUP(E46,PROVEEDORES!$A$3:$G$42,4,0),"")</f>
        <v>caseritaencasa@gmail.com</v>
      </c>
      <c r="H46" s="10" t="str">
        <f>IFERROR(VLOOKUP(E46,PROVEEDORES!$A$3:$G$42,5,0),"")</f>
        <v>56952069703</v>
      </c>
      <c r="I46" s="11">
        <v>25000</v>
      </c>
      <c r="J46" s="64" t="s">
        <v>35</v>
      </c>
      <c r="K46" s="65" t="str">
        <f>IFERROR(VLOOKUP(J46,PROVEEDORES!$A$3:$G$42,2,0),"")</f>
        <v>ABARROTES</v>
      </c>
      <c r="L46" s="66" t="str">
        <f>IFERROR(VLOOKUP(J46,PROVEEDORES!$A$3:$G$42,4,0),"")</f>
        <v>pagos@bidfood.cl,pmolina@bidfood.cl</v>
      </c>
      <c r="M46" s="10" t="str">
        <f>IFERROR(VLOOKUP(J46,PROVEEDORES!$A$3:$G$42,5,0),"")</f>
        <v>56225994444 - 56998038459</v>
      </c>
      <c r="N46" s="11">
        <v>8088</v>
      </c>
      <c r="O46" s="64" t="s">
        <v>105</v>
      </c>
      <c r="P46" s="65" t="str">
        <f>IFERROR(VLOOKUP(O46,PROVEEDORES!$A$3:$G$42,2,0),"")</f>
        <v>ESPECIES</v>
      </c>
      <c r="Q46" s="66" t="str">
        <f>IFERROR(VLOOKUP(O46,PROVEEDORES!$A$3:$G$42,4,0),"")</f>
        <v>chef@gourmetselect.cl,contabilidad@gourmetselect.cl,pedidos@gourmetselect.cl,info@gourmetselect.cl</v>
      </c>
      <c r="R46" s="10" t="str">
        <f>IFERROR(VLOOKUP(O46,PROVEEDORES!$A$3:$G$42,5,0),"")</f>
        <v>56944921093</v>
      </c>
      <c r="S46" s="11">
        <v>-1675</v>
      </c>
      <c r="T46" s="12">
        <f t="shared" si="0"/>
        <v>10471</v>
      </c>
      <c r="U46" s="13">
        <f t="shared" si="1"/>
        <v>11518.1</v>
      </c>
    </row>
    <row r="47" spans="1:21" ht="15" customHeight="1" x14ac:dyDescent="0.35">
      <c r="A47" s="14" t="s">
        <v>207</v>
      </c>
      <c r="B47" s="15" t="s">
        <v>252</v>
      </c>
      <c r="C47" s="16" t="s">
        <v>219</v>
      </c>
      <c r="D47" s="17">
        <v>3.875E-2</v>
      </c>
      <c r="E47" s="67" t="s">
        <v>35</v>
      </c>
      <c r="F47" s="68" t="str">
        <f>IFERROR(VLOOKUP(E47,PROVEEDORES!$A$3:$G$42,2,0),"")</f>
        <v>ABARROTES</v>
      </c>
      <c r="G47" s="69" t="str">
        <f>IFERROR(VLOOKUP(E47,PROVEEDORES!$A$3:$G$42,4,0),"")</f>
        <v>pagos@bidfood.cl,pmolina@bidfood.cl</v>
      </c>
      <c r="H47" s="18" t="str">
        <f>IFERROR(VLOOKUP(E47,PROVEEDORES!$A$3:$G$42,5,0),"")</f>
        <v>56225994444 - 56998038459</v>
      </c>
      <c r="I47" s="19">
        <v>7498</v>
      </c>
      <c r="J47" s="67" t="s">
        <v>105</v>
      </c>
      <c r="K47" s="68" t="str">
        <f>IFERROR(VLOOKUP(J47,PROVEEDORES!$A$3:$G$42,2,0),"")</f>
        <v>ESPECIES</v>
      </c>
      <c r="L47" s="69" t="str">
        <f>IFERROR(VLOOKUP(J47,PROVEEDORES!$A$3:$G$42,4,0),"")</f>
        <v>chef@gourmetselect.cl,contabilidad@gourmetselect.cl,pedidos@gourmetselect.cl,info@gourmetselect.cl</v>
      </c>
      <c r="M47" s="18" t="str">
        <f>IFERROR(VLOOKUP(J47,PROVEEDORES!$A$3:$G$42,5,0),"")</f>
        <v>56944921093</v>
      </c>
      <c r="N47" s="19">
        <v>5676</v>
      </c>
      <c r="O47" s="67" t="s">
        <v>41</v>
      </c>
      <c r="P47" s="68" t="str">
        <f>IFERROR(VLOOKUP(O47,PROVEEDORES!$A$3:$G$42,2,0),"")</f>
        <v>FRUTAS Y VERDURAS</v>
      </c>
      <c r="Q47" s="69" t="str">
        <f>IFERROR(VLOOKUP(O47,PROVEEDORES!$A$3:$G$42,4,0),"")</f>
        <v>caseritaencasa@gmail.com</v>
      </c>
      <c r="R47" s="18" t="str">
        <f>IFERROR(VLOOKUP(O47,PROVEEDORES!$A$3:$G$42,5,0),"")</f>
        <v>56952069703</v>
      </c>
      <c r="S47" s="19">
        <v>4760</v>
      </c>
      <c r="T47" s="20">
        <f t="shared" si="0"/>
        <v>5978</v>
      </c>
      <c r="U47" s="21">
        <f t="shared" si="1"/>
        <v>6575.8</v>
      </c>
    </row>
    <row r="48" spans="1:21" ht="15" customHeight="1" x14ac:dyDescent="0.35">
      <c r="A48" s="6" t="s">
        <v>207</v>
      </c>
      <c r="B48" s="7" t="s">
        <v>253</v>
      </c>
      <c r="C48" s="8" t="s">
        <v>219</v>
      </c>
      <c r="D48" s="9">
        <v>0.05</v>
      </c>
      <c r="E48" s="64" t="s">
        <v>35</v>
      </c>
      <c r="F48" s="65" t="str">
        <f>IFERROR(VLOOKUP(E48,PROVEEDORES!$A$3:$G$42,2,0),"")</f>
        <v>ABARROTES</v>
      </c>
      <c r="G48" s="66" t="str">
        <f>IFERROR(VLOOKUP(E48,PROVEEDORES!$A$3:$G$42,4,0),"")</f>
        <v>pagos@bidfood.cl,pmolina@bidfood.cl</v>
      </c>
      <c r="H48" s="10" t="str">
        <f>IFERROR(VLOOKUP(E48,PROVEEDORES!$A$3:$G$42,5,0),"")</f>
        <v>56225994444 - 56998038459</v>
      </c>
      <c r="I48" s="11">
        <v>3599</v>
      </c>
      <c r="J48" s="64" t="s">
        <v>105</v>
      </c>
      <c r="K48" s="65" t="str">
        <f>IFERROR(VLOOKUP(J48,PROVEEDORES!$A$3:$G$42,2,0),"")</f>
        <v>ESPECIES</v>
      </c>
      <c r="L48" s="66" t="str">
        <f>IFERROR(VLOOKUP(J48,PROVEEDORES!$A$3:$G$42,4,0),"")</f>
        <v>chef@gourmetselect.cl,contabilidad@gourmetselect.cl,pedidos@gourmetselect.cl,info@gourmetselect.cl</v>
      </c>
      <c r="M48" s="10" t="str">
        <f>IFERROR(VLOOKUP(J48,PROVEEDORES!$A$3:$G$42,5,0),"")</f>
        <v>56944921093</v>
      </c>
      <c r="N48" s="11">
        <v>1596</v>
      </c>
      <c r="O48" s="64" t="s">
        <v>41</v>
      </c>
      <c r="P48" s="65" t="str">
        <f>IFERROR(VLOOKUP(O48,PROVEEDORES!$A$3:$G$42,2,0),"")</f>
        <v>FRUTAS Y VERDURAS</v>
      </c>
      <c r="Q48" s="66" t="str">
        <f>IFERROR(VLOOKUP(O48,PROVEEDORES!$A$3:$G$42,4,0),"")</f>
        <v>caseritaencasa@gmail.com</v>
      </c>
      <c r="R48" s="10" t="str">
        <f>IFERROR(VLOOKUP(O48,PROVEEDORES!$A$3:$G$42,5,0),"")</f>
        <v>56952069703</v>
      </c>
      <c r="S48" s="11">
        <v>-75</v>
      </c>
      <c r="T48" s="12">
        <f t="shared" si="0"/>
        <v>1706.6666666666667</v>
      </c>
      <c r="U48" s="13">
        <f t="shared" si="1"/>
        <v>1877.3333333333335</v>
      </c>
    </row>
    <row r="49" spans="1:21" ht="15" customHeight="1" x14ac:dyDescent="0.35">
      <c r="A49" s="14" t="s">
        <v>207</v>
      </c>
      <c r="B49" s="15" t="s">
        <v>254</v>
      </c>
      <c r="C49" s="16" t="s">
        <v>239</v>
      </c>
      <c r="D49" s="17">
        <v>0.125</v>
      </c>
      <c r="E49" s="67" t="s">
        <v>35</v>
      </c>
      <c r="F49" s="68" t="str">
        <f>IFERROR(VLOOKUP(E49,PROVEEDORES!$A$3:$G$42,2,0),"")</f>
        <v>ABARROTES</v>
      </c>
      <c r="G49" s="69" t="str">
        <f>IFERROR(VLOOKUP(E49,PROVEEDORES!$A$3:$G$42,4,0),"")</f>
        <v>pagos@bidfood.cl,pmolina@bidfood.cl</v>
      </c>
      <c r="H49" s="18" t="str">
        <f>IFERROR(VLOOKUP(E49,PROVEEDORES!$A$3:$G$42,5,0),"")</f>
        <v>56225994444 - 56998038459</v>
      </c>
      <c r="I49" s="19">
        <v>8354</v>
      </c>
      <c r="J49" s="67" t="s">
        <v>105</v>
      </c>
      <c r="K49" s="68" t="str">
        <f>IFERROR(VLOOKUP(J49,PROVEEDORES!$A$3:$G$42,2,0),"")</f>
        <v>ESPECIES</v>
      </c>
      <c r="L49" s="69" t="str">
        <f>IFERROR(VLOOKUP(J49,PROVEEDORES!$A$3:$G$42,4,0),"")</f>
        <v>chef@gourmetselect.cl,contabilidad@gourmetselect.cl,pedidos@gourmetselect.cl,info@gourmetselect.cl</v>
      </c>
      <c r="M49" s="18" t="str">
        <f>IFERROR(VLOOKUP(J49,PROVEEDORES!$A$3:$G$42,5,0),"")</f>
        <v>56944921093</v>
      </c>
      <c r="N49" s="19">
        <v>11111</v>
      </c>
      <c r="O49" s="67" t="s">
        <v>41</v>
      </c>
      <c r="P49" s="68" t="str">
        <f>IFERROR(VLOOKUP(O49,PROVEEDORES!$A$3:$G$42,2,0),"")</f>
        <v>FRUTAS Y VERDURAS</v>
      </c>
      <c r="Q49" s="69" t="str">
        <f>IFERROR(VLOOKUP(O49,PROVEEDORES!$A$3:$G$42,4,0),"")</f>
        <v>caseritaencasa@gmail.com</v>
      </c>
      <c r="R49" s="18" t="str">
        <f>IFERROR(VLOOKUP(O49,PROVEEDORES!$A$3:$G$42,5,0),"")</f>
        <v>56952069703</v>
      </c>
      <c r="S49" s="19">
        <v>13096</v>
      </c>
      <c r="T49" s="20">
        <f t="shared" si="0"/>
        <v>10853.666666666666</v>
      </c>
      <c r="U49" s="21">
        <f t="shared" si="1"/>
        <v>11939.033333333333</v>
      </c>
    </row>
    <row r="50" spans="1:21" ht="15" customHeight="1" x14ac:dyDescent="0.35">
      <c r="A50" s="6" t="s">
        <v>207</v>
      </c>
      <c r="B50" s="7" t="s">
        <v>255</v>
      </c>
      <c r="C50" s="8" t="s">
        <v>219</v>
      </c>
      <c r="D50" s="9">
        <v>12.135375</v>
      </c>
      <c r="E50" s="64" t="s">
        <v>35</v>
      </c>
      <c r="F50" s="65" t="str">
        <f>IFERROR(VLOOKUP(E50,PROVEEDORES!$A$3:$G$42,2,0),"")</f>
        <v>ABARROTES</v>
      </c>
      <c r="G50" s="66" t="str">
        <f>IFERROR(VLOOKUP(E50,PROVEEDORES!$A$3:$G$42,4,0),"")</f>
        <v>pagos@bidfood.cl,pmolina@bidfood.cl</v>
      </c>
      <c r="H50" s="10" t="str">
        <f>IFERROR(VLOOKUP(E50,PROVEEDORES!$A$3:$G$42,5,0),"")</f>
        <v>56225994444 - 56998038459</v>
      </c>
      <c r="I50" s="11">
        <v>1218</v>
      </c>
      <c r="J50" s="64" t="s">
        <v>105</v>
      </c>
      <c r="K50" s="65" t="str">
        <f>IFERROR(VLOOKUP(J50,PROVEEDORES!$A$3:$G$42,2,0),"")</f>
        <v>ESPECIES</v>
      </c>
      <c r="L50" s="66" t="str">
        <f>IFERROR(VLOOKUP(J50,PROVEEDORES!$A$3:$G$42,4,0),"")</f>
        <v>chef@gourmetselect.cl,contabilidad@gourmetselect.cl,pedidos@gourmetselect.cl,info@gourmetselect.cl</v>
      </c>
      <c r="M50" s="10" t="str">
        <f>IFERROR(VLOOKUP(J50,PROVEEDORES!$A$3:$G$42,5,0),"")</f>
        <v>56944921093</v>
      </c>
      <c r="N50" s="11">
        <v>856</v>
      </c>
      <c r="O50" s="64" t="s">
        <v>41</v>
      </c>
      <c r="P50" s="65" t="str">
        <f>IFERROR(VLOOKUP(O50,PROVEEDORES!$A$3:$G$42,2,0),"")</f>
        <v>FRUTAS Y VERDURAS</v>
      </c>
      <c r="Q50" s="66" t="str">
        <f>IFERROR(VLOOKUP(O50,PROVEEDORES!$A$3:$G$42,4,0),"")</f>
        <v>caseritaencasa@gmail.com</v>
      </c>
      <c r="R50" s="10" t="str">
        <f>IFERROR(VLOOKUP(O50,PROVEEDORES!$A$3:$G$42,5,0),"")</f>
        <v>56952069703</v>
      </c>
      <c r="S50" s="11">
        <v>875</v>
      </c>
      <c r="T50" s="12">
        <f t="shared" si="0"/>
        <v>983</v>
      </c>
      <c r="U50" s="13">
        <f t="shared" si="1"/>
        <v>1081.3000000000002</v>
      </c>
    </row>
    <row r="51" spans="1:21" ht="15" customHeight="1" x14ac:dyDescent="0.35">
      <c r="A51" s="14" t="s">
        <v>207</v>
      </c>
      <c r="B51" s="15" t="s">
        <v>256</v>
      </c>
      <c r="C51" s="16" t="s">
        <v>219</v>
      </c>
      <c r="D51" s="17">
        <v>3.1191</v>
      </c>
      <c r="E51" s="67" t="s">
        <v>35</v>
      </c>
      <c r="F51" s="68" t="str">
        <f>IFERROR(VLOOKUP(E51,PROVEEDORES!$A$3:$G$42,2,0),"")</f>
        <v>ABARROTES</v>
      </c>
      <c r="G51" s="69" t="str">
        <f>IFERROR(VLOOKUP(E51,PROVEEDORES!$A$3:$G$42,4,0),"")</f>
        <v>pagos@bidfood.cl,pmolina@bidfood.cl</v>
      </c>
      <c r="H51" s="18" t="str">
        <f>IFERROR(VLOOKUP(E51,PROVEEDORES!$A$3:$G$42,5,0),"")</f>
        <v>56225994444 - 56998038459</v>
      </c>
      <c r="I51" s="19">
        <v>2908</v>
      </c>
      <c r="J51" s="67" t="s">
        <v>105</v>
      </c>
      <c r="K51" s="68" t="str">
        <f>IFERROR(VLOOKUP(J51,PROVEEDORES!$A$3:$G$42,2,0),"")</f>
        <v>ESPECIES</v>
      </c>
      <c r="L51" s="69" t="str">
        <f>IFERROR(VLOOKUP(J51,PROVEEDORES!$A$3:$G$42,4,0),"")</f>
        <v>chef@gourmetselect.cl,contabilidad@gourmetselect.cl,pedidos@gourmetselect.cl,info@gourmetselect.cl</v>
      </c>
      <c r="M51" s="18" t="str">
        <f>IFERROR(VLOOKUP(J51,PROVEEDORES!$A$3:$G$42,5,0),"")</f>
        <v>56944921093</v>
      </c>
      <c r="N51" s="19">
        <v>2712</v>
      </c>
      <c r="O51" s="67" t="s">
        <v>41</v>
      </c>
      <c r="P51" s="68" t="str">
        <f>IFERROR(VLOOKUP(O51,PROVEEDORES!$A$3:$G$42,2,0),"")</f>
        <v>FRUTAS Y VERDURAS</v>
      </c>
      <c r="Q51" s="69" t="str">
        <f>IFERROR(VLOOKUP(O51,PROVEEDORES!$A$3:$G$42,4,0),"")</f>
        <v>caseritaencasa@gmail.com</v>
      </c>
      <c r="R51" s="18" t="str">
        <f>IFERROR(VLOOKUP(O51,PROVEEDORES!$A$3:$G$42,5,0),"")</f>
        <v>56952069703</v>
      </c>
      <c r="S51" s="19">
        <v>4379</v>
      </c>
      <c r="T51" s="20">
        <f t="shared" si="0"/>
        <v>3333</v>
      </c>
      <c r="U51" s="21">
        <f t="shared" si="1"/>
        <v>3666.3</v>
      </c>
    </row>
    <row r="52" spans="1:21" ht="15" customHeight="1" x14ac:dyDescent="0.35">
      <c r="A52" s="6" t="s">
        <v>207</v>
      </c>
      <c r="B52" s="7" t="s">
        <v>257</v>
      </c>
      <c r="C52" s="8" t="s">
        <v>239</v>
      </c>
      <c r="D52" s="9">
        <v>3</v>
      </c>
      <c r="E52" s="64" t="s">
        <v>35</v>
      </c>
      <c r="F52" s="65" t="str">
        <f>IFERROR(VLOOKUP(E52,PROVEEDORES!$A$3:$G$42,2,0),"")</f>
        <v>ABARROTES</v>
      </c>
      <c r="G52" s="66" t="str">
        <f>IFERROR(VLOOKUP(E52,PROVEEDORES!$A$3:$G$42,4,0),"")</f>
        <v>pagos@bidfood.cl,pmolina@bidfood.cl</v>
      </c>
      <c r="H52" s="10" t="str">
        <f>IFERROR(VLOOKUP(E52,PROVEEDORES!$A$3:$G$42,5,0),"")</f>
        <v>56225994444 - 56998038459</v>
      </c>
      <c r="I52" s="11">
        <v>25</v>
      </c>
      <c r="J52" s="64" t="s">
        <v>105</v>
      </c>
      <c r="K52" s="65" t="str">
        <f>IFERROR(VLOOKUP(J52,PROVEEDORES!$A$3:$G$42,2,0),"")</f>
        <v>ESPECIES</v>
      </c>
      <c r="L52" s="66" t="str">
        <f>IFERROR(VLOOKUP(J52,PROVEEDORES!$A$3:$G$42,4,0),"")</f>
        <v>chef@gourmetselect.cl,contabilidad@gourmetselect.cl,pedidos@gourmetselect.cl,info@gourmetselect.cl</v>
      </c>
      <c r="M52" s="10" t="str">
        <f>IFERROR(VLOOKUP(J52,PROVEEDORES!$A$3:$G$42,5,0),"")</f>
        <v>56944921093</v>
      </c>
      <c r="N52" s="11">
        <v>9</v>
      </c>
      <c r="O52" s="64" t="s">
        <v>41</v>
      </c>
      <c r="P52" s="65" t="str">
        <f>IFERROR(VLOOKUP(O52,PROVEEDORES!$A$3:$G$42,2,0),"")</f>
        <v>FRUTAS Y VERDURAS</v>
      </c>
      <c r="Q52" s="66" t="str">
        <f>IFERROR(VLOOKUP(O52,PROVEEDORES!$A$3:$G$42,4,0),"")</f>
        <v>caseritaencasa@gmail.com</v>
      </c>
      <c r="R52" s="10" t="str">
        <f>IFERROR(VLOOKUP(O52,PROVEEDORES!$A$3:$G$42,5,0),"")</f>
        <v>56952069703</v>
      </c>
      <c r="S52" s="11">
        <v>47</v>
      </c>
      <c r="T52" s="12">
        <f t="shared" si="0"/>
        <v>27</v>
      </c>
      <c r="U52" s="13">
        <f t="shared" si="1"/>
        <v>29.700000000000003</v>
      </c>
    </row>
    <row r="53" spans="1:21" ht="15" customHeight="1" x14ac:dyDescent="0.35">
      <c r="A53" s="14" t="s">
        <v>207</v>
      </c>
      <c r="B53" s="15" t="s">
        <v>258</v>
      </c>
      <c r="C53" s="16" t="s">
        <v>219</v>
      </c>
      <c r="D53" s="17">
        <v>0.114875</v>
      </c>
      <c r="E53" s="67" t="s">
        <v>105</v>
      </c>
      <c r="F53" s="68" t="str">
        <f>IFERROR(VLOOKUP(E53,PROVEEDORES!$A$3:$G$42,2,0),"")</f>
        <v>ESPECIES</v>
      </c>
      <c r="G53" s="69" t="str">
        <f>IFERROR(VLOOKUP(E53,PROVEEDORES!$A$3:$G$42,4,0),"")</f>
        <v>chef@gourmetselect.cl,contabilidad@gourmetselect.cl,pedidos@gourmetselect.cl,info@gourmetselect.cl</v>
      </c>
      <c r="H53" s="18" t="str">
        <f>IFERROR(VLOOKUP(E53,PROVEEDORES!$A$3:$G$42,5,0),"")</f>
        <v>56944921093</v>
      </c>
      <c r="I53" s="19">
        <v>7500</v>
      </c>
      <c r="J53" s="67" t="s">
        <v>35</v>
      </c>
      <c r="K53" s="68" t="str">
        <f>IFERROR(VLOOKUP(J53,PROVEEDORES!$A$3:$G$42,2,0),"")</f>
        <v>ABARROTES</v>
      </c>
      <c r="L53" s="69" t="str">
        <f>IFERROR(VLOOKUP(J53,PROVEEDORES!$A$3:$G$42,4,0),"")</f>
        <v>pagos@bidfood.cl,pmolina@bidfood.cl</v>
      </c>
      <c r="M53" s="18" t="str">
        <f>IFERROR(VLOOKUP(J53,PROVEEDORES!$A$3:$G$42,5,0),"")</f>
        <v>56225994444 - 56998038459</v>
      </c>
      <c r="N53" s="19">
        <v>6476</v>
      </c>
      <c r="O53" s="67" t="s">
        <v>41</v>
      </c>
      <c r="P53" s="68" t="str">
        <f>IFERROR(VLOOKUP(O53,PROVEEDORES!$A$3:$G$42,2,0),"")</f>
        <v>FRUTAS Y VERDURAS</v>
      </c>
      <c r="Q53" s="69" t="str">
        <f>IFERROR(VLOOKUP(O53,PROVEEDORES!$A$3:$G$42,4,0),"")</f>
        <v>caseritaencasa@gmail.com</v>
      </c>
      <c r="R53" s="18" t="str">
        <f>IFERROR(VLOOKUP(O53,PROVEEDORES!$A$3:$G$42,5,0),"")</f>
        <v>56952069703</v>
      </c>
      <c r="S53" s="19">
        <v>3738</v>
      </c>
      <c r="T53" s="20">
        <f t="shared" si="0"/>
        <v>5904.666666666667</v>
      </c>
      <c r="U53" s="21">
        <f t="shared" si="1"/>
        <v>6495.1333333333341</v>
      </c>
    </row>
    <row r="54" spans="1:21" ht="15" customHeight="1" x14ac:dyDescent="0.35">
      <c r="A54" s="6" t="s">
        <v>207</v>
      </c>
      <c r="B54" s="7" t="s">
        <v>259</v>
      </c>
      <c r="C54" s="8" t="s">
        <v>219</v>
      </c>
      <c r="D54" s="9">
        <v>0.01</v>
      </c>
      <c r="E54" s="64" t="s">
        <v>35</v>
      </c>
      <c r="F54" s="65" t="str">
        <f>IFERROR(VLOOKUP(E54,PROVEEDORES!$A$3:$G$42,2,0),"")</f>
        <v>ABARROTES</v>
      </c>
      <c r="G54" s="66" t="str">
        <f>IFERROR(VLOOKUP(E54,PROVEEDORES!$A$3:$G$42,4,0),"")</f>
        <v>pagos@bidfood.cl,pmolina@bidfood.cl</v>
      </c>
      <c r="H54" s="10" t="str">
        <f>IFERROR(VLOOKUP(E54,PROVEEDORES!$A$3:$G$42,5,0),"")</f>
        <v>56225994444 - 56998038459</v>
      </c>
      <c r="I54" s="11">
        <v>3740</v>
      </c>
      <c r="J54" s="64" t="s">
        <v>105</v>
      </c>
      <c r="K54" s="65" t="str">
        <f>IFERROR(VLOOKUP(J54,PROVEEDORES!$A$3:$G$42,2,0),"")</f>
        <v>ESPECIES</v>
      </c>
      <c r="L54" s="66" t="str">
        <f>IFERROR(VLOOKUP(J54,PROVEEDORES!$A$3:$G$42,4,0),"")</f>
        <v>chef@gourmetselect.cl,contabilidad@gourmetselect.cl,pedidos@gourmetselect.cl,info@gourmetselect.cl</v>
      </c>
      <c r="M54" s="10" t="str">
        <f>IFERROR(VLOOKUP(J54,PROVEEDORES!$A$3:$G$42,5,0),"")</f>
        <v>56944921093</v>
      </c>
      <c r="N54" s="11">
        <v>3005</v>
      </c>
      <c r="O54" s="64" t="s">
        <v>41</v>
      </c>
      <c r="P54" s="65" t="str">
        <f>IFERROR(VLOOKUP(O54,PROVEEDORES!$A$3:$G$42,2,0),"")</f>
        <v>FRUTAS Y VERDURAS</v>
      </c>
      <c r="Q54" s="66" t="str">
        <f>IFERROR(VLOOKUP(O54,PROVEEDORES!$A$3:$G$42,4,0),"")</f>
        <v>caseritaencasa@gmail.com</v>
      </c>
      <c r="R54" s="10" t="str">
        <f>IFERROR(VLOOKUP(O54,PROVEEDORES!$A$3:$G$42,5,0),"")</f>
        <v>56952069703</v>
      </c>
      <c r="S54" s="11">
        <v>5394</v>
      </c>
      <c r="T54" s="12">
        <f t="shared" si="0"/>
        <v>4046.3333333333335</v>
      </c>
      <c r="U54" s="13">
        <f t="shared" si="1"/>
        <v>4450.9666666666672</v>
      </c>
    </row>
    <row r="55" spans="1:21" ht="15" customHeight="1" x14ac:dyDescent="0.35">
      <c r="A55" s="14" t="s">
        <v>207</v>
      </c>
      <c r="B55" s="15" t="s">
        <v>260</v>
      </c>
      <c r="C55" s="16" t="s">
        <v>219</v>
      </c>
      <c r="D55" s="17">
        <v>0.18275</v>
      </c>
      <c r="E55" s="67" t="s">
        <v>35</v>
      </c>
      <c r="F55" s="68" t="str">
        <f>IFERROR(VLOOKUP(E55,PROVEEDORES!$A$3:$G$42,2,0),"")</f>
        <v>ABARROTES</v>
      </c>
      <c r="G55" s="69" t="str">
        <f>IFERROR(VLOOKUP(E55,PROVEEDORES!$A$3:$G$42,4,0),"")</f>
        <v>pagos@bidfood.cl,pmolina@bidfood.cl</v>
      </c>
      <c r="H55" s="18" t="str">
        <f>IFERROR(VLOOKUP(E55,PROVEEDORES!$A$3:$G$42,5,0),"")</f>
        <v>56225994444 - 56998038459</v>
      </c>
      <c r="I55" s="19">
        <v>3175</v>
      </c>
      <c r="J55" s="67" t="s">
        <v>105</v>
      </c>
      <c r="K55" s="68" t="str">
        <f>IFERROR(VLOOKUP(J55,PROVEEDORES!$A$3:$G$42,2,0),"")</f>
        <v>ESPECIES</v>
      </c>
      <c r="L55" s="69" t="str">
        <f>IFERROR(VLOOKUP(J55,PROVEEDORES!$A$3:$G$42,4,0),"")</f>
        <v>chef@gourmetselect.cl,contabilidad@gourmetselect.cl,pedidos@gourmetselect.cl,info@gourmetselect.cl</v>
      </c>
      <c r="M55" s="18" t="str">
        <f>IFERROR(VLOOKUP(J55,PROVEEDORES!$A$3:$G$42,5,0),"")</f>
        <v>56944921093</v>
      </c>
      <c r="N55" s="19">
        <v>3475</v>
      </c>
      <c r="O55" s="67" t="s">
        <v>41</v>
      </c>
      <c r="P55" s="68" t="str">
        <f>IFERROR(VLOOKUP(O55,PROVEEDORES!$A$3:$G$42,2,0),"")</f>
        <v>FRUTAS Y VERDURAS</v>
      </c>
      <c r="Q55" s="69" t="str">
        <f>IFERROR(VLOOKUP(O55,PROVEEDORES!$A$3:$G$42,4,0),"")</f>
        <v>caseritaencasa@gmail.com</v>
      </c>
      <c r="R55" s="18" t="str">
        <f>IFERROR(VLOOKUP(O55,PROVEEDORES!$A$3:$G$42,5,0),"")</f>
        <v>56952069703</v>
      </c>
      <c r="S55" s="19">
        <v>6591</v>
      </c>
      <c r="T55" s="20">
        <f t="shared" si="0"/>
        <v>4413.666666666667</v>
      </c>
      <c r="U55" s="21">
        <f t="shared" si="1"/>
        <v>4855.0333333333338</v>
      </c>
    </row>
    <row r="56" spans="1:21" ht="15" customHeight="1" x14ac:dyDescent="0.35">
      <c r="A56" s="6" t="s">
        <v>207</v>
      </c>
      <c r="B56" s="7" t="s">
        <v>261</v>
      </c>
      <c r="C56" s="8" t="s">
        <v>219</v>
      </c>
      <c r="D56" s="9">
        <v>6.6625000000000004E-2</v>
      </c>
      <c r="E56" s="64" t="s">
        <v>35</v>
      </c>
      <c r="F56" s="65" t="str">
        <f>IFERROR(VLOOKUP(E56,PROVEEDORES!$A$3:$G$42,2,0),"")</f>
        <v>ABARROTES</v>
      </c>
      <c r="G56" s="66" t="str">
        <f>IFERROR(VLOOKUP(E56,PROVEEDORES!$A$3:$G$42,4,0),"")</f>
        <v>pagos@bidfood.cl,pmolina@bidfood.cl</v>
      </c>
      <c r="H56" s="10" t="str">
        <f>IFERROR(VLOOKUP(E56,PROVEEDORES!$A$3:$G$42,5,0),"")</f>
        <v>56225994444 - 56998038459</v>
      </c>
      <c r="I56" s="11">
        <v>2200</v>
      </c>
      <c r="J56" s="64" t="s">
        <v>105</v>
      </c>
      <c r="K56" s="65" t="str">
        <f>IFERROR(VLOOKUP(J56,PROVEEDORES!$A$3:$G$42,2,0),"")</f>
        <v>ESPECIES</v>
      </c>
      <c r="L56" s="66" t="str">
        <f>IFERROR(VLOOKUP(J56,PROVEEDORES!$A$3:$G$42,4,0),"")</f>
        <v>chef@gourmetselect.cl,contabilidad@gourmetselect.cl,pedidos@gourmetselect.cl,info@gourmetselect.cl</v>
      </c>
      <c r="M56" s="10" t="str">
        <f>IFERROR(VLOOKUP(J56,PROVEEDORES!$A$3:$G$42,5,0),"")</f>
        <v>56944921093</v>
      </c>
      <c r="N56" s="11">
        <v>1916</v>
      </c>
      <c r="O56" s="64" t="s">
        <v>41</v>
      </c>
      <c r="P56" s="65" t="str">
        <f>IFERROR(VLOOKUP(O56,PROVEEDORES!$A$3:$G$42,2,0),"")</f>
        <v>FRUTAS Y VERDURAS</v>
      </c>
      <c r="Q56" s="66" t="str">
        <f>IFERROR(VLOOKUP(O56,PROVEEDORES!$A$3:$G$42,4,0),"")</f>
        <v>caseritaencasa@gmail.com</v>
      </c>
      <c r="R56" s="10" t="str">
        <f>IFERROR(VLOOKUP(O56,PROVEEDORES!$A$3:$G$42,5,0),"")</f>
        <v>56952069703</v>
      </c>
      <c r="S56" s="11">
        <v>2074</v>
      </c>
      <c r="T56" s="12">
        <f t="shared" si="0"/>
        <v>2063.3333333333335</v>
      </c>
      <c r="U56" s="13">
        <f t="shared" si="1"/>
        <v>2269.666666666667</v>
      </c>
    </row>
    <row r="57" spans="1:21" ht="15" customHeight="1" x14ac:dyDescent="0.35">
      <c r="A57" s="14" t="s">
        <v>207</v>
      </c>
      <c r="B57" s="15" t="s">
        <v>262</v>
      </c>
      <c r="C57" s="16" t="s">
        <v>219</v>
      </c>
      <c r="D57" s="17">
        <v>0.13500000000000001</v>
      </c>
      <c r="E57" s="67" t="s">
        <v>35</v>
      </c>
      <c r="F57" s="68" t="str">
        <f>IFERROR(VLOOKUP(E57,PROVEEDORES!$A$3:$G$42,2,0),"")</f>
        <v>ABARROTES</v>
      </c>
      <c r="G57" s="69" t="str">
        <f>IFERROR(VLOOKUP(E57,PROVEEDORES!$A$3:$G$42,4,0),"")</f>
        <v>pagos@bidfood.cl,pmolina@bidfood.cl</v>
      </c>
      <c r="H57" s="18" t="str">
        <f>IFERROR(VLOOKUP(E57,PROVEEDORES!$A$3:$G$42,5,0),"")</f>
        <v>56225994444 - 56998038459</v>
      </c>
      <c r="I57" s="19">
        <v>11424</v>
      </c>
      <c r="J57" s="67" t="s">
        <v>105</v>
      </c>
      <c r="K57" s="68" t="str">
        <f>IFERROR(VLOOKUP(J57,PROVEEDORES!$A$3:$G$42,2,0),"")</f>
        <v>ESPECIES</v>
      </c>
      <c r="L57" s="69" t="str">
        <f>IFERROR(VLOOKUP(J57,PROVEEDORES!$A$3:$G$42,4,0),"")</f>
        <v>chef@gourmetselect.cl,contabilidad@gourmetselect.cl,pedidos@gourmetselect.cl,info@gourmetselect.cl</v>
      </c>
      <c r="M57" s="18" t="str">
        <f>IFERROR(VLOOKUP(J57,PROVEEDORES!$A$3:$G$42,5,0),"")</f>
        <v>56944921093</v>
      </c>
      <c r="N57" s="19">
        <v>14680</v>
      </c>
      <c r="O57" s="67" t="s">
        <v>41</v>
      </c>
      <c r="P57" s="68" t="str">
        <f>IFERROR(VLOOKUP(O57,PROVEEDORES!$A$3:$G$42,2,0),"")</f>
        <v>FRUTAS Y VERDURAS</v>
      </c>
      <c r="Q57" s="69" t="str">
        <f>IFERROR(VLOOKUP(O57,PROVEEDORES!$A$3:$G$42,4,0),"")</f>
        <v>caseritaencasa@gmail.com</v>
      </c>
      <c r="R57" s="18" t="str">
        <f>IFERROR(VLOOKUP(O57,PROVEEDORES!$A$3:$G$42,5,0),"")</f>
        <v>56952069703</v>
      </c>
      <c r="S57" s="19">
        <v>9866</v>
      </c>
      <c r="T57" s="20">
        <f t="shared" si="0"/>
        <v>11990</v>
      </c>
      <c r="U57" s="21">
        <f t="shared" si="1"/>
        <v>13189.000000000002</v>
      </c>
    </row>
    <row r="58" spans="1:21" ht="15" customHeight="1" x14ac:dyDescent="0.35">
      <c r="A58" s="6" t="s">
        <v>207</v>
      </c>
      <c r="B58" s="7" t="s">
        <v>263</v>
      </c>
      <c r="C58" s="8" t="s">
        <v>239</v>
      </c>
      <c r="D58" s="9">
        <v>3</v>
      </c>
      <c r="E58" s="64" t="s">
        <v>35</v>
      </c>
      <c r="F58" s="65" t="str">
        <f>IFERROR(VLOOKUP(E58,PROVEEDORES!$A$3:$G$42,2,0),"")</f>
        <v>ABARROTES</v>
      </c>
      <c r="G58" s="66" t="str">
        <f>IFERROR(VLOOKUP(E58,PROVEEDORES!$A$3:$G$42,4,0),"")</f>
        <v>pagos@bidfood.cl,pmolina@bidfood.cl</v>
      </c>
      <c r="H58" s="10" t="str">
        <f>IFERROR(VLOOKUP(E58,PROVEEDORES!$A$3:$G$42,5,0),"")</f>
        <v>56225994444 - 56998038459</v>
      </c>
      <c r="I58" s="11">
        <v>105</v>
      </c>
      <c r="J58" s="64" t="s">
        <v>105</v>
      </c>
      <c r="K58" s="65" t="str">
        <f>IFERROR(VLOOKUP(J58,PROVEEDORES!$A$3:$G$42,2,0),"")</f>
        <v>ESPECIES</v>
      </c>
      <c r="L58" s="66" t="str">
        <f>IFERROR(VLOOKUP(J58,PROVEEDORES!$A$3:$G$42,4,0),"")</f>
        <v>chef@gourmetselect.cl,contabilidad@gourmetselect.cl,pedidos@gourmetselect.cl,info@gourmetselect.cl</v>
      </c>
      <c r="M58" s="10" t="str">
        <f>IFERROR(VLOOKUP(J58,PROVEEDORES!$A$3:$G$42,5,0),"")</f>
        <v>56944921093</v>
      </c>
      <c r="N58" s="11">
        <v>59</v>
      </c>
      <c r="O58" s="64" t="s">
        <v>41</v>
      </c>
      <c r="P58" s="65" t="str">
        <f>IFERROR(VLOOKUP(O58,PROVEEDORES!$A$3:$G$42,2,0),"")</f>
        <v>FRUTAS Y VERDURAS</v>
      </c>
      <c r="Q58" s="66" t="str">
        <f>IFERROR(VLOOKUP(O58,PROVEEDORES!$A$3:$G$42,4,0),"")</f>
        <v>caseritaencasa@gmail.com</v>
      </c>
      <c r="R58" s="10" t="str">
        <f>IFERROR(VLOOKUP(O58,PROVEEDORES!$A$3:$G$42,5,0),"")</f>
        <v>56952069703</v>
      </c>
      <c r="S58" s="11">
        <v>120</v>
      </c>
      <c r="T58" s="12">
        <f t="shared" si="0"/>
        <v>94.666666666666671</v>
      </c>
      <c r="U58" s="13">
        <f t="shared" si="1"/>
        <v>104.13333333333334</v>
      </c>
    </row>
    <row r="59" spans="1:21" ht="15" customHeight="1" x14ac:dyDescent="0.35">
      <c r="A59" s="14" t="s">
        <v>207</v>
      </c>
      <c r="B59" s="15" t="s">
        <v>264</v>
      </c>
      <c r="C59" s="16" t="s">
        <v>219</v>
      </c>
      <c r="D59" s="17">
        <v>0.02</v>
      </c>
      <c r="E59" s="67" t="s">
        <v>35</v>
      </c>
      <c r="F59" s="68" t="str">
        <f>IFERROR(VLOOKUP(E59,PROVEEDORES!$A$3:$G$42,2,0),"")</f>
        <v>ABARROTES</v>
      </c>
      <c r="G59" s="69" t="str">
        <f>IFERROR(VLOOKUP(E59,PROVEEDORES!$A$3:$G$42,4,0),"")</f>
        <v>pagos@bidfood.cl,pmolina@bidfood.cl</v>
      </c>
      <c r="H59" s="18" t="str">
        <f>IFERROR(VLOOKUP(E59,PROVEEDORES!$A$3:$G$42,5,0),"")</f>
        <v>56225994444 - 56998038459</v>
      </c>
      <c r="I59" s="19">
        <v>26981</v>
      </c>
      <c r="J59" s="67" t="s">
        <v>105</v>
      </c>
      <c r="K59" s="68" t="str">
        <f>IFERROR(VLOOKUP(J59,PROVEEDORES!$A$3:$G$42,2,0),"")</f>
        <v>ESPECIES</v>
      </c>
      <c r="L59" s="69" t="str">
        <f>IFERROR(VLOOKUP(J59,PROVEEDORES!$A$3:$G$42,4,0),"")</f>
        <v>chef@gourmetselect.cl,contabilidad@gourmetselect.cl,pedidos@gourmetselect.cl,info@gourmetselect.cl</v>
      </c>
      <c r="M59" s="18" t="str">
        <f>IFERROR(VLOOKUP(J59,PROVEEDORES!$A$3:$G$42,5,0),"")</f>
        <v>56944921093</v>
      </c>
      <c r="N59" s="19">
        <v>25160</v>
      </c>
      <c r="O59" s="67" t="s">
        <v>41</v>
      </c>
      <c r="P59" s="68" t="str">
        <f>IFERROR(VLOOKUP(O59,PROVEEDORES!$A$3:$G$42,2,0),"")</f>
        <v>FRUTAS Y VERDURAS</v>
      </c>
      <c r="Q59" s="69" t="str">
        <f>IFERROR(VLOOKUP(O59,PROVEEDORES!$A$3:$G$42,4,0),"")</f>
        <v>caseritaencasa@gmail.com</v>
      </c>
      <c r="R59" s="18" t="str">
        <f>IFERROR(VLOOKUP(O59,PROVEEDORES!$A$3:$G$42,5,0),"")</f>
        <v>56952069703</v>
      </c>
      <c r="S59" s="19">
        <v>28524</v>
      </c>
      <c r="T59" s="20">
        <f t="shared" si="0"/>
        <v>26888.333333333332</v>
      </c>
      <c r="U59" s="21">
        <f t="shared" si="1"/>
        <v>29577.166666666668</v>
      </c>
    </row>
    <row r="60" spans="1:21" ht="15" customHeight="1" x14ac:dyDescent="0.35">
      <c r="A60" s="6" t="s">
        <v>207</v>
      </c>
      <c r="B60" s="7" t="s">
        <v>265</v>
      </c>
      <c r="C60" s="8" t="s">
        <v>219</v>
      </c>
      <c r="D60" s="9">
        <v>0.13175000000000001</v>
      </c>
      <c r="E60" s="64" t="s">
        <v>35</v>
      </c>
      <c r="F60" s="65" t="str">
        <f>IFERROR(VLOOKUP(E60,PROVEEDORES!$A$3:$G$42,2,0),"")</f>
        <v>ABARROTES</v>
      </c>
      <c r="G60" s="66" t="str">
        <f>IFERROR(VLOOKUP(E60,PROVEEDORES!$A$3:$G$42,4,0),"")</f>
        <v>pagos@bidfood.cl,pmolina@bidfood.cl</v>
      </c>
      <c r="H60" s="10" t="str">
        <f>IFERROR(VLOOKUP(E60,PROVEEDORES!$A$3:$G$42,5,0),"")</f>
        <v>56225994444 - 56998038459</v>
      </c>
      <c r="I60" s="11">
        <v>32988</v>
      </c>
      <c r="J60" s="64" t="s">
        <v>105</v>
      </c>
      <c r="K60" s="65" t="str">
        <f>IFERROR(VLOOKUP(J60,PROVEEDORES!$A$3:$G$42,2,0),"")</f>
        <v>ESPECIES</v>
      </c>
      <c r="L60" s="66" t="str">
        <f>IFERROR(VLOOKUP(J60,PROVEEDORES!$A$3:$G$42,4,0),"")</f>
        <v>chef@gourmetselect.cl,contabilidad@gourmetselect.cl,pedidos@gourmetselect.cl,info@gourmetselect.cl</v>
      </c>
      <c r="M60" s="10" t="str">
        <f>IFERROR(VLOOKUP(J60,PROVEEDORES!$A$3:$G$42,5,0),"")</f>
        <v>56944921093</v>
      </c>
      <c r="N60" s="11">
        <v>29326</v>
      </c>
      <c r="O60" s="64" t="s">
        <v>41</v>
      </c>
      <c r="P60" s="65" t="str">
        <f>IFERROR(VLOOKUP(O60,PROVEEDORES!$A$3:$G$42,2,0),"")</f>
        <v>FRUTAS Y VERDURAS</v>
      </c>
      <c r="Q60" s="66" t="str">
        <f>IFERROR(VLOOKUP(O60,PROVEEDORES!$A$3:$G$42,4,0),"")</f>
        <v>caseritaencasa@gmail.com</v>
      </c>
      <c r="R60" s="10" t="str">
        <f>IFERROR(VLOOKUP(O60,PROVEEDORES!$A$3:$G$42,5,0),"")</f>
        <v>56952069703</v>
      </c>
      <c r="S60" s="11">
        <v>19199</v>
      </c>
      <c r="T60" s="12">
        <f t="shared" si="0"/>
        <v>27171</v>
      </c>
      <c r="U60" s="13">
        <f t="shared" si="1"/>
        <v>29888.100000000002</v>
      </c>
    </row>
    <row r="61" spans="1:21" ht="15" customHeight="1" x14ac:dyDescent="0.35">
      <c r="A61" s="14" t="s">
        <v>207</v>
      </c>
      <c r="B61" s="15" t="s">
        <v>266</v>
      </c>
      <c r="C61" s="16" t="s">
        <v>219</v>
      </c>
      <c r="D61" s="17">
        <v>7.5000000000000002E-4</v>
      </c>
      <c r="E61" s="67" t="s">
        <v>105</v>
      </c>
      <c r="F61" s="68" t="str">
        <f>IFERROR(VLOOKUP(E61,PROVEEDORES!$A$3:$G$42,2,0),"")</f>
        <v>ESPECIES</v>
      </c>
      <c r="G61" s="69" t="str">
        <f>IFERROR(VLOOKUP(E61,PROVEEDORES!$A$3:$G$42,4,0),"")</f>
        <v>chef@gourmetselect.cl,contabilidad@gourmetselect.cl,pedidos@gourmetselect.cl,info@gourmetselect.cl</v>
      </c>
      <c r="H61" s="18" t="str">
        <f>IFERROR(VLOOKUP(E61,PROVEEDORES!$A$3:$G$42,5,0),"")</f>
        <v>56944921093</v>
      </c>
      <c r="I61" s="19">
        <v>14500</v>
      </c>
      <c r="J61" s="67" t="s">
        <v>35</v>
      </c>
      <c r="K61" s="68" t="str">
        <f>IFERROR(VLOOKUP(J61,PROVEEDORES!$A$3:$G$42,2,0),"")</f>
        <v>ABARROTES</v>
      </c>
      <c r="L61" s="69" t="str">
        <f>IFERROR(VLOOKUP(J61,PROVEEDORES!$A$3:$G$42,4,0),"")</f>
        <v>pagos@bidfood.cl,pmolina@bidfood.cl</v>
      </c>
      <c r="M61" s="18" t="str">
        <f>IFERROR(VLOOKUP(J61,PROVEEDORES!$A$3:$G$42,5,0),"")</f>
        <v>56225994444 - 56998038459</v>
      </c>
      <c r="N61" s="19">
        <v>15914</v>
      </c>
      <c r="O61" s="67" t="s">
        <v>41</v>
      </c>
      <c r="P61" s="68" t="str">
        <f>IFERROR(VLOOKUP(O61,PROVEEDORES!$A$3:$G$42,2,0),"")</f>
        <v>FRUTAS Y VERDURAS</v>
      </c>
      <c r="Q61" s="69" t="str">
        <f>IFERROR(VLOOKUP(O61,PROVEEDORES!$A$3:$G$42,4,0),"")</f>
        <v>caseritaencasa@gmail.com</v>
      </c>
      <c r="R61" s="18" t="str">
        <f>IFERROR(VLOOKUP(O61,PROVEEDORES!$A$3:$G$42,5,0),"")</f>
        <v>56952069703</v>
      </c>
      <c r="S61" s="19">
        <v>10257</v>
      </c>
      <c r="T61" s="20">
        <f t="shared" si="0"/>
        <v>13557</v>
      </c>
      <c r="U61" s="21">
        <f t="shared" si="1"/>
        <v>14912.7</v>
      </c>
    </row>
    <row r="62" spans="1:21" ht="15" customHeight="1" x14ac:dyDescent="0.35">
      <c r="A62" s="6" t="s">
        <v>207</v>
      </c>
      <c r="B62" s="7" t="s">
        <v>267</v>
      </c>
      <c r="C62" s="8" t="s">
        <v>219</v>
      </c>
      <c r="D62" s="9">
        <v>5.0000000000000001E-3</v>
      </c>
      <c r="E62" s="64" t="s">
        <v>35</v>
      </c>
      <c r="F62" s="65" t="str">
        <f>IFERROR(VLOOKUP(E62,PROVEEDORES!$A$3:$G$42,2,0),"")</f>
        <v>ABARROTES</v>
      </c>
      <c r="G62" s="66" t="str">
        <f>IFERROR(VLOOKUP(E62,PROVEEDORES!$A$3:$G$42,4,0),"")</f>
        <v>pagos@bidfood.cl,pmolina@bidfood.cl</v>
      </c>
      <c r="H62" s="10" t="str">
        <f>IFERROR(VLOOKUP(E62,PROVEEDORES!$A$3:$G$42,5,0),"")</f>
        <v>56225994444 - 56998038459</v>
      </c>
      <c r="I62" s="11">
        <v>4940</v>
      </c>
      <c r="J62" s="64" t="s">
        <v>105</v>
      </c>
      <c r="K62" s="65" t="str">
        <f>IFERROR(VLOOKUP(J62,PROVEEDORES!$A$3:$G$42,2,0),"")</f>
        <v>ESPECIES</v>
      </c>
      <c r="L62" s="66" t="str">
        <f>IFERROR(VLOOKUP(J62,PROVEEDORES!$A$3:$G$42,4,0),"")</f>
        <v>chef@gourmetselect.cl,contabilidad@gourmetselect.cl,pedidos@gourmetselect.cl,info@gourmetselect.cl</v>
      </c>
      <c r="M62" s="10" t="str">
        <f>IFERROR(VLOOKUP(J62,PROVEEDORES!$A$3:$G$42,5,0),"")</f>
        <v>56944921093</v>
      </c>
      <c r="N62" s="11">
        <v>3125</v>
      </c>
      <c r="O62" s="64" t="s">
        <v>41</v>
      </c>
      <c r="P62" s="65" t="str">
        <f>IFERROR(VLOOKUP(O62,PROVEEDORES!$A$3:$G$42,2,0),"")</f>
        <v>FRUTAS Y VERDURAS</v>
      </c>
      <c r="Q62" s="66" t="str">
        <f>IFERROR(VLOOKUP(O62,PROVEEDORES!$A$3:$G$42,4,0),"")</f>
        <v>caseritaencasa@gmail.com</v>
      </c>
      <c r="R62" s="10" t="str">
        <f>IFERROR(VLOOKUP(O62,PROVEEDORES!$A$3:$G$42,5,0),"")</f>
        <v>56952069703</v>
      </c>
      <c r="S62" s="11">
        <v>1256</v>
      </c>
      <c r="T62" s="12">
        <f t="shared" si="0"/>
        <v>3107</v>
      </c>
      <c r="U62" s="13">
        <f t="shared" si="1"/>
        <v>3417.7000000000003</v>
      </c>
    </row>
    <row r="63" spans="1:21" ht="15" customHeight="1" x14ac:dyDescent="0.35">
      <c r="A63" s="14" t="s">
        <v>207</v>
      </c>
      <c r="B63" s="15" t="s">
        <v>268</v>
      </c>
      <c r="C63" s="16" t="s">
        <v>219</v>
      </c>
      <c r="D63" s="17">
        <v>3.7499999999999999E-3</v>
      </c>
      <c r="E63" s="67" t="s">
        <v>41</v>
      </c>
      <c r="F63" s="68" t="str">
        <f>IFERROR(VLOOKUP(E63,PROVEEDORES!$A$3:$G$42,2,0),"")</f>
        <v>FRUTAS Y VERDURAS</v>
      </c>
      <c r="G63" s="69" t="str">
        <f>IFERROR(VLOOKUP(E63,PROVEEDORES!$A$3:$G$42,4,0),"")</f>
        <v>caseritaencasa@gmail.com</v>
      </c>
      <c r="H63" s="18" t="str">
        <f>IFERROR(VLOOKUP(E63,PROVEEDORES!$A$3:$G$42,5,0),"")</f>
        <v>56952069703</v>
      </c>
      <c r="I63" s="19">
        <v>30157</v>
      </c>
      <c r="J63" s="67" t="s">
        <v>35</v>
      </c>
      <c r="K63" s="68" t="str">
        <f>IFERROR(VLOOKUP(J63,PROVEEDORES!$A$3:$G$42,2,0),"")</f>
        <v>ABARROTES</v>
      </c>
      <c r="L63" s="69" t="str">
        <f>IFERROR(VLOOKUP(J63,PROVEEDORES!$A$3:$G$42,4,0),"")</f>
        <v>pagos@bidfood.cl,pmolina@bidfood.cl</v>
      </c>
      <c r="M63" s="18" t="str">
        <f>IFERROR(VLOOKUP(J63,PROVEEDORES!$A$3:$G$42,5,0),"")</f>
        <v>56225994444 - 56998038459</v>
      </c>
      <c r="N63" s="19">
        <v>39204</v>
      </c>
      <c r="O63" s="67" t="s">
        <v>105</v>
      </c>
      <c r="P63" s="68" t="str">
        <f>IFERROR(VLOOKUP(O63,PROVEEDORES!$A$3:$G$42,2,0),"")</f>
        <v>ESPECIES</v>
      </c>
      <c r="Q63" s="69" t="str">
        <f>IFERROR(VLOOKUP(O63,PROVEEDORES!$A$3:$G$42,4,0),"")</f>
        <v>chef@gourmetselect.cl,contabilidad@gourmetselect.cl,pedidos@gourmetselect.cl,info@gourmetselect.cl</v>
      </c>
      <c r="R63" s="18" t="str">
        <f>IFERROR(VLOOKUP(O63,PROVEEDORES!$A$3:$G$42,5,0),"")</f>
        <v>56944921093</v>
      </c>
      <c r="S63" s="19">
        <v>26840</v>
      </c>
      <c r="T63" s="20">
        <f t="shared" si="0"/>
        <v>32067</v>
      </c>
      <c r="U63" s="21">
        <f t="shared" si="1"/>
        <v>35273.700000000004</v>
      </c>
    </row>
    <row r="64" spans="1:21" ht="15" customHeight="1" x14ac:dyDescent="0.35">
      <c r="A64" s="6" t="s">
        <v>207</v>
      </c>
      <c r="B64" s="7" t="s">
        <v>269</v>
      </c>
      <c r="C64" s="8" t="s">
        <v>219</v>
      </c>
      <c r="D64" s="9">
        <v>2.5749999999999999E-2</v>
      </c>
      <c r="E64" s="64" t="s">
        <v>35</v>
      </c>
      <c r="F64" s="65" t="str">
        <f>IFERROR(VLOOKUP(E64,PROVEEDORES!$A$3:$G$42,2,0),"")</f>
        <v>ABARROTES</v>
      </c>
      <c r="G64" s="66" t="str">
        <f>IFERROR(VLOOKUP(E64,PROVEEDORES!$A$3:$G$42,4,0),"")</f>
        <v>pagos@bidfood.cl,pmolina@bidfood.cl</v>
      </c>
      <c r="H64" s="10" t="str">
        <f>IFERROR(VLOOKUP(E64,PROVEEDORES!$A$3:$G$42,5,0),"")</f>
        <v>56225994444 - 56998038459</v>
      </c>
      <c r="I64" s="11">
        <v>17850</v>
      </c>
      <c r="J64" s="64" t="s">
        <v>105</v>
      </c>
      <c r="K64" s="65" t="str">
        <f>IFERROR(VLOOKUP(J64,PROVEEDORES!$A$3:$G$42,2,0),"")</f>
        <v>ESPECIES</v>
      </c>
      <c r="L64" s="66" t="str">
        <f>IFERROR(VLOOKUP(J64,PROVEEDORES!$A$3:$G$42,4,0),"")</f>
        <v>chef@gourmetselect.cl,contabilidad@gourmetselect.cl,pedidos@gourmetselect.cl,info@gourmetselect.cl</v>
      </c>
      <c r="M64" s="10" t="str">
        <f>IFERROR(VLOOKUP(J64,PROVEEDORES!$A$3:$G$42,5,0),"")</f>
        <v>56944921093</v>
      </c>
      <c r="N64" s="11">
        <v>29122</v>
      </c>
      <c r="O64" s="64" t="s">
        <v>41</v>
      </c>
      <c r="P64" s="65" t="str">
        <f>IFERROR(VLOOKUP(O64,PROVEEDORES!$A$3:$G$42,2,0),"")</f>
        <v>FRUTAS Y VERDURAS</v>
      </c>
      <c r="Q64" s="66" t="str">
        <f>IFERROR(VLOOKUP(O64,PROVEEDORES!$A$3:$G$42,4,0),"")</f>
        <v>caseritaencasa@gmail.com</v>
      </c>
      <c r="R64" s="10" t="str">
        <f>IFERROR(VLOOKUP(O64,PROVEEDORES!$A$3:$G$42,5,0),"")</f>
        <v>56952069703</v>
      </c>
      <c r="S64" s="11">
        <v>23191</v>
      </c>
      <c r="T64" s="12">
        <f t="shared" si="0"/>
        <v>23387.666666666668</v>
      </c>
      <c r="U64" s="13">
        <f t="shared" si="1"/>
        <v>25726.433333333338</v>
      </c>
    </row>
    <row r="65" spans="1:21" ht="15" customHeight="1" x14ac:dyDescent="0.35">
      <c r="A65" s="14" t="s">
        <v>207</v>
      </c>
      <c r="B65" s="15" t="s">
        <v>270</v>
      </c>
      <c r="C65" s="16" t="s">
        <v>219</v>
      </c>
      <c r="D65" s="17">
        <v>5.3687499999999999E-2</v>
      </c>
      <c r="E65" s="67" t="s">
        <v>35</v>
      </c>
      <c r="F65" s="68" t="str">
        <f>IFERROR(VLOOKUP(E65,PROVEEDORES!$A$3:$G$42,2,0),"")</f>
        <v>ABARROTES</v>
      </c>
      <c r="G65" s="69" t="str">
        <f>IFERROR(VLOOKUP(E65,PROVEEDORES!$A$3:$G$42,4,0),"")</f>
        <v>pagos@bidfood.cl,pmolina@bidfood.cl</v>
      </c>
      <c r="H65" s="18" t="str">
        <f>IFERROR(VLOOKUP(E65,PROVEEDORES!$A$3:$G$42,5,0),"")</f>
        <v>56225994444 - 56998038459</v>
      </c>
      <c r="I65" s="19">
        <v>29750</v>
      </c>
      <c r="J65" s="67" t="s">
        <v>105</v>
      </c>
      <c r="K65" s="68" t="str">
        <f>IFERROR(VLOOKUP(J65,PROVEEDORES!$A$3:$G$42,2,0),"")</f>
        <v>ESPECIES</v>
      </c>
      <c r="L65" s="69" t="str">
        <f>IFERROR(VLOOKUP(J65,PROVEEDORES!$A$3:$G$42,4,0),"")</f>
        <v>chef@gourmetselect.cl,contabilidad@gourmetselect.cl,pedidos@gourmetselect.cl,info@gourmetselect.cl</v>
      </c>
      <c r="M65" s="18" t="str">
        <f>IFERROR(VLOOKUP(J65,PROVEEDORES!$A$3:$G$42,5,0),"")</f>
        <v>56944921093</v>
      </c>
      <c r="N65" s="19">
        <v>26002</v>
      </c>
      <c r="O65" s="67" t="s">
        <v>41</v>
      </c>
      <c r="P65" s="68" t="str">
        <f>IFERROR(VLOOKUP(O65,PROVEEDORES!$A$3:$G$42,2,0),"")</f>
        <v>FRUTAS Y VERDURAS</v>
      </c>
      <c r="Q65" s="69" t="str">
        <f>IFERROR(VLOOKUP(O65,PROVEEDORES!$A$3:$G$42,4,0),"")</f>
        <v>caseritaencasa@gmail.com</v>
      </c>
      <c r="R65" s="18" t="str">
        <f>IFERROR(VLOOKUP(O65,PROVEEDORES!$A$3:$G$42,5,0),"")</f>
        <v>56952069703</v>
      </c>
      <c r="S65" s="19">
        <v>34462</v>
      </c>
      <c r="T65" s="20">
        <f t="shared" si="0"/>
        <v>30071.333333333332</v>
      </c>
      <c r="U65" s="21">
        <f t="shared" si="1"/>
        <v>33078.466666666667</v>
      </c>
    </row>
    <row r="66" spans="1:21" ht="15" customHeight="1" x14ac:dyDescent="0.35">
      <c r="A66" s="6" t="s">
        <v>207</v>
      </c>
      <c r="B66" s="7" t="s">
        <v>271</v>
      </c>
      <c r="C66" s="8" t="s">
        <v>219</v>
      </c>
      <c r="D66" s="9">
        <v>1.05125</v>
      </c>
      <c r="E66" s="64" t="s">
        <v>41</v>
      </c>
      <c r="F66" s="65" t="str">
        <f>IFERROR(VLOOKUP(E66,PROVEEDORES!$A$3:$G$42,2,0),"")</f>
        <v>FRUTAS Y VERDURAS</v>
      </c>
      <c r="G66" s="66" t="str">
        <f>IFERROR(VLOOKUP(E66,PROVEEDORES!$A$3:$G$42,4,0),"")</f>
        <v>caseritaencasa@gmail.com</v>
      </c>
      <c r="H66" s="10" t="str">
        <f>IFERROR(VLOOKUP(E66,PROVEEDORES!$A$3:$G$42,5,0),"")</f>
        <v>56952069703</v>
      </c>
      <c r="I66" s="11">
        <v>2083</v>
      </c>
      <c r="J66" s="64" t="s">
        <v>35</v>
      </c>
      <c r="K66" s="65" t="str">
        <f>IFERROR(VLOOKUP(J66,PROVEEDORES!$A$3:$G$42,2,0),"")</f>
        <v>ABARROTES</v>
      </c>
      <c r="L66" s="66" t="str">
        <f>IFERROR(VLOOKUP(J66,PROVEEDORES!$A$3:$G$42,4,0),"")</f>
        <v>pagos@bidfood.cl,pmolina@bidfood.cl</v>
      </c>
      <c r="M66" s="10" t="str">
        <f>IFERROR(VLOOKUP(J66,PROVEEDORES!$A$3:$G$42,5,0),"")</f>
        <v>56225994444 - 56998038459</v>
      </c>
      <c r="N66" s="11">
        <v>2133</v>
      </c>
      <c r="O66" s="64" t="s">
        <v>105</v>
      </c>
      <c r="P66" s="65" t="str">
        <f>IFERROR(VLOOKUP(O66,PROVEEDORES!$A$3:$G$42,2,0),"")</f>
        <v>ESPECIES</v>
      </c>
      <c r="Q66" s="66" t="str">
        <f>IFERROR(VLOOKUP(O66,PROVEEDORES!$A$3:$G$42,4,0),"")</f>
        <v>chef@gourmetselect.cl,contabilidad@gourmetselect.cl,pedidos@gourmetselect.cl,info@gourmetselect.cl</v>
      </c>
      <c r="R66" s="10" t="str">
        <f>IFERROR(VLOOKUP(O66,PROVEEDORES!$A$3:$G$42,5,0),"")</f>
        <v>56944921093</v>
      </c>
      <c r="S66" s="11">
        <v>1758</v>
      </c>
      <c r="T66" s="12">
        <f t="shared" si="0"/>
        <v>1991.3333333333333</v>
      </c>
      <c r="U66" s="13">
        <f t="shared" si="1"/>
        <v>2190.4666666666667</v>
      </c>
    </row>
    <row r="67" spans="1:21" ht="15" customHeight="1" x14ac:dyDescent="0.35">
      <c r="A67" s="14" t="s">
        <v>207</v>
      </c>
      <c r="B67" s="15" t="s">
        <v>272</v>
      </c>
      <c r="C67" s="16" t="s">
        <v>219</v>
      </c>
      <c r="D67" s="17">
        <v>3.7500000000000001E-4</v>
      </c>
      <c r="E67" s="67" t="s">
        <v>35</v>
      </c>
      <c r="F67" s="68" t="str">
        <f>IFERROR(VLOOKUP(E67,PROVEEDORES!$A$3:$G$42,2,0),"")</f>
        <v>ABARROTES</v>
      </c>
      <c r="G67" s="69" t="str">
        <f>IFERROR(VLOOKUP(E67,PROVEEDORES!$A$3:$G$42,4,0),"")</f>
        <v>pagos@bidfood.cl,pmolina@bidfood.cl</v>
      </c>
      <c r="H67" s="18" t="str">
        <f>IFERROR(VLOOKUP(E67,PROVEEDORES!$A$3:$G$42,5,0),"")</f>
        <v>56225994444 - 56998038459</v>
      </c>
      <c r="I67" s="19">
        <v>5883</v>
      </c>
      <c r="J67" s="67" t="s">
        <v>105</v>
      </c>
      <c r="K67" s="68" t="str">
        <f>IFERROR(VLOOKUP(J67,PROVEEDORES!$A$3:$G$42,2,0),"")</f>
        <v>ESPECIES</v>
      </c>
      <c r="L67" s="69" t="str">
        <f>IFERROR(VLOOKUP(J67,PROVEEDORES!$A$3:$G$42,4,0),"")</f>
        <v>chef@gourmetselect.cl,contabilidad@gourmetselect.cl,pedidos@gourmetselect.cl,info@gourmetselect.cl</v>
      </c>
      <c r="M67" s="18" t="str">
        <f>IFERROR(VLOOKUP(J67,PROVEEDORES!$A$3:$G$42,5,0),"")</f>
        <v>56944921093</v>
      </c>
      <c r="N67" s="19">
        <v>6651</v>
      </c>
      <c r="O67" s="67" t="s">
        <v>41</v>
      </c>
      <c r="P67" s="68" t="str">
        <f>IFERROR(VLOOKUP(O67,PROVEEDORES!$A$3:$G$42,2,0),"")</f>
        <v>FRUTAS Y VERDURAS</v>
      </c>
      <c r="Q67" s="69" t="str">
        <f>IFERROR(VLOOKUP(O67,PROVEEDORES!$A$3:$G$42,4,0),"")</f>
        <v>caseritaencasa@gmail.com</v>
      </c>
      <c r="R67" s="18" t="str">
        <f>IFERROR(VLOOKUP(O67,PROVEEDORES!$A$3:$G$42,5,0),"")</f>
        <v>56952069703</v>
      </c>
      <c r="S67" s="19">
        <v>9960</v>
      </c>
      <c r="T67" s="20">
        <f t="shared" si="0"/>
        <v>7498</v>
      </c>
      <c r="U67" s="21">
        <f t="shared" si="1"/>
        <v>8247.8000000000011</v>
      </c>
    </row>
    <row r="68" spans="1:21" ht="15" customHeight="1" x14ac:dyDescent="0.35">
      <c r="A68" s="6" t="s">
        <v>207</v>
      </c>
      <c r="B68" s="7" t="s">
        <v>273</v>
      </c>
      <c r="C68" s="8" t="s">
        <v>219</v>
      </c>
      <c r="D68" s="9">
        <v>0.06</v>
      </c>
      <c r="E68" s="64" t="s">
        <v>41</v>
      </c>
      <c r="F68" s="65" t="str">
        <f>IFERROR(VLOOKUP(E68,PROVEEDORES!$A$3:$G$42,2,0),"")</f>
        <v>FRUTAS Y VERDURAS</v>
      </c>
      <c r="G68" s="66" t="str">
        <f>IFERROR(VLOOKUP(E68,PROVEEDORES!$A$3:$G$42,4,0),"")</f>
        <v>caseritaencasa@gmail.com</v>
      </c>
      <c r="H68" s="10" t="str">
        <f>IFERROR(VLOOKUP(E68,PROVEEDORES!$A$3:$G$42,5,0),"")</f>
        <v>56952069703</v>
      </c>
      <c r="I68" s="11">
        <v>7769</v>
      </c>
      <c r="J68" s="64" t="s">
        <v>35</v>
      </c>
      <c r="K68" s="65" t="str">
        <f>IFERROR(VLOOKUP(J68,PROVEEDORES!$A$3:$G$42,2,0),"")</f>
        <v>ABARROTES</v>
      </c>
      <c r="L68" s="66" t="str">
        <f>IFERROR(VLOOKUP(J68,PROVEEDORES!$A$3:$G$42,4,0),"")</f>
        <v>pagos@bidfood.cl,pmolina@bidfood.cl</v>
      </c>
      <c r="M68" s="10" t="str">
        <f>IFERROR(VLOOKUP(J68,PROVEEDORES!$A$3:$G$42,5,0),"")</f>
        <v>56225994444 - 56998038459</v>
      </c>
      <c r="N68" s="11">
        <v>13316</v>
      </c>
      <c r="O68" s="64" t="s">
        <v>105</v>
      </c>
      <c r="P68" s="65" t="str">
        <f>IFERROR(VLOOKUP(O68,PROVEEDORES!$A$3:$G$42,2,0),"")</f>
        <v>ESPECIES</v>
      </c>
      <c r="Q68" s="66" t="str">
        <f>IFERROR(VLOOKUP(O68,PROVEEDORES!$A$3:$G$42,4,0),"")</f>
        <v>chef@gourmetselect.cl,contabilidad@gourmetselect.cl,pedidos@gourmetselect.cl,info@gourmetselect.cl</v>
      </c>
      <c r="R68" s="10" t="str">
        <f>IFERROR(VLOOKUP(O68,PROVEEDORES!$A$3:$G$42,5,0),"")</f>
        <v>56944921093</v>
      </c>
      <c r="S68" s="11">
        <v>9649</v>
      </c>
      <c r="T68" s="12">
        <f t="shared" si="0"/>
        <v>10244.666666666666</v>
      </c>
      <c r="U68" s="13">
        <f t="shared" si="1"/>
        <v>11269.133333333333</v>
      </c>
    </row>
    <row r="69" spans="1:21" ht="15" customHeight="1" x14ac:dyDescent="0.35">
      <c r="A69" s="14" t="s">
        <v>207</v>
      </c>
      <c r="B69" s="15" t="s">
        <v>274</v>
      </c>
      <c r="C69" s="16" t="s">
        <v>219</v>
      </c>
      <c r="D69" s="17">
        <v>2.8000000000000001E-2</v>
      </c>
      <c r="E69" s="67" t="s">
        <v>41</v>
      </c>
      <c r="F69" s="68" t="str">
        <f>IFERROR(VLOOKUP(E69,PROVEEDORES!$A$3:$G$42,2,0),"")</f>
        <v>FRUTAS Y VERDURAS</v>
      </c>
      <c r="G69" s="69" t="str">
        <f>IFERROR(VLOOKUP(E69,PROVEEDORES!$A$3:$G$42,4,0),"")</f>
        <v>caseritaencasa@gmail.com</v>
      </c>
      <c r="H69" s="18" t="str">
        <f>IFERROR(VLOOKUP(E69,PROVEEDORES!$A$3:$G$42,5,0),"")</f>
        <v>56952069703</v>
      </c>
      <c r="I69" s="19">
        <v>2990</v>
      </c>
      <c r="J69" s="67" t="s">
        <v>35</v>
      </c>
      <c r="K69" s="68" t="str">
        <f>IFERROR(VLOOKUP(J69,PROVEEDORES!$A$3:$G$42,2,0),"")</f>
        <v>ABARROTES</v>
      </c>
      <c r="L69" s="69" t="str">
        <f>IFERROR(VLOOKUP(J69,PROVEEDORES!$A$3:$G$42,4,0),"")</f>
        <v>pagos@bidfood.cl,pmolina@bidfood.cl</v>
      </c>
      <c r="M69" s="18" t="str">
        <f>IFERROR(VLOOKUP(J69,PROVEEDORES!$A$3:$G$42,5,0),"")</f>
        <v>56225994444 - 56998038459</v>
      </c>
      <c r="N69" s="19">
        <v>3340</v>
      </c>
      <c r="O69" s="67" t="s">
        <v>105</v>
      </c>
      <c r="P69" s="68" t="str">
        <f>IFERROR(VLOOKUP(O69,PROVEEDORES!$A$3:$G$42,2,0),"")</f>
        <v>ESPECIES</v>
      </c>
      <c r="Q69" s="69" t="str">
        <f>IFERROR(VLOOKUP(O69,PROVEEDORES!$A$3:$G$42,4,0),"")</f>
        <v>chef@gourmetselect.cl,contabilidad@gourmetselect.cl,pedidos@gourmetselect.cl,info@gourmetselect.cl</v>
      </c>
      <c r="R69" s="18" t="str">
        <f>IFERROR(VLOOKUP(O69,PROVEEDORES!$A$3:$G$42,5,0),"")</f>
        <v>56944921093</v>
      </c>
      <c r="S69" s="19">
        <v>1918</v>
      </c>
      <c r="T69" s="20">
        <f t="shared" si="0"/>
        <v>2749.3333333333335</v>
      </c>
      <c r="U69" s="21">
        <f t="shared" si="1"/>
        <v>3024.2666666666669</v>
      </c>
    </row>
    <row r="70" spans="1:21" ht="15" customHeight="1" x14ac:dyDescent="0.35">
      <c r="A70" s="6" t="s">
        <v>207</v>
      </c>
      <c r="B70" s="7" t="s">
        <v>275</v>
      </c>
      <c r="C70" s="8" t="s">
        <v>219</v>
      </c>
      <c r="D70" s="9">
        <v>0.05</v>
      </c>
      <c r="E70" s="64" t="s">
        <v>41</v>
      </c>
      <c r="F70" s="65" t="str">
        <f>IFERROR(VLOOKUP(E70,PROVEEDORES!$A$3:$G$42,2,0),"")</f>
        <v>FRUTAS Y VERDURAS</v>
      </c>
      <c r="G70" s="66" t="str">
        <f>IFERROR(VLOOKUP(E70,PROVEEDORES!$A$3:$G$42,4,0),"")</f>
        <v>caseritaencasa@gmail.com</v>
      </c>
      <c r="H70" s="10" t="str">
        <f>IFERROR(VLOOKUP(E70,PROVEEDORES!$A$3:$G$42,5,0),"")</f>
        <v>56952069703</v>
      </c>
      <c r="I70" s="11">
        <v>2372</v>
      </c>
      <c r="J70" s="64" t="s">
        <v>35</v>
      </c>
      <c r="K70" s="65" t="str">
        <f>IFERROR(VLOOKUP(J70,PROVEEDORES!$A$3:$G$42,2,0),"")</f>
        <v>ABARROTES</v>
      </c>
      <c r="L70" s="66" t="str">
        <f>IFERROR(VLOOKUP(J70,PROVEEDORES!$A$3:$G$42,4,0),"")</f>
        <v>pagos@bidfood.cl,pmolina@bidfood.cl</v>
      </c>
      <c r="M70" s="10" t="str">
        <f>IFERROR(VLOOKUP(J70,PROVEEDORES!$A$3:$G$42,5,0),"")</f>
        <v>56225994444 - 56998038459</v>
      </c>
      <c r="N70" s="11">
        <v>2347</v>
      </c>
      <c r="O70" s="64" t="s">
        <v>105</v>
      </c>
      <c r="P70" s="65" t="str">
        <f>IFERROR(VLOOKUP(O70,PROVEEDORES!$A$3:$G$42,2,0),"")</f>
        <v>ESPECIES</v>
      </c>
      <c r="Q70" s="66" t="str">
        <f>IFERROR(VLOOKUP(O70,PROVEEDORES!$A$3:$G$42,4,0),"")</f>
        <v>chef@gourmetselect.cl,contabilidad@gourmetselect.cl,pedidos@gourmetselect.cl,info@gourmetselect.cl</v>
      </c>
      <c r="R70" s="10" t="str">
        <f>IFERROR(VLOOKUP(O70,PROVEEDORES!$A$3:$G$42,5,0),"")</f>
        <v>56944921093</v>
      </c>
      <c r="S70" s="11">
        <v>3134</v>
      </c>
      <c r="T70" s="12">
        <f t="shared" ref="T70:T133" si="2">AVERAGE(I70,N70,S70)</f>
        <v>2617.6666666666665</v>
      </c>
      <c r="U70" s="13">
        <f t="shared" ref="U70:U133" si="3">T70*(1+$B$2)</f>
        <v>2879.4333333333334</v>
      </c>
    </row>
    <row r="71" spans="1:21" ht="15" customHeight="1" x14ac:dyDescent="0.35">
      <c r="A71" s="14" t="s">
        <v>207</v>
      </c>
      <c r="B71" s="15" t="s">
        <v>276</v>
      </c>
      <c r="C71" s="16" t="s">
        <v>219</v>
      </c>
      <c r="D71" s="17">
        <v>1.4999999999999999E-2</v>
      </c>
      <c r="E71" s="67" t="s">
        <v>41</v>
      </c>
      <c r="F71" s="68" t="str">
        <f>IFERROR(VLOOKUP(E71,PROVEEDORES!$A$3:$G$42,2,0),"")</f>
        <v>FRUTAS Y VERDURAS</v>
      </c>
      <c r="G71" s="69" t="str">
        <f>IFERROR(VLOOKUP(E71,PROVEEDORES!$A$3:$G$42,4,0),"")</f>
        <v>caseritaencasa@gmail.com</v>
      </c>
      <c r="H71" s="18" t="str">
        <f>IFERROR(VLOOKUP(E71,PROVEEDORES!$A$3:$G$42,5,0),"")</f>
        <v>56952069703</v>
      </c>
      <c r="I71" s="19">
        <v>16798</v>
      </c>
      <c r="J71" s="67" t="s">
        <v>35</v>
      </c>
      <c r="K71" s="68" t="str">
        <f>IFERROR(VLOOKUP(J71,PROVEEDORES!$A$3:$G$42,2,0),"")</f>
        <v>ABARROTES</v>
      </c>
      <c r="L71" s="69" t="str">
        <f>IFERROR(VLOOKUP(J71,PROVEEDORES!$A$3:$G$42,4,0),"")</f>
        <v>pagos@bidfood.cl,pmolina@bidfood.cl</v>
      </c>
      <c r="M71" s="18" t="str">
        <f>IFERROR(VLOOKUP(J71,PROVEEDORES!$A$3:$G$42,5,0),"")</f>
        <v>56225994444 - 56998038459</v>
      </c>
      <c r="N71" s="19">
        <v>14429</v>
      </c>
      <c r="O71" s="67" t="s">
        <v>105</v>
      </c>
      <c r="P71" s="68" t="str">
        <f>IFERROR(VLOOKUP(O71,PROVEEDORES!$A$3:$G$42,2,0),"")</f>
        <v>ESPECIES</v>
      </c>
      <c r="Q71" s="69" t="str">
        <f>IFERROR(VLOOKUP(O71,PROVEEDORES!$A$3:$G$42,4,0),"")</f>
        <v>chef@gourmetselect.cl,contabilidad@gourmetselect.cl,pedidos@gourmetselect.cl,info@gourmetselect.cl</v>
      </c>
      <c r="R71" s="18" t="str">
        <f>IFERROR(VLOOKUP(O71,PROVEEDORES!$A$3:$G$42,5,0),"")</f>
        <v>56944921093</v>
      </c>
      <c r="S71" s="19">
        <v>2940</v>
      </c>
      <c r="T71" s="20">
        <f t="shared" si="2"/>
        <v>11389</v>
      </c>
      <c r="U71" s="21">
        <f t="shared" si="3"/>
        <v>12527.900000000001</v>
      </c>
    </row>
    <row r="72" spans="1:21" ht="15" customHeight="1" x14ac:dyDescent="0.35">
      <c r="A72" s="6" t="s">
        <v>207</v>
      </c>
      <c r="B72" s="7" t="s">
        <v>277</v>
      </c>
      <c r="C72" s="8" t="s">
        <v>219</v>
      </c>
      <c r="D72" s="9">
        <v>0.18562500000000001</v>
      </c>
      <c r="E72" s="64" t="s">
        <v>35</v>
      </c>
      <c r="F72" s="65" t="str">
        <f>IFERROR(VLOOKUP(E72,PROVEEDORES!$A$3:$G$42,2,0),"")</f>
        <v>ABARROTES</v>
      </c>
      <c r="G72" s="66" t="str">
        <f>IFERROR(VLOOKUP(E72,PROVEEDORES!$A$3:$G$42,4,0),"")</f>
        <v>pagos@bidfood.cl,pmolina@bidfood.cl</v>
      </c>
      <c r="H72" s="10" t="str">
        <f>IFERROR(VLOOKUP(E72,PROVEEDORES!$A$3:$G$42,5,0),"")</f>
        <v>56225994444 - 56998038459</v>
      </c>
      <c r="I72" s="11">
        <v>7500</v>
      </c>
      <c r="J72" s="64" t="s">
        <v>105</v>
      </c>
      <c r="K72" s="65" t="str">
        <f>IFERROR(VLOOKUP(J72,PROVEEDORES!$A$3:$G$42,2,0),"")</f>
        <v>ESPECIES</v>
      </c>
      <c r="L72" s="66" t="str">
        <f>IFERROR(VLOOKUP(J72,PROVEEDORES!$A$3:$G$42,4,0),"")</f>
        <v>chef@gourmetselect.cl,contabilidad@gourmetselect.cl,pedidos@gourmetselect.cl,info@gourmetselect.cl</v>
      </c>
      <c r="M72" s="10" t="str">
        <f>IFERROR(VLOOKUP(J72,PROVEEDORES!$A$3:$G$42,5,0),"")</f>
        <v>56944921093</v>
      </c>
      <c r="N72" s="11">
        <v>7725</v>
      </c>
      <c r="O72" s="64" t="s">
        <v>41</v>
      </c>
      <c r="P72" s="65" t="str">
        <f>IFERROR(VLOOKUP(O72,PROVEEDORES!$A$3:$G$42,2,0),"")</f>
        <v>FRUTAS Y VERDURAS</v>
      </c>
      <c r="Q72" s="66" t="str">
        <f>IFERROR(VLOOKUP(O72,PROVEEDORES!$A$3:$G$42,4,0),"")</f>
        <v>caseritaencasa@gmail.com</v>
      </c>
      <c r="R72" s="10" t="str">
        <f>IFERROR(VLOOKUP(O72,PROVEEDORES!$A$3:$G$42,5,0),"")</f>
        <v>56952069703</v>
      </c>
      <c r="S72" s="11">
        <v>1890</v>
      </c>
      <c r="T72" s="12">
        <f t="shared" si="2"/>
        <v>5705</v>
      </c>
      <c r="U72" s="13">
        <f t="shared" si="3"/>
        <v>6275.5000000000009</v>
      </c>
    </row>
    <row r="73" spans="1:21" ht="15" customHeight="1" x14ac:dyDescent="0.35">
      <c r="A73" s="14" t="s">
        <v>207</v>
      </c>
      <c r="B73" s="15" t="s">
        <v>278</v>
      </c>
      <c r="C73" s="16" t="s">
        <v>219</v>
      </c>
      <c r="D73" s="17">
        <v>2.8125000000000001E-2</v>
      </c>
      <c r="E73" s="67" t="s">
        <v>41</v>
      </c>
      <c r="F73" s="68" t="str">
        <f>IFERROR(VLOOKUP(E73,PROVEEDORES!$A$3:$G$42,2,0),"")</f>
        <v>FRUTAS Y VERDURAS</v>
      </c>
      <c r="G73" s="69" t="str">
        <f>IFERROR(VLOOKUP(E73,PROVEEDORES!$A$3:$G$42,4,0),"")</f>
        <v>caseritaencasa@gmail.com</v>
      </c>
      <c r="H73" s="18" t="str">
        <f>IFERROR(VLOOKUP(E73,PROVEEDORES!$A$3:$G$42,5,0),"")</f>
        <v>56952069703</v>
      </c>
      <c r="I73" s="19">
        <v>1424</v>
      </c>
      <c r="J73" s="67" t="s">
        <v>35</v>
      </c>
      <c r="K73" s="68" t="str">
        <f>IFERROR(VLOOKUP(J73,PROVEEDORES!$A$3:$G$42,2,0),"")</f>
        <v>ABARROTES</v>
      </c>
      <c r="L73" s="69" t="str">
        <f>IFERROR(VLOOKUP(J73,PROVEEDORES!$A$3:$G$42,4,0),"")</f>
        <v>pagos@bidfood.cl,pmolina@bidfood.cl</v>
      </c>
      <c r="M73" s="18" t="str">
        <f>IFERROR(VLOOKUP(J73,PROVEEDORES!$A$3:$G$42,5,0),"")</f>
        <v>56225994444 - 56998038459</v>
      </c>
      <c r="N73" s="19">
        <v>924</v>
      </c>
      <c r="O73" s="67" t="s">
        <v>105</v>
      </c>
      <c r="P73" s="68" t="str">
        <f>IFERROR(VLOOKUP(O73,PROVEEDORES!$A$3:$G$42,2,0),"")</f>
        <v>ESPECIES</v>
      </c>
      <c r="Q73" s="69" t="str">
        <f>IFERROR(VLOOKUP(O73,PROVEEDORES!$A$3:$G$42,4,0),"")</f>
        <v>chef@gourmetselect.cl,contabilidad@gourmetselect.cl,pedidos@gourmetselect.cl,info@gourmetselect.cl</v>
      </c>
      <c r="R73" s="18" t="str">
        <f>IFERROR(VLOOKUP(O73,PROVEEDORES!$A$3:$G$42,5,0),"")</f>
        <v>56944921093</v>
      </c>
      <c r="S73" s="19">
        <v>829</v>
      </c>
      <c r="T73" s="20">
        <f t="shared" si="2"/>
        <v>1059</v>
      </c>
      <c r="U73" s="21">
        <f t="shared" si="3"/>
        <v>1164.9000000000001</v>
      </c>
    </row>
    <row r="74" spans="1:21" ht="15" customHeight="1" x14ac:dyDescent="0.35">
      <c r="A74" s="6" t="s">
        <v>207</v>
      </c>
      <c r="B74" s="7" t="s">
        <v>279</v>
      </c>
      <c r="C74" s="8" t="s">
        <v>219</v>
      </c>
      <c r="D74" s="9">
        <v>1.8124999999999999E-2</v>
      </c>
      <c r="E74" s="64" t="s">
        <v>35</v>
      </c>
      <c r="F74" s="65" t="str">
        <f>IFERROR(VLOOKUP(E74,PROVEEDORES!$A$3:$G$42,2,0),"")</f>
        <v>ABARROTES</v>
      </c>
      <c r="G74" s="66" t="str">
        <f>IFERROR(VLOOKUP(E74,PROVEEDORES!$A$3:$G$42,4,0),"")</f>
        <v>pagos@bidfood.cl,pmolina@bidfood.cl</v>
      </c>
      <c r="H74" s="10" t="str">
        <f>IFERROR(VLOOKUP(E74,PROVEEDORES!$A$3:$G$42,5,0),"")</f>
        <v>56225994444 - 56998038459</v>
      </c>
      <c r="I74" s="11">
        <v>12500</v>
      </c>
      <c r="J74" s="64" t="s">
        <v>105</v>
      </c>
      <c r="K74" s="65" t="str">
        <f>IFERROR(VLOOKUP(J74,PROVEEDORES!$A$3:$G$42,2,0),"")</f>
        <v>ESPECIES</v>
      </c>
      <c r="L74" s="66" t="str">
        <f>IFERROR(VLOOKUP(J74,PROVEEDORES!$A$3:$G$42,4,0),"")</f>
        <v>chef@gourmetselect.cl,contabilidad@gourmetselect.cl,pedidos@gourmetselect.cl,info@gourmetselect.cl</v>
      </c>
      <c r="M74" s="10" t="str">
        <f>IFERROR(VLOOKUP(J74,PROVEEDORES!$A$3:$G$42,5,0),"")</f>
        <v>56944921093</v>
      </c>
      <c r="N74" s="11">
        <v>18181</v>
      </c>
      <c r="O74" s="64" t="s">
        <v>41</v>
      </c>
      <c r="P74" s="65" t="str">
        <f>IFERROR(VLOOKUP(O74,PROVEEDORES!$A$3:$G$42,2,0),"")</f>
        <v>FRUTAS Y VERDURAS</v>
      </c>
      <c r="Q74" s="66" t="str">
        <f>IFERROR(VLOOKUP(O74,PROVEEDORES!$A$3:$G$42,4,0),"")</f>
        <v>caseritaencasa@gmail.com</v>
      </c>
      <c r="R74" s="10" t="str">
        <f>IFERROR(VLOOKUP(O74,PROVEEDORES!$A$3:$G$42,5,0),"")</f>
        <v>56952069703</v>
      </c>
      <c r="S74" s="11">
        <v>9860</v>
      </c>
      <c r="T74" s="12">
        <f t="shared" si="2"/>
        <v>13513.666666666666</v>
      </c>
      <c r="U74" s="13">
        <f t="shared" si="3"/>
        <v>14865.033333333335</v>
      </c>
    </row>
    <row r="75" spans="1:21" ht="15" customHeight="1" x14ac:dyDescent="0.35">
      <c r="A75" s="14" t="s">
        <v>207</v>
      </c>
      <c r="B75" s="15" t="s">
        <v>280</v>
      </c>
      <c r="C75" s="16" t="s">
        <v>219</v>
      </c>
      <c r="D75" s="17">
        <v>3.0625000000000001E-3</v>
      </c>
      <c r="E75" s="67" t="s">
        <v>35</v>
      </c>
      <c r="F75" s="68" t="str">
        <f>IFERROR(VLOOKUP(E75,PROVEEDORES!$A$3:$G$42,2,0),"")</f>
        <v>ABARROTES</v>
      </c>
      <c r="G75" s="69" t="str">
        <f>IFERROR(VLOOKUP(E75,PROVEEDORES!$A$3:$G$42,4,0),"")</f>
        <v>pagos@bidfood.cl,pmolina@bidfood.cl</v>
      </c>
      <c r="H75" s="18" t="str">
        <f>IFERROR(VLOOKUP(E75,PROVEEDORES!$A$3:$G$42,5,0),"")</f>
        <v>56225994444 - 56998038459</v>
      </c>
      <c r="I75" s="19">
        <v>12950</v>
      </c>
      <c r="J75" s="67" t="s">
        <v>105</v>
      </c>
      <c r="K75" s="68" t="str">
        <f>IFERROR(VLOOKUP(J75,PROVEEDORES!$A$3:$G$42,2,0),"")</f>
        <v>ESPECIES</v>
      </c>
      <c r="L75" s="69" t="str">
        <f>IFERROR(VLOOKUP(J75,PROVEEDORES!$A$3:$G$42,4,0),"")</f>
        <v>chef@gourmetselect.cl,contabilidad@gourmetselect.cl,pedidos@gourmetselect.cl,info@gourmetselect.cl</v>
      </c>
      <c r="M75" s="18" t="str">
        <f>IFERROR(VLOOKUP(J75,PROVEEDORES!$A$3:$G$42,5,0),"")</f>
        <v>56944921093</v>
      </c>
      <c r="N75" s="19">
        <v>10153</v>
      </c>
      <c r="O75" s="67" t="s">
        <v>41</v>
      </c>
      <c r="P75" s="68" t="str">
        <f>IFERROR(VLOOKUP(O75,PROVEEDORES!$A$3:$G$42,2,0),"")</f>
        <v>FRUTAS Y VERDURAS</v>
      </c>
      <c r="Q75" s="69" t="str">
        <f>IFERROR(VLOOKUP(O75,PROVEEDORES!$A$3:$G$42,4,0),"")</f>
        <v>caseritaencasa@gmail.com</v>
      </c>
      <c r="R75" s="18" t="str">
        <f>IFERROR(VLOOKUP(O75,PROVEEDORES!$A$3:$G$42,5,0),"")</f>
        <v>56952069703</v>
      </c>
      <c r="S75" s="19">
        <v>25286</v>
      </c>
      <c r="T75" s="20">
        <f t="shared" si="2"/>
        <v>16129.666666666666</v>
      </c>
      <c r="U75" s="21">
        <f t="shared" si="3"/>
        <v>17742.633333333335</v>
      </c>
    </row>
    <row r="76" spans="1:21" ht="15" customHeight="1" x14ac:dyDescent="0.35">
      <c r="A76" s="6" t="s">
        <v>207</v>
      </c>
      <c r="B76" s="7" t="s">
        <v>281</v>
      </c>
      <c r="C76" s="8" t="s">
        <v>219</v>
      </c>
      <c r="D76" s="9">
        <v>2.5000000000000001E-3</v>
      </c>
      <c r="E76" s="64" t="s">
        <v>105</v>
      </c>
      <c r="F76" s="65" t="str">
        <f>IFERROR(VLOOKUP(E76,PROVEEDORES!$A$3:$G$42,2,0),"")</f>
        <v>ESPECIES</v>
      </c>
      <c r="G76" s="66" t="str">
        <f>IFERROR(VLOOKUP(E76,PROVEEDORES!$A$3:$G$42,4,0),"")</f>
        <v>chef@gourmetselect.cl,contabilidad@gourmetselect.cl,pedidos@gourmetselect.cl,info@gourmetselect.cl</v>
      </c>
      <c r="H76" s="10" t="str">
        <f>IFERROR(VLOOKUP(E76,PROVEEDORES!$A$3:$G$42,5,0),"")</f>
        <v>56944921093</v>
      </c>
      <c r="I76" s="11">
        <v>23640</v>
      </c>
      <c r="J76" s="64" t="s">
        <v>35</v>
      </c>
      <c r="K76" s="65" t="str">
        <f>IFERROR(VLOOKUP(J76,PROVEEDORES!$A$3:$G$42,2,0),"")</f>
        <v>ABARROTES</v>
      </c>
      <c r="L76" s="66" t="str">
        <f>IFERROR(VLOOKUP(J76,PROVEEDORES!$A$3:$G$42,4,0),"")</f>
        <v>pagos@bidfood.cl,pmolina@bidfood.cl</v>
      </c>
      <c r="M76" s="10" t="str">
        <f>IFERROR(VLOOKUP(J76,PROVEEDORES!$A$3:$G$42,5,0),"")</f>
        <v>56225994444 - 56998038459</v>
      </c>
      <c r="N76" s="11">
        <v>14881</v>
      </c>
      <c r="O76" s="64" t="s">
        <v>41</v>
      </c>
      <c r="P76" s="65" t="str">
        <f>IFERROR(VLOOKUP(O76,PROVEEDORES!$A$3:$G$42,2,0),"")</f>
        <v>FRUTAS Y VERDURAS</v>
      </c>
      <c r="Q76" s="66" t="str">
        <f>IFERROR(VLOOKUP(O76,PROVEEDORES!$A$3:$G$42,4,0),"")</f>
        <v>caseritaencasa@gmail.com</v>
      </c>
      <c r="R76" s="10" t="str">
        <f>IFERROR(VLOOKUP(O76,PROVEEDORES!$A$3:$G$42,5,0),"")</f>
        <v>56952069703</v>
      </c>
      <c r="S76" s="11">
        <v>15631</v>
      </c>
      <c r="T76" s="12">
        <f t="shared" si="2"/>
        <v>18050.666666666668</v>
      </c>
      <c r="U76" s="13">
        <f t="shared" si="3"/>
        <v>19855.733333333337</v>
      </c>
    </row>
    <row r="77" spans="1:21" ht="15" customHeight="1" x14ac:dyDescent="0.35">
      <c r="A77" s="14" t="s">
        <v>207</v>
      </c>
      <c r="B77" s="15" t="s">
        <v>282</v>
      </c>
      <c r="C77" s="16" t="s">
        <v>219</v>
      </c>
      <c r="D77" s="17">
        <v>0.09</v>
      </c>
      <c r="E77" s="67" t="s">
        <v>35</v>
      </c>
      <c r="F77" s="68" t="str">
        <f>IFERROR(VLOOKUP(E77,PROVEEDORES!$A$3:$G$42,2,0),"")</f>
        <v>ABARROTES</v>
      </c>
      <c r="G77" s="69" t="str">
        <f>IFERROR(VLOOKUP(E77,PROVEEDORES!$A$3:$G$42,4,0),"")</f>
        <v>pagos@bidfood.cl,pmolina@bidfood.cl</v>
      </c>
      <c r="H77" s="18" t="str">
        <f>IFERROR(VLOOKUP(E77,PROVEEDORES!$A$3:$G$42,5,0),"")</f>
        <v>56225994444 - 56998038459</v>
      </c>
      <c r="I77" s="19">
        <v>3650</v>
      </c>
      <c r="J77" s="67" t="s">
        <v>105</v>
      </c>
      <c r="K77" s="68" t="str">
        <f>IFERROR(VLOOKUP(J77,PROVEEDORES!$A$3:$G$42,2,0),"")</f>
        <v>ESPECIES</v>
      </c>
      <c r="L77" s="69" t="str">
        <f>IFERROR(VLOOKUP(J77,PROVEEDORES!$A$3:$G$42,4,0),"")</f>
        <v>chef@gourmetselect.cl,contabilidad@gourmetselect.cl,pedidos@gourmetselect.cl,info@gourmetselect.cl</v>
      </c>
      <c r="M77" s="18" t="str">
        <f>IFERROR(VLOOKUP(J77,PROVEEDORES!$A$3:$G$42,5,0),"")</f>
        <v>56944921093</v>
      </c>
      <c r="N77" s="19">
        <v>3623</v>
      </c>
      <c r="O77" s="67" t="s">
        <v>41</v>
      </c>
      <c r="P77" s="68" t="str">
        <f>IFERROR(VLOOKUP(O77,PROVEEDORES!$A$3:$G$42,2,0),"")</f>
        <v>FRUTAS Y VERDURAS</v>
      </c>
      <c r="Q77" s="69" t="str">
        <f>IFERROR(VLOOKUP(O77,PROVEEDORES!$A$3:$G$42,4,0),"")</f>
        <v>caseritaencasa@gmail.com</v>
      </c>
      <c r="R77" s="18" t="str">
        <f>IFERROR(VLOOKUP(O77,PROVEEDORES!$A$3:$G$42,5,0),"")</f>
        <v>56952069703</v>
      </c>
      <c r="S77" s="19">
        <v>2992</v>
      </c>
      <c r="T77" s="20">
        <f t="shared" si="2"/>
        <v>3421.6666666666665</v>
      </c>
      <c r="U77" s="21">
        <f t="shared" si="3"/>
        <v>3763.8333333333335</v>
      </c>
    </row>
    <row r="78" spans="1:21" ht="15" customHeight="1" x14ac:dyDescent="0.35">
      <c r="A78" s="6" t="s">
        <v>207</v>
      </c>
      <c r="B78" s="7" t="s">
        <v>283</v>
      </c>
      <c r="C78" s="8" t="s">
        <v>239</v>
      </c>
      <c r="D78" s="9">
        <v>28.074999999999999</v>
      </c>
      <c r="E78" s="64" t="s">
        <v>35</v>
      </c>
      <c r="F78" s="65" t="str">
        <f>IFERROR(VLOOKUP(E78,PROVEEDORES!$A$3:$G$42,2,0),"")</f>
        <v>ABARROTES</v>
      </c>
      <c r="G78" s="66" t="str">
        <f>IFERROR(VLOOKUP(E78,PROVEEDORES!$A$3:$G$42,4,0),"")</f>
        <v>pagos@bidfood.cl,pmolina@bidfood.cl</v>
      </c>
      <c r="H78" s="10" t="str">
        <f>IFERROR(VLOOKUP(E78,PROVEEDORES!$A$3:$G$42,5,0),"")</f>
        <v>56225994444 - 56998038459</v>
      </c>
      <c r="I78" s="11">
        <v>30</v>
      </c>
      <c r="J78" s="64" t="s">
        <v>105</v>
      </c>
      <c r="K78" s="65" t="str">
        <f>IFERROR(VLOOKUP(J78,PROVEEDORES!$A$3:$G$42,2,0),"")</f>
        <v>ESPECIES</v>
      </c>
      <c r="L78" s="66" t="str">
        <f>IFERROR(VLOOKUP(J78,PROVEEDORES!$A$3:$G$42,4,0),"")</f>
        <v>chef@gourmetselect.cl,contabilidad@gourmetselect.cl,pedidos@gourmetselect.cl,info@gourmetselect.cl</v>
      </c>
      <c r="M78" s="10" t="str">
        <f>IFERROR(VLOOKUP(J78,PROVEEDORES!$A$3:$G$42,5,0),"")</f>
        <v>56944921093</v>
      </c>
      <c r="N78" s="11">
        <v>20</v>
      </c>
      <c r="O78" s="64" t="s">
        <v>41</v>
      </c>
      <c r="P78" s="65" t="str">
        <f>IFERROR(VLOOKUP(O78,PROVEEDORES!$A$3:$G$42,2,0),"")</f>
        <v>FRUTAS Y VERDURAS</v>
      </c>
      <c r="Q78" s="66" t="str">
        <f>IFERROR(VLOOKUP(O78,PROVEEDORES!$A$3:$G$42,4,0),"")</f>
        <v>caseritaencasa@gmail.com</v>
      </c>
      <c r="R78" s="10" t="str">
        <f>IFERROR(VLOOKUP(O78,PROVEEDORES!$A$3:$G$42,5,0),"")</f>
        <v>56952069703</v>
      </c>
      <c r="S78" s="11">
        <v>4</v>
      </c>
      <c r="T78" s="12">
        <f t="shared" si="2"/>
        <v>18</v>
      </c>
      <c r="U78" s="13">
        <f t="shared" si="3"/>
        <v>19.8</v>
      </c>
    </row>
    <row r="79" spans="1:21" ht="15" customHeight="1" x14ac:dyDescent="0.35">
      <c r="A79" s="14" t="s">
        <v>207</v>
      </c>
      <c r="B79" s="15" t="s">
        <v>284</v>
      </c>
      <c r="C79" s="16" t="s">
        <v>239</v>
      </c>
      <c r="D79" s="17">
        <v>0.2</v>
      </c>
      <c r="E79" s="67" t="s">
        <v>105</v>
      </c>
      <c r="F79" s="68" t="str">
        <f>IFERROR(VLOOKUP(E79,PROVEEDORES!$A$3:$G$42,2,0),"")</f>
        <v>ESPECIES</v>
      </c>
      <c r="G79" s="69" t="str">
        <f>IFERROR(VLOOKUP(E79,PROVEEDORES!$A$3:$G$42,4,0),"")</f>
        <v>chef@gourmetselect.cl,contabilidad@gourmetselect.cl,pedidos@gourmetselect.cl,info@gourmetselect.cl</v>
      </c>
      <c r="H79" s="18" t="str">
        <f>IFERROR(VLOOKUP(E79,PROVEEDORES!$A$3:$G$42,5,0),"")</f>
        <v>56944921093</v>
      </c>
      <c r="I79" s="19">
        <v>3800</v>
      </c>
      <c r="J79" s="67" t="s">
        <v>35</v>
      </c>
      <c r="K79" s="68" t="str">
        <f>IFERROR(VLOOKUP(J79,PROVEEDORES!$A$3:$G$42,2,0),"")</f>
        <v>ABARROTES</v>
      </c>
      <c r="L79" s="69" t="str">
        <f>IFERROR(VLOOKUP(J79,PROVEEDORES!$A$3:$G$42,4,0),"")</f>
        <v>pagos@bidfood.cl,pmolina@bidfood.cl</v>
      </c>
      <c r="M79" s="18" t="str">
        <f>IFERROR(VLOOKUP(J79,PROVEEDORES!$A$3:$G$42,5,0),"")</f>
        <v>56225994444 - 56998038459</v>
      </c>
      <c r="N79" s="19">
        <v>4250</v>
      </c>
      <c r="O79" s="67" t="s">
        <v>41</v>
      </c>
      <c r="P79" s="68" t="str">
        <f>IFERROR(VLOOKUP(O79,PROVEEDORES!$A$3:$G$42,2,0),"")</f>
        <v>FRUTAS Y VERDURAS</v>
      </c>
      <c r="Q79" s="69" t="str">
        <f>IFERROR(VLOOKUP(O79,PROVEEDORES!$A$3:$G$42,4,0),"")</f>
        <v>caseritaencasa@gmail.com</v>
      </c>
      <c r="R79" s="18" t="str">
        <f>IFERROR(VLOOKUP(O79,PROVEEDORES!$A$3:$G$42,5,0),"")</f>
        <v>56952069703</v>
      </c>
      <c r="S79" s="19">
        <v>4452</v>
      </c>
      <c r="T79" s="20">
        <f t="shared" si="2"/>
        <v>4167.333333333333</v>
      </c>
      <c r="U79" s="21">
        <f t="shared" si="3"/>
        <v>4584.0666666666666</v>
      </c>
    </row>
    <row r="80" spans="1:21" ht="15" customHeight="1" x14ac:dyDescent="0.35">
      <c r="A80" s="6" t="s">
        <v>207</v>
      </c>
      <c r="B80" s="7" t="s">
        <v>285</v>
      </c>
      <c r="C80" s="8" t="s">
        <v>219</v>
      </c>
      <c r="D80" s="9">
        <v>2.7625E-2</v>
      </c>
      <c r="E80" s="64" t="s">
        <v>35</v>
      </c>
      <c r="F80" s="65" t="str">
        <f>IFERROR(VLOOKUP(E80,PROVEEDORES!$A$3:$G$42,2,0),"")</f>
        <v>ABARROTES</v>
      </c>
      <c r="G80" s="66" t="str">
        <f>IFERROR(VLOOKUP(E80,PROVEEDORES!$A$3:$G$42,4,0),"")</f>
        <v>pagos@bidfood.cl,pmolina@bidfood.cl</v>
      </c>
      <c r="H80" s="10" t="str">
        <f>IFERROR(VLOOKUP(E80,PROVEEDORES!$A$3:$G$42,5,0),"")</f>
        <v>56225994444 - 56998038459</v>
      </c>
      <c r="I80" s="11">
        <v>11000</v>
      </c>
      <c r="J80" s="64" t="s">
        <v>105</v>
      </c>
      <c r="K80" s="65" t="str">
        <f>IFERROR(VLOOKUP(J80,PROVEEDORES!$A$3:$G$42,2,0),"")</f>
        <v>ESPECIES</v>
      </c>
      <c r="L80" s="66" t="str">
        <f>IFERROR(VLOOKUP(J80,PROVEEDORES!$A$3:$G$42,4,0),"")</f>
        <v>chef@gourmetselect.cl,contabilidad@gourmetselect.cl,pedidos@gourmetselect.cl,info@gourmetselect.cl</v>
      </c>
      <c r="M80" s="10" t="str">
        <f>IFERROR(VLOOKUP(J80,PROVEEDORES!$A$3:$G$42,5,0),"")</f>
        <v>56944921093</v>
      </c>
      <c r="N80" s="11">
        <v>5770</v>
      </c>
      <c r="O80" s="64" t="s">
        <v>41</v>
      </c>
      <c r="P80" s="65" t="str">
        <f>IFERROR(VLOOKUP(O80,PROVEEDORES!$A$3:$G$42,2,0),"")</f>
        <v>FRUTAS Y VERDURAS</v>
      </c>
      <c r="Q80" s="66" t="str">
        <f>IFERROR(VLOOKUP(O80,PROVEEDORES!$A$3:$G$42,4,0),"")</f>
        <v>caseritaencasa@gmail.com</v>
      </c>
      <c r="R80" s="10" t="str">
        <f>IFERROR(VLOOKUP(O80,PROVEEDORES!$A$3:$G$42,5,0),"")</f>
        <v>56952069703</v>
      </c>
      <c r="S80" s="11">
        <v>15550</v>
      </c>
      <c r="T80" s="12">
        <f t="shared" si="2"/>
        <v>10773.333333333334</v>
      </c>
      <c r="U80" s="13">
        <f t="shared" si="3"/>
        <v>11850.666666666668</v>
      </c>
    </row>
    <row r="81" spans="1:21" ht="15" customHeight="1" x14ac:dyDescent="0.35">
      <c r="A81" s="14" t="s">
        <v>207</v>
      </c>
      <c r="B81" s="15" t="s">
        <v>286</v>
      </c>
      <c r="C81" s="16" t="s">
        <v>219</v>
      </c>
      <c r="D81" s="17">
        <v>0.15862499999999999</v>
      </c>
      <c r="E81" s="67" t="s">
        <v>35</v>
      </c>
      <c r="F81" s="68" t="str">
        <f>IFERROR(VLOOKUP(E81,PROVEEDORES!$A$3:$G$42,2,0),"")</f>
        <v>ABARROTES</v>
      </c>
      <c r="G81" s="69" t="str">
        <f>IFERROR(VLOOKUP(E81,PROVEEDORES!$A$3:$G$42,4,0),"")</f>
        <v>pagos@bidfood.cl,pmolina@bidfood.cl</v>
      </c>
      <c r="H81" s="18" t="str">
        <f>IFERROR(VLOOKUP(E81,PROVEEDORES!$A$3:$G$42,5,0),"")</f>
        <v>56225994444 - 56998038459</v>
      </c>
      <c r="I81" s="19">
        <v>3222</v>
      </c>
      <c r="J81" s="67" t="s">
        <v>105</v>
      </c>
      <c r="K81" s="68" t="str">
        <f>IFERROR(VLOOKUP(J81,PROVEEDORES!$A$3:$G$42,2,0),"")</f>
        <v>ESPECIES</v>
      </c>
      <c r="L81" s="69" t="str">
        <f>IFERROR(VLOOKUP(J81,PROVEEDORES!$A$3:$G$42,4,0),"")</f>
        <v>chef@gourmetselect.cl,contabilidad@gourmetselect.cl,pedidos@gourmetselect.cl,info@gourmetselect.cl</v>
      </c>
      <c r="M81" s="18" t="str">
        <f>IFERROR(VLOOKUP(J81,PROVEEDORES!$A$3:$G$42,5,0),"")</f>
        <v>56944921093</v>
      </c>
      <c r="N81" s="19">
        <v>3870</v>
      </c>
      <c r="O81" s="67" t="s">
        <v>41</v>
      </c>
      <c r="P81" s="68" t="str">
        <f>IFERROR(VLOOKUP(O81,PROVEEDORES!$A$3:$G$42,2,0),"")</f>
        <v>FRUTAS Y VERDURAS</v>
      </c>
      <c r="Q81" s="69" t="str">
        <f>IFERROR(VLOOKUP(O81,PROVEEDORES!$A$3:$G$42,4,0),"")</f>
        <v>caseritaencasa@gmail.com</v>
      </c>
      <c r="R81" s="18" t="str">
        <f>IFERROR(VLOOKUP(O81,PROVEEDORES!$A$3:$G$42,5,0),"")</f>
        <v>56952069703</v>
      </c>
      <c r="S81" s="19">
        <v>443</v>
      </c>
      <c r="T81" s="20">
        <f t="shared" si="2"/>
        <v>2511.6666666666665</v>
      </c>
      <c r="U81" s="21">
        <f t="shared" si="3"/>
        <v>2762.8333333333335</v>
      </c>
    </row>
    <row r="82" spans="1:21" ht="15" customHeight="1" x14ac:dyDescent="0.35">
      <c r="A82" s="6" t="s">
        <v>207</v>
      </c>
      <c r="B82" s="7" t="s">
        <v>287</v>
      </c>
      <c r="C82" s="8" t="s">
        <v>219</v>
      </c>
      <c r="D82" s="9">
        <v>3.7499999999999999E-3</v>
      </c>
      <c r="E82" s="64" t="s">
        <v>35</v>
      </c>
      <c r="F82" s="65" t="str">
        <f>IFERROR(VLOOKUP(E82,PROVEEDORES!$A$3:$G$42,2,0),"")</f>
        <v>ABARROTES</v>
      </c>
      <c r="G82" s="66" t="str">
        <f>IFERROR(VLOOKUP(E82,PROVEEDORES!$A$3:$G$42,4,0),"")</f>
        <v>pagos@bidfood.cl,pmolina@bidfood.cl</v>
      </c>
      <c r="H82" s="10" t="str">
        <f>IFERROR(VLOOKUP(E82,PROVEEDORES!$A$3:$G$42,5,0),"")</f>
        <v>56225994444 - 56998038459</v>
      </c>
      <c r="I82" s="11">
        <v>2055</v>
      </c>
      <c r="J82" s="64" t="s">
        <v>105</v>
      </c>
      <c r="K82" s="65" t="str">
        <f>IFERROR(VLOOKUP(J82,PROVEEDORES!$A$3:$G$42,2,0),"")</f>
        <v>ESPECIES</v>
      </c>
      <c r="L82" s="66" t="str">
        <f>IFERROR(VLOOKUP(J82,PROVEEDORES!$A$3:$G$42,4,0),"")</f>
        <v>chef@gourmetselect.cl,contabilidad@gourmetselect.cl,pedidos@gourmetselect.cl,info@gourmetselect.cl</v>
      </c>
      <c r="M82" s="10" t="str">
        <f>IFERROR(VLOOKUP(J82,PROVEEDORES!$A$3:$G$42,5,0),"")</f>
        <v>56944921093</v>
      </c>
      <c r="N82" s="11">
        <v>2483</v>
      </c>
      <c r="O82" s="64" t="s">
        <v>41</v>
      </c>
      <c r="P82" s="65" t="str">
        <f>IFERROR(VLOOKUP(O82,PROVEEDORES!$A$3:$G$42,2,0),"")</f>
        <v>FRUTAS Y VERDURAS</v>
      </c>
      <c r="Q82" s="66" t="str">
        <f>IFERROR(VLOOKUP(O82,PROVEEDORES!$A$3:$G$42,4,0),"")</f>
        <v>caseritaencasa@gmail.com</v>
      </c>
      <c r="R82" s="10" t="str">
        <f>IFERROR(VLOOKUP(O82,PROVEEDORES!$A$3:$G$42,5,0),"")</f>
        <v>56952069703</v>
      </c>
      <c r="S82" s="11">
        <v>265</v>
      </c>
      <c r="T82" s="12">
        <f t="shared" si="2"/>
        <v>1601</v>
      </c>
      <c r="U82" s="13">
        <f t="shared" si="3"/>
        <v>1761.1000000000001</v>
      </c>
    </row>
    <row r="83" spans="1:21" ht="15" customHeight="1" x14ac:dyDescent="0.35">
      <c r="A83" s="14" t="s">
        <v>207</v>
      </c>
      <c r="B83" s="15" t="s">
        <v>288</v>
      </c>
      <c r="C83" s="16" t="s">
        <v>239</v>
      </c>
      <c r="D83" s="17">
        <v>0.14680000000000001</v>
      </c>
      <c r="E83" s="67" t="s">
        <v>35</v>
      </c>
      <c r="F83" s="68" t="str">
        <f>IFERROR(VLOOKUP(E83,PROVEEDORES!$A$3:$G$42,2,0),"")</f>
        <v>ABARROTES</v>
      </c>
      <c r="G83" s="69" t="str">
        <f>IFERROR(VLOOKUP(E83,PROVEEDORES!$A$3:$G$42,4,0),"")</f>
        <v>pagos@bidfood.cl,pmolina@bidfood.cl</v>
      </c>
      <c r="H83" s="18" t="str">
        <f>IFERROR(VLOOKUP(E83,PROVEEDORES!$A$3:$G$42,5,0),"")</f>
        <v>56225994444 - 56998038459</v>
      </c>
      <c r="I83" s="19">
        <v>6000</v>
      </c>
      <c r="J83" s="67" t="s">
        <v>105</v>
      </c>
      <c r="K83" s="68" t="str">
        <f>IFERROR(VLOOKUP(J83,PROVEEDORES!$A$3:$G$42,2,0),"")</f>
        <v>ESPECIES</v>
      </c>
      <c r="L83" s="69" t="str">
        <f>IFERROR(VLOOKUP(J83,PROVEEDORES!$A$3:$G$42,4,0),"")</f>
        <v>chef@gourmetselect.cl,contabilidad@gourmetselect.cl,pedidos@gourmetselect.cl,info@gourmetselect.cl</v>
      </c>
      <c r="M83" s="18" t="str">
        <f>IFERROR(VLOOKUP(J83,PROVEEDORES!$A$3:$G$42,5,0),"")</f>
        <v>56944921093</v>
      </c>
      <c r="N83" s="19">
        <v>1770</v>
      </c>
      <c r="O83" s="67" t="s">
        <v>41</v>
      </c>
      <c r="P83" s="68" t="str">
        <f>IFERROR(VLOOKUP(O83,PROVEEDORES!$A$3:$G$42,2,0),"")</f>
        <v>FRUTAS Y VERDURAS</v>
      </c>
      <c r="Q83" s="69" t="str">
        <f>IFERROR(VLOOKUP(O83,PROVEEDORES!$A$3:$G$42,4,0),"")</f>
        <v>caseritaencasa@gmail.com</v>
      </c>
      <c r="R83" s="18" t="str">
        <f>IFERROR(VLOOKUP(O83,PROVEEDORES!$A$3:$G$42,5,0),"")</f>
        <v>56952069703</v>
      </c>
      <c r="S83" s="19">
        <v>10462</v>
      </c>
      <c r="T83" s="20">
        <f t="shared" si="2"/>
        <v>6077.333333333333</v>
      </c>
      <c r="U83" s="21">
        <f t="shared" si="3"/>
        <v>6685.0666666666666</v>
      </c>
    </row>
    <row r="84" spans="1:21" ht="15" customHeight="1" x14ac:dyDescent="0.35">
      <c r="A84" s="6" t="s">
        <v>207</v>
      </c>
      <c r="B84" s="7" t="s">
        <v>289</v>
      </c>
      <c r="C84" s="8" t="s">
        <v>209</v>
      </c>
      <c r="D84" s="9">
        <v>0.44574999999999998</v>
      </c>
      <c r="E84" s="64" t="s">
        <v>35</v>
      </c>
      <c r="F84" s="65" t="str">
        <f>IFERROR(VLOOKUP(E84,PROVEEDORES!$A$3:$G$42,2,0),"")</f>
        <v>ABARROTES</v>
      </c>
      <c r="G84" s="66" t="str">
        <f>IFERROR(VLOOKUP(E84,PROVEEDORES!$A$3:$G$42,4,0),"")</f>
        <v>pagos@bidfood.cl,pmolina@bidfood.cl</v>
      </c>
      <c r="H84" s="10" t="str">
        <f>IFERROR(VLOOKUP(E84,PROVEEDORES!$A$3:$G$42,5,0),"")</f>
        <v>56225994444 - 56998038459</v>
      </c>
      <c r="I84" s="11">
        <v>3744</v>
      </c>
      <c r="J84" s="64" t="s">
        <v>105</v>
      </c>
      <c r="K84" s="65" t="str">
        <f>IFERROR(VLOOKUP(J84,PROVEEDORES!$A$3:$G$42,2,0),"")</f>
        <v>ESPECIES</v>
      </c>
      <c r="L84" s="66" t="str">
        <f>IFERROR(VLOOKUP(J84,PROVEEDORES!$A$3:$G$42,4,0),"")</f>
        <v>chef@gourmetselect.cl,contabilidad@gourmetselect.cl,pedidos@gourmetselect.cl,info@gourmetselect.cl</v>
      </c>
      <c r="M84" s="10" t="str">
        <f>IFERROR(VLOOKUP(J84,PROVEEDORES!$A$3:$G$42,5,0),"")</f>
        <v>56944921093</v>
      </c>
      <c r="N84" s="11">
        <v>3699</v>
      </c>
      <c r="O84" s="64" t="s">
        <v>41</v>
      </c>
      <c r="P84" s="65" t="str">
        <f>IFERROR(VLOOKUP(O84,PROVEEDORES!$A$3:$G$42,2,0),"")</f>
        <v>FRUTAS Y VERDURAS</v>
      </c>
      <c r="Q84" s="66" t="str">
        <f>IFERROR(VLOOKUP(O84,PROVEEDORES!$A$3:$G$42,4,0),"")</f>
        <v>caseritaencasa@gmail.com</v>
      </c>
      <c r="R84" s="10" t="str">
        <f>IFERROR(VLOOKUP(O84,PROVEEDORES!$A$3:$G$42,5,0),"")</f>
        <v>56952069703</v>
      </c>
      <c r="S84" s="11">
        <v>2443</v>
      </c>
      <c r="T84" s="12">
        <f t="shared" si="2"/>
        <v>3295.3333333333335</v>
      </c>
      <c r="U84" s="13">
        <f t="shared" si="3"/>
        <v>3624.8666666666672</v>
      </c>
    </row>
    <row r="85" spans="1:21" ht="15" customHeight="1" x14ac:dyDescent="0.35">
      <c r="A85" s="14" t="s">
        <v>207</v>
      </c>
      <c r="B85" s="15" t="s">
        <v>290</v>
      </c>
      <c r="C85" s="16" t="s">
        <v>219</v>
      </c>
      <c r="D85" s="17">
        <v>0.11890000000000001</v>
      </c>
      <c r="E85" s="67" t="s">
        <v>35</v>
      </c>
      <c r="F85" s="68" t="str">
        <f>IFERROR(VLOOKUP(E85,PROVEEDORES!$A$3:$G$42,2,0),"")</f>
        <v>ABARROTES</v>
      </c>
      <c r="G85" s="69" t="str">
        <f>IFERROR(VLOOKUP(E85,PROVEEDORES!$A$3:$G$42,4,0),"")</f>
        <v>pagos@bidfood.cl,pmolina@bidfood.cl</v>
      </c>
      <c r="H85" s="18" t="str">
        <f>IFERROR(VLOOKUP(E85,PROVEEDORES!$A$3:$G$42,5,0),"")</f>
        <v>56225994444 - 56998038459</v>
      </c>
      <c r="I85" s="19">
        <v>4653</v>
      </c>
      <c r="J85" s="67" t="s">
        <v>105</v>
      </c>
      <c r="K85" s="68" t="str">
        <f>IFERROR(VLOOKUP(J85,PROVEEDORES!$A$3:$G$42,2,0),"")</f>
        <v>ESPECIES</v>
      </c>
      <c r="L85" s="69" t="str">
        <f>IFERROR(VLOOKUP(J85,PROVEEDORES!$A$3:$G$42,4,0),"")</f>
        <v>chef@gourmetselect.cl,contabilidad@gourmetselect.cl,pedidos@gourmetselect.cl,info@gourmetselect.cl</v>
      </c>
      <c r="M85" s="18" t="str">
        <f>IFERROR(VLOOKUP(J85,PROVEEDORES!$A$3:$G$42,5,0),"")</f>
        <v>56944921093</v>
      </c>
      <c r="N85" s="19">
        <v>4988</v>
      </c>
      <c r="O85" s="67" t="s">
        <v>41</v>
      </c>
      <c r="P85" s="68" t="str">
        <f>IFERROR(VLOOKUP(O85,PROVEEDORES!$A$3:$G$42,2,0),"")</f>
        <v>FRUTAS Y VERDURAS</v>
      </c>
      <c r="Q85" s="69" t="str">
        <f>IFERROR(VLOOKUP(O85,PROVEEDORES!$A$3:$G$42,4,0),"")</f>
        <v>caseritaencasa@gmail.com</v>
      </c>
      <c r="R85" s="18" t="str">
        <f>IFERROR(VLOOKUP(O85,PROVEEDORES!$A$3:$G$42,5,0),"")</f>
        <v>56952069703</v>
      </c>
      <c r="S85" s="19">
        <v>7325</v>
      </c>
      <c r="T85" s="20">
        <f t="shared" si="2"/>
        <v>5655.333333333333</v>
      </c>
      <c r="U85" s="21">
        <f t="shared" si="3"/>
        <v>6220.8666666666668</v>
      </c>
    </row>
    <row r="86" spans="1:21" ht="15" customHeight="1" x14ac:dyDescent="0.35">
      <c r="A86" s="6" t="s">
        <v>207</v>
      </c>
      <c r="B86" s="7" t="s">
        <v>291</v>
      </c>
      <c r="C86" s="8" t="s">
        <v>219</v>
      </c>
      <c r="D86" s="9">
        <v>5.0000000000000001E-4</v>
      </c>
      <c r="E86" s="64" t="s">
        <v>105</v>
      </c>
      <c r="F86" s="65" t="str">
        <f>IFERROR(VLOOKUP(E86,PROVEEDORES!$A$3:$G$42,2,0),"")</f>
        <v>ESPECIES</v>
      </c>
      <c r="G86" s="66" t="str">
        <f>IFERROR(VLOOKUP(E86,PROVEEDORES!$A$3:$G$42,4,0),"")</f>
        <v>chef@gourmetselect.cl,contabilidad@gourmetselect.cl,pedidos@gourmetselect.cl,info@gourmetselect.cl</v>
      </c>
      <c r="H86" s="10" t="str">
        <f>IFERROR(VLOOKUP(E86,PROVEEDORES!$A$3:$G$42,5,0),"")</f>
        <v>56944921093</v>
      </c>
      <c r="I86" s="11">
        <v>8395</v>
      </c>
      <c r="J86" s="64" t="s">
        <v>35</v>
      </c>
      <c r="K86" s="65" t="str">
        <f>IFERROR(VLOOKUP(J86,PROVEEDORES!$A$3:$G$42,2,0),"")</f>
        <v>ABARROTES</v>
      </c>
      <c r="L86" s="66" t="str">
        <f>IFERROR(VLOOKUP(J86,PROVEEDORES!$A$3:$G$42,4,0),"")</f>
        <v>pagos@bidfood.cl,pmolina@bidfood.cl</v>
      </c>
      <c r="M86" s="10" t="str">
        <f>IFERROR(VLOOKUP(J86,PROVEEDORES!$A$3:$G$42,5,0),"")</f>
        <v>56225994444 - 56998038459</v>
      </c>
      <c r="N86" s="11">
        <v>3547</v>
      </c>
      <c r="O86" s="64" t="s">
        <v>41</v>
      </c>
      <c r="P86" s="65" t="str">
        <f>IFERROR(VLOOKUP(O86,PROVEEDORES!$A$3:$G$42,2,0),"")</f>
        <v>FRUTAS Y VERDURAS</v>
      </c>
      <c r="Q86" s="66" t="str">
        <f>IFERROR(VLOOKUP(O86,PROVEEDORES!$A$3:$G$42,4,0),"")</f>
        <v>caseritaencasa@gmail.com</v>
      </c>
      <c r="R86" s="10" t="str">
        <f>IFERROR(VLOOKUP(O86,PROVEEDORES!$A$3:$G$42,5,0),"")</f>
        <v>56952069703</v>
      </c>
      <c r="S86" s="11">
        <v>11886</v>
      </c>
      <c r="T86" s="12">
        <f t="shared" si="2"/>
        <v>7942.666666666667</v>
      </c>
      <c r="U86" s="13">
        <f t="shared" si="3"/>
        <v>8736.9333333333343</v>
      </c>
    </row>
    <row r="87" spans="1:21" ht="15" customHeight="1" x14ac:dyDescent="0.35">
      <c r="A87" s="14" t="s">
        <v>207</v>
      </c>
      <c r="B87" s="15" t="s">
        <v>292</v>
      </c>
      <c r="C87" s="16" t="s">
        <v>239</v>
      </c>
      <c r="D87" s="17">
        <v>16</v>
      </c>
      <c r="E87" s="67" t="s">
        <v>74</v>
      </c>
      <c r="F87" s="68" t="str">
        <f>IFERROR(VLOOKUP(E87,PROVEEDORES!$A$3:$G$42,2,0),"")</f>
        <v>ABARROTES Y VERDURAS</v>
      </c>
      <c r="G87" s="69" t="str">
        <f>IFERROR(VLOOKUP(E87,PROVEEDORES!$A$3:$G$42,4,0),"")</f>
        <v>santacatalina3@gmail.com</v>
      </c>
      <c r="H87" s="18" t="str">
        <f>IFERROR(VLOOKUP(E87,PROVEEDORES!$A$3:$G$42,5,0),"")</f>
        <v>56996996469</v>
      </c>
      <c r="I87" s="19">
        <v>20</v>
      </c>
      <c r="J87" s="67" t="s">
        <v>35</v>
      </c>
      <c r="K87" s="68" t="str">
        <f>IFERROR(VLOOKUP(J87,PROVEEDORES!$A$3:$G$42,2,0),"")</f>
        <v>ABARROTES</v>
      </c>
      <c r="L87" s="69" t="str">
        <f>IFERROR(VLOOKUP(J87,PROVEEDORES!$A$3:$G$42,4,0),"")</f>
        <v>pagos@bidfood.cl,pmolina@bidfood.cl</v>
      </c>
      <c r="M87" s="18" t="str">
        <f>IFERROR(VLOOKUP(J87,PROVEEDORES!$A$3:$G$42,5,0),"")</f>
        <v>56225994444 - 56998038459</v>
      </c>
      <c r="N87" s="19">
        <v>21</v>
      </c>
      <c r="O87" s="67" t="s">
        <v>105</v>
      </c>
      <c r="P87" s="68" t="str">
        <f>IFERROR(VLOOKUP(O87,PROVEEDORES!$A$3:$G$42,2,0),"")</f>
        <v>ESPECIES</v>
      </c>
      <c r="Q87" s="69" t="str">
        <f>IFERROR(VLOOKUP(O87,PROVEEDORES!$A$3:$G$42,4,0),"")</f>
        <v>chef@gourmetselect.cl,contabilidad@gourmetselect.cl,pedidos@gourmetselect.cl,info@gourmetselect.cl</v>
      </c>
      <c r="R87" s="18" t="str">
        <f>IFERROR(VLOOKUP(O87,PROVEEDORES!$A$3:$G$42,5,0),"")</f>
        <v>56944921093</v>
      </c>
      <c r="S87" s="19">
        <v>27</v>
      </c>
      <c r="T87" s="20">
        <f t="shared" si="2"/>
        <v>22.666666666666668</v>
      </c>
      <c r="U87" s="21">
        <f t="shared" si="3"/>
        <v>24.933333333333337</v>
      </c>
    </row>
    <row r="88" spans="1:21" ht="15" customHeight="1" x14ac:dyDescent="0.35">
      <c r="A88" s="6" t="s">
        <v>207</v>
      </c>
      <c r="B88" s="7" t="s">
        <v>293</v>
      </c>
      <c r="C88" s="8" t="s">
        <v>219</v>
      </c>
      <c r="D88" s="9">
        <v>2.5000000000000001E-3</v>
      </c>
      <c r="E88" s="64" t="s">
        <v>35</v>
      </c>
      <c r="F88" s="65" t="str">
        <f>IFERROR(VLOOKUP(E88,PROVEEDORES!$A$3:$G$42,2,0),"")</f>
        <v>ABARROTES</v>
      </c>
      <c r="G88" s="66" t="str">
        <f>IFERROR(VLOOKUP(E88,PROVEEDORES!$A$3:$G$42,4,0),"")</f>
        <v>pagos@bidfood.cl,pmolina@bidfood.cl</v>
      </c>
      <c r="H88" s="10" t="str">
        <f>IFERROR(VLOOKUP(E88,PROVEEDORES!$A$3:$G$42,5,0),"")</f>
        <v>56225994444 - 56998038459</v>
      </c>
      <c r="I88" s="11">
        <v>4300</v>
      </c>
      <c r="J88" s="64" t="s">
        <v>105</v>
      </c>
      <c r="K88" s="65" t="str">
        <f>IFERROR(VLOOKUP(J88,PROVEEDORES!$A$3:$G$42,2,0),"")</f>
        <v>ESPECIES</v>
      </c>
      <c r="L88" s="66" t="str">
        <f>IFERROR(VLOOKUP(J88,PROVEEDORES!$A$3:$G$42,4,0),"")</f>
        <v>chef@gourmetselect.cl,contabilidad@gourmetselect.cl,pedidos@gourmetselect.cl,info@gourmetselect.cl</v>
      </c>
      <c r="M88" s="10" t="str">
        <f>IFERROR(VLOOKUP(J88,PROVEEDORES!$A$3:$G$42,5,0),"")</f>
        <v>56944921093</v>
      </c>
      <c r="N88" s="11">
        <v>7119</v>
      </c>
      <c r="O88" s="64" t="s">
        <v>41</v>
      </c>
      <c r="P88" s="65" t="str">
        <f>IFERROR(VLOOKUP(O88,PROVEEDORES!$A$3:$G$42,2,0),"")</f>
        <v>FRUTAS Y VERDURAS</v>
      </c>
      <c r="Q88" s="66" t="str">
        <f>IFERROR(VLOOKUP(O88,PROVEEDORES!$A$3:$G$42,4,0),"")</f>
        <v>caseritaencasa@gmail.com</v>
      </c>
      <c r="R88" s="10" t="str">
        <f>IFERROR(VLOOKUP(O88,PROVEEDORES!$A$3:$G$42,5,0),"")</f>
        <v>56952069703</v>
      </c>
      <c r="S88" s="11">
        <v>6741</v>
      </c>
      <c r="T88" s="12">
        <f t="shared" si="2"/>
        <v>6053.333333333333</v>
      </c>
      <c r="U88" s="13">
        <f t="shared" si="3"/>
        <v>6658.666666666667</v>
      </c>
    </row>
    <row r="89" spans="1:21" ht="15" customHeight="1" x14ac:dyDescent="0.35">
      <c r="A89" s="14" t="s">
        <v>207</v>
      </c>
      <c r="B89" s="15" t="s">
        <v>294</v>
      </c>
      <c r="C89" s="16" t="s">
        <v>219</v>
      </c>
      <c r="D89" s="17">
        <v>2.5000000000000001E-3</v>
      </c>
      <c r="E89" s="67" t="s">
        <v>35</v>
      </c>
      <c r="F89" s="68" t="str">
        <f>IFERROR(VLOOKUP(E89,PROVEEDORES!$A$3:$G$42,2,0),"")</f>
        <v>ABARROTES</v>
      </c>
      <c r="G89" s="69" t="str">
        <f>IFERROR(VLOOKUP(E89,PROVEEDORES!$A$3:$G$42,4,0),"")</f>
        <v>pagos@bidfood.cl,pmolina@bidfood.cl</v>
      </c>
      <c r="H89" s="18" t="str">
        <f>IFERROR(VLOOKUP(E89,PROVEEDORES!$A$3:$G$42,5,0),"")</f>
        <v>56225994444 - 56998038459</v>
      </c>
      <c r="I89" s="19">
        <v>2600</v>
      </c>
      <c r="J89" s="67" t="s">
        <v>105</v>
      </c>
      <c r="K89" s="68" t="str">
        <f>IFERROR(VLOOKUP(J89,PROVEEDORES!$A$3:$G$42,2,0),"")</f>
        <v>ESPECIES</v>
      </c>
      <c r="L89" s="69" t="str">
        <f>IFERROR(VLOOKUP(J89,PROVEEDORES!$A$3:$G$42,4,0),"")</f>
        <v>chef@gourmetselect.cl,contabilidad@gourmetselect.cl,pedidos@gourmetselect.cl,info@gourmetselect.cl</v>
      </c>
      <c r="M89" s="18" t="str">
        <f>IFERROR(VLOOKUP(J89,PROVEEDORES!$A$3:$G$42,5,0),"")</f>
        <v>56944921093</v>
      </c>
      <c r="N89" s="19">
        <v>3201</v>
      </c>
      <c r="O89" s="67" t="s">
        <v>41</v>
      </c>
      <c r="P89" s="68" t="str">
        <f>IFERROR(VLOOKUP(O89,PROVEEDORES!$A$3:$G$42,2,0),"")</f>
        <v>FRUTAS Y VERDURAS</v>
      </c>
      <c r="Q89" s="69" t="str">
        <f>IFERROR(VLOOKUP(O89,PROVEEDORES!$A$3:$G$42,4,0),"")</f>
        <v>caseritaencasa@gmail.com</v>
      </c>
      <c r="R89" s="18" t="str">
        <f>IFERROR(VLOOKUP(O89,PROVEEDORES!$A$3:$G$42,5,0),"")</f>
        <v>56952069703</v>
      </c>
      <c r="S89" s="19">
        <v>4728</v>
      </c>
      <c r="T89" s="20">
        <f t="shared" si="2"/>
        <v>3509.6666666666665</v>
      </c>
      <c r="U89" s="21">
        <f t="shared" si="3"/>
        <v>3860.6333333333337</v>
      </c>
    </row>
    <row r="90" spans="1:21" ht="15" customHeight="1" x14ac:dyDescent="0.35">
      <c r="A90" s="6" t="s">
        <v>207</v>
      </c>
      <c r="B90" s="7" t="s">
        <v>295</v>
      </c>
      <c r="C90" s="8" t="s">
        <v>219</v>
      </c>
      <c r="D90" s="9">
        <v>0.25787500000000002</v>
      </c>
      <c r="E90" s="64" t="s">
        <v>105</v>
      </c>
      <c r="F90" s="65" t="str">
        <f>IFERROR(VLOOKUP(E90,PROVEEDORES!$A$3:$G$42,2,0),"")</f>
        <v>ESPECIES</v>
      </c>
      <c r="G90" s="66" t="str">
        <f>IFERROR(VLOOKUP(E90,PROVEEDORES!$A$3:$G$42,4,0),"")</f>
        <v>chef@gourmetselect.cl,contabilidad@gourmetselect.cl,pedidos@gourmetselect.cl,info@gourmetselect.cl</v>
      </c>
      <c r="H90" s="10" t="str">
        <f>IFERROR(VLOOKUP(E90,PROVEEDORES!$A$3:$G$42,5,0),"")</f>
        <v>56944921093</v>
      </c>
      <c r="I90" s="11">
        <v>6500</v>
      </c>
      <c r="J90" s="64" t="s">
        <v>35</v>
      </c>
      <c r="K90" s="65" t="str">
        <f>IFERROR(VLOOKUP(J90,PROVEEDORES!$A$3:$G$42,2,0),"")</f>
        <v>ABARROTES</v>
      </c>
      <c r="L90" s="66" t="str">
        <f>IFERROR(VLOOKUP(J90,PROVEEDORES!$A$3:$G$42,4,0),"")</f>
        <v>pagos@bidfood.cl,pmolina@bidfood.cl</v>
      </c>
      <c r="M90" s="10" t="str">
        <f>IFERROR(VLOOKUP(J90,PROVEEDORES!$A$3:$G$42,5,0),"")</f>
        <v>56225994444 - 56998038459</v>
      </c>
      <c r="N90" s="11">
        <v>8840</v>
      </c>
      <c r="O90" s="64" t="s">
        <v>41</v>
      </c>
      <c r="P90" s="65" t="str">
        <f>IFERROR(VLOOKUP(O90,PROVEEDORES!$A$3:$G$42,2,0),"")</f>
        <v>FRUTAS Y VERDURAS</v>
      </c>
      <c r="Q90" s="66" t="str">
        <f>IFERROR(VLOOKUP(O90,PROVEEDORES!$A$3:$G$42,4,0),"")</f>
        <v>caseritaencasa@gmail.com</v>
      </c>
      <c r="R90" s="10" t="str">
        <f>IFERROR(VLOOKUP(O90,PROVEEDORES!$A$3:$G$42,5,0),"")</f>
        <v>56952069703</v>
      </c>
      <c r="S90" s="11">
        <v>-235</v>
      </c>
      <c r="T90" s="12">
        <f t="shared" si="2"/>
        <v>5035</v>
      </c>
      <c r="U90" s="13">
        <f t="shared" si="3"/>
        <v>5538.5</v>
      </c>
    </row>
    <row r="91" spans="1:21" ht="15" customHeight="1" x14ac:dyDescent="0.35">
      <c r="A91" s="14" t="s">
        <v>207</v>
      </c>
      <c r="B91" s="15" t="s">
        <v>296</v>
      </c>
      <c r="C91" s="16" t="s">
        <v>219</v>
      </c>
      <c r="D91" s="17">
        <v>7.0000000000000007E-2</v>
      </c>
      <c r="E91" s="67" t="s">
        <v>35</v>
      </c>
      <c r="F91" s="68" t="str">
        <f>IFERROR(VLOOKUP(E91,PROVEEDORES!$A$3:$G$42,2,0),"")</f>
        <v>ABARROTES</v>
      </c>
      <c r="G91" s="69" t="str">
        <f>IFERROR(VLOOKUP(E91,PROVEEDORES!$A$3:$G$42,4,0),"")</f>
        <v>pagos@bidfood.cl,pmolina@bidfood.cl</v>
      </c>
      <c r="H91" s="18" t="str">
        <f>IFERROR(VLOOKUP(E91,PROVEEDORES!$A$3:$G$42,5,0),"")</f>
        <v>56225994444 - 56998038459</v>
      </c>
      <c r="I91" s="19">
        <v>3500</v>
      </c>
      <c r="J91" s="67" t="s">
        <v>105</v>
      </c>
      <c r="K91" s="68" t="str">
        <f>IFERROR(VLOOKUP(J91,PROVEEDORES!$A$3:$G$42,2,0),"")</f>
        <v>ESPECIES</v>
      </c>
      <c r="L91" s="69" t="str">
        <f>IFERROR(VLOOKUP(J91,PROVEEDORES!$A$3:$G$42,4,0),"")</f>
        <v>chef@gourmetselect.cl,contabilidad@gourmetselect.cl,pedidos@gourmetselect.cl,info@gourmetselect.cl</v>
      </c>
      <c r="M91" s="18" t="str">
        <f>IFERROR(VLOOKUP(J91,PROVEEDORES!$A$3:$G$42,5,0),"")</f>
        <v>56944921093</v>
      </c>
      <c r="N91" s="19">
        <v>1489</v>
      </c>
      <c r="O91" s="67" t="s">
        <v>41</v>
      </c>
      <c r="P91" s="68" t="str">
        <f>IFERROR(VLOOKUP(O91,PROVEEDORES!$A$3:$G$42,2,0),"")</f>
        <v>FRUTAS Y VERDURAS</v>
      </c>
      <c r="Q91" s="69" t="str">
        <f>IFERROR(VLOOKUP(O91,PROVEEDORES!$A$3:$G$42,4,0),"")</f>
        <v>caseritaencasa@gmail.com</v>
      </c>
      <c r="R91" s="18" t="str">
        <f>IFERROR(VLOOKUP(O91,PROVEEDORES!$A$3:$G$42,5,0),"")</f>
        <v>56952069703</v>
      </c>
      <c r="S91" s="19">
        <v>-150</v>
      </c>
      <c r="T91" s="20">
        <f t="shared" si="2"/>
        <v>1613</v>
      </c>
      <c r="U91" s="21">
        <f t="shared" si="3"/>
        <v>1774.3000000000002</v>
      </c>
    </row>
    <row r="92" spans="1:21" ht="15" customHeight="1" x14ac:dyDescent="0.35">
      <c r="A92" s="6" t="s">
        <v>207</v>
      </c>
      <c r="B92" s="7" t="s">
        <v>297</v>
      </c>
      <c r="C92" s="8" t="s">
        <v>239</v>
      </c>
      <c r="D92" s="9">
        <v>0.1</v>
      </c>
      <c r="E92" s="64" t="s">
        <v>35</v>
      </c>
      <c r="F92" s="65" t="str">
        <f>IFERROR(VLOOKUP(E92,PROVEEDORES!$A$3:$G$42,2,0),"")</f>
        <v>ABARROTES</v>
      </c>
      <c r="G92" s="66" t="str">
        <f>IFERROR(VLOOKUP(E92,PROVEEDORES!$A$3:$G$42,4,0),"")</f>
        <v>pagos@bidfood.cl,pmolina@bidfood.cl</v>
      </c>
      <c r="H92" s="10" t="str">
        <f>IFERROR(VLOOKUP(E92,PROVEEDORES!$A$3:$G$42,5,0),"")</f>
        <v>56225994444 - 56998038459</v>
      </c>
      <c r="I92" s="11">
        <v>2184</v>
      </c>
      <c r="J92" s="64" t="s">
        <v>105</v>
      </c>
      <c r="K92" s="65" t="str">
        <f>IFERROR(VLOOKUP(J92,PROVEEDORES!$A$3:$G$42,2,0),"")</f>
        <v>ESPECIES</v>
      </c>
      <c r="L92" s="66" t="str">
        <f>IFERROR(VLOOKUP(J92,PROVEEDORES!$A$3:$G$42,4,0),"")</f>
        <v>chef@gourmetselect.cl,contabilidad@gourmetselect.cl,pedidos@gourmetselect.cl,info@gourmetselect.cl</v>
      </c>
      <c r="M92" s="10" t="str">
        <f>IFERROR(VLOOKUP(J92,PROVEEDORES!$A$3:$G$42,5,0),"")</f>
        <v>56944921093</v>
      </c>
      <c r="N92" s="11">
        <v>2715</v>
      </c>
      <c r="O92" s="64" t="s">
        <v>41</v>
      </c>
      <c r="P92" s="65" t="str">
        <f>IFERROR(VLOOKUP(O92,PROVEEDORES!$A$3:$G$42,2,0),"")</f>
        <v>FRUTAS Y VERDURAS</v>
      </c>
      <c r="Q92" s="66" t="str">
        <f>IFERROR(VLOOKUP(O92,PROVEEDORES!$A$3:$G$42,4,0),"")</f>
        <v>caseritaencasa@gmail.com</v>
      </c>
      <c r="R92" s="10" t="str">
        <f>IFERROR(VLOOKUP(O92,PROVEEDORES!$A$3:$G$42,5,0),"")</f>
        <v>56952069703</v>
      </c>
      <c r="S92" s="11">
        <v>776</v>
      </c>
      <c r="T92" s="12">
        <f t="shared" si="2"/>
        <v>1891.6666666666667</v>
      </c>
      <c r="U92" s="13">
        <f t="shared" si="3"/>
        <v>2080.8333333333335</v>
      </c>
    </row>
    <row r="93" spans="1:21" ht="15" customHeight="1" x14ac:dyDescent="0.35">
      <c r="A93" s="14" t="s">
        <v>207</v>
      </c>
      <c r="B93" s="15" t="s">
        <v>298</v>
      </c>
      <c r="C93" s="16" t="s">
        <v>209</v>
      </c>
      <c r="D93" s="17">
        <v>9.2499999999999995E-3</v>
      </c>
      <c r="E93" s="67" t="s">
        <v>35</v>
      </c>
      <c r="F93" s="68" t="str">
        <f>IFERROR(VLOOKUP(E93,PROVEEDORES!$A$3:$G$42,2,0),"")</f>
        <v>ABARROTES</v>
      </c>
      <c r="G93" s="69" t="str">
        <f>IFERROR(VLOOKUP(E93,PROVEEDORES!$A$3:$G$42,4,0),"")</f>
        <v>pagos@bidfood.cl,pmolina@bidfood.cl</v>
      </c>
      <c r="H93" s="18" t="str">
        <f>IFERROR(VLOOKUP(E93,PROVEEDORES!$A$3:$G$42,5,0),"")</f>
        <v>56225994444 - 56998038459</v>
      </c>
      <c r="I93" s="19">
        <v>6600</v>
      </c>
      <c r="J93" s="67" t="s">
        <v>105</v>
      </c>
      <c r="K93" s="68" t="str">
        <f>IFERROR(VLOOKUP(J93,PROVEEDORES!$A$3:$G$42,2,0),"")</f>
        <v>ESPECIES</v>
      </c>
      <c r="L93" s="69" t="str">
        <f>IFERROR(VLOOKUP(J93,PROVEEDORES!$A$3:$G$42,4,0),"")</f>
        <v>chef@gourmetselect.cl,contabilidad@gourmetselect.cl,pedidos@gourmetselect.cl,info@gourmetselect.cl</v>
      </c>
      <c r="M93" s="18" t="str">
        <f>IFERROR(VLOOKUP(J93,PROVEEDORES!$A$3:$G$42,5,0),"")</f>
        <v>56944921093</v>
      </c>
      <c r="N93" s="19">
        <v>8481</v>
      </c>
      <c r="O93" s="67" t="s">
        <v>41</v>
      </c>
      <c r="P93" s="68" t="str">
        <f>IFERROR(VLOOKUP(O93,PROVEEDORES!$A$3:$G$42,2,0),"")</f>
        <v>FRUTAS Y VERDURAS</v>
      </c>
      <c r="Q93" s="69" t="str">
        <f>IFERROR(VLOOKUP(O93,PROVEEDORES!$A$3:$G$42,4,0),"")</f>
        <v>caseritaencasa@gmail.com</v>
      </c>
      <c r="R93" s="18" t="str">
        <f>IFERROR(VLOOKUP(O93,PROVEEDORES!$A$3:$G$42,5,0),"")</f>
        <v>56952069703</v>
      </c>
      <c r="S93" s="19">
        <v>9402</v>
      </c>
      <c r="T93" s="20">
        <f t="shared" si="2"/>
        <v>8161</v>
      </c>
      <c r="U93" s="21">
        <f t="shared" si="3"/>
        <v>8977.1</v>
      </c>
    </row>
    <row r="94" spans="1:21" ht="15" customHeight="1" x14ac:dyDescent="0.35">
      <c r="A94" s="6" t="s">
        <v>207</v>
      </c>
      <c r="B94" s="7" t="s">
        <v>299</v>
      </c>
      <c r="C94" s="8" t="s">
        <v>209</v>
      </c>
      <c r="D94" s="9">
        <v>1.0999999999999999E-2</v>
      </c>
      <c r="E94" s="64" t="s">
        <v>35</v>
      </c>
      <c r="F94" s="65" t="str">
        <f>IFERROR(VLOOKUP(E94,PROVEEDORES!$A$3:$G$42,2,0),"")</f>
        <v>ABARROTES</v>
      </c>
      <c r="G94" s="66" t="str">
        <f>IFERROR(VLOOKUP(E94,PROVEEDORES!$A$3:$G$42,4,0),"")</f>
        <v>pagos@bidfood.cl,pmolina@bidfood.cl</v>
      </c>
      <c r="H94" s="10" t="str">
        <f>IFERROR(VLOOKUP(E94,PROVEEDORES!$A$3:$G$42,5,0),"")</f>
        <v>56225994444 - 56998038459</v>
      </c>
      <c r="I94" s="11">
        <v>101050</v>
      </c>
      <c r="J94" s="64" t="s">
        <v>105</v>
      </c>
      <c r="K94" s="65" t="str">
        <f>IFERROR(VLOOKUP(J94,PROVEEDORES!$A$3:$G$42,2,0),"")</f>
        <v>ESPECIES</v>
      </c>
      <c r="L94" s="66" t="str">
        <f>IFERROR(VLOOKUP(J94,PROVEEDORES!$A$3:$G$42,4,0),"")</f>
        <v>chef@gourmetselect.cl,contabilidad@gourmetselect.cl,pedidos@gourmetselect.cl,info@gourmetselect.cl</v>
      </c>
      <c r="M94" s="10" t="str">
        <f>IFERROR(VLOOKUP(J94,PROVEEDORES!$A$3:$G$42,5,0),"")</f>
        <v>56944921093</v>
      </c>
      <c r="N94" s="11">
        <v>119542</v>
      </c>
      <c r="O94" s="64" t="s">
        <v>41</v>
      </c>
      <c r="P94" s="65" t="str">
        <f>IFERROR(VLOOKUP(O94,PROVEEDORES!$A$3:$G$42,2,0),"")</f>
        <v>FRUTAS Y VERDURAS</v>
      </c>
      <c r="Q94" s="66" t="str">
        <f>IFERROR(VLOOKUP(O94,PROVEEDORES!$A$3:$G$42,4,0),"")</f>
        <v>caseritaencasa@gmail.com</v>
      </c>
      <c r="R94" s="10" t="str">
        <f>IFERROR(VLOOKUP(O94,PROVEEDORES!$A$3:$G$42,5,0),"")</f>
        <v>56952069703</v>
      </c>
      <c r="S94" s="11">
        <v>134396</v>
      </c>
      <c r="T94" s="12">
        <f t="shared" si="2"/>
        <v>118329.33333333333</v>
      </c>
      <c r="U94" s="13">
        <f t="shared" si="3"/>
        <v>130162.26666666668</v>
      </c>
    </row>
    <row r="95" spans="1:21" ht="15" customHeight="1" x14ac:dyDescent="0.35">
      <c r="A95" s="14" t="s">
        <v>207</v>
      </c>
      <c r="B95" s="15" t="s">
        <v>300</v>
      </c>
      <c r="C95" s="16" t="s">
        <v>209</v>
      </c>
      <c r="D95" s="17">
        <v>8.0000000000000002E-3</v>
      </c>
      <c r="E95" s="67" t="s">
        <v>35</v>
      </c>
      <c r="F95" s="68" t="str">
        <f>IFERROR(VLOOKUP(E95,PROVEEDORES!$A$3:$G$42,2,0),"")</f>
        <v>ABARROTES</v>
      </c>
      <c r="G95" s="69" t="str">
        <f>IFERROR(VLOOKUP(E95,PROVEEDORES!$A$3:$G$42,4,0),"")</f>
        <v>pagos@bidfood.cl,pmolina@bidfood.cl</v>
      </c>
      <c r="H95" s="18" t="str">
        <f>IFERROR(VLOOKUP(E95,PROVEEDORES!$A$3:$G$42,5,0),"")</f>
        <v>56225994444 - 56998038459</v>
      </c>
      <c r="I95" s="19">
        <v>47500</v>
      </c>
      <c r="J95" s="67" t="s">
        <v>105</v>
      </c>
      <c r="K95" s="68" t="str">
        <f>IFERROR(VLOOKUP(J95,PROVEEDORES!$A$3:$G$42,2,0),"")</f>
        <v>ESPECIES</v>
      </c>
      <c r="L95" s="69" t="str">
        <f>IFERROR(VLOOKUP(J95,PROVEEDORES!$A$3:$G$42,4,0),"")</f>
        <v>chef@gourmetselect.cl,contabilidad@gourmetselect.cl,pedidos@gourmetselect.cl,info@gourmetselect.cl</v>
      </c>
      <c r="M95" s="18" t="str">
        <f>IFERROR(VLOOKUP(J95,PROVEEDORES!$A$3:$G$42,5,0),"")</f>
        <v>56944921093</v>
      </c>
      <c r="N95" s="19">
        <v>32680</v>
      </c>
      <c r="O95" s="67" t="s">
        <v>41</v>
      </c>
      <c r="P95" s="68" t="str">
        <f>IFERROR(VLOOKUP(O95,PROVEEDORES!$A$3:$G$42,2,0),"")</f>
        <v>FRUTAS Y VERDURAS</v>
      </c>
      <c r="Q95" s="69" t="str">
        <f>IFERROR(VLOOKUP(O95,PROVEEDORES!$A$3:$G$42,4,0),"")</f>
        <v>caseritaencasa@gmail.com</v>
      </c>
      <c r="R95" s="18" t="str">
        <f>IFERROR(VLOOKUP(O95,PROVEEDORES!$A$3:$G$42,5,0),"")</f>
        <v>56952069703</v>
      </c>
      <c r="S95" s="19">
        <v>48440</v>
      </c>
      <c r="T95" s="20">
        <f t="shared" si="2"/>
        <v>42873.333333333336</v>
      </c>
      <c r="U95" s="21">
        <f t="shared" si="3"/>
        <v>47160.666666666672</v>
      </c>
    </row>
    <row r="96" spans="1:21" ht="15" customHeight="1" x14ac:dyDescent="0.35">
      <c r="A96" s="6" t="s">
        <v>207</v>
      </c>
      <c r="B96" s="7" t="s">
        <v>301</v>
      </c>
      <c r="C96" s="8" t="s">
        <v>209</v>
      </c>
      <c r="D96" s="9">
        <v>1.0999999999999999E-2</v>
      </c>
      <c r="E96" s="64" t="s">
        <v>35</v>
      </c>
      <c r="F96" s="65" t="str">
        <f>IFERROR(VLOOKUP(E96,PROVEEDORES!$A$3:$G$42,2,0),"")</f>
        <v>ABARROTES</v>
      </c>
      <c r="G96" s="66" t="str">
        <f>IFERROR(VLOOKUP(E96,PROVEEDORES!$A$3:$G$42,4,0),"")</f>
        <v>pagos@bidfood.cl,pmolina@bidfood.cl</v>
      </c>
      <c r="H96" s="10" t="str">
        <f>IFERROR(VLOOKUP(E96,PROVEEDORES!$A$3:$G$42,5,0),"")</f>
        <v>56225994444 - 56998038459</v>
      </c>
      <c r="I96" s="11">
        <v>112000</v>
      </c>
      <c r="J96" s="64" t="s">
        <v>105</v>
      </c>
      <c r="K96" s="65" t="str">
        <f>IFERROR(VLOOKUP(J96,PROVEEDORES!$A$3:$G$42,2,0),"")</f>
        <v>ESPECIES</v>
      </c>
      <c r="L96" s="66" t="str">
        <f>IFERROR(VLOOKUP(J96,PROVEEDORES!$A$3:$G$42,4,0),"")</f>
        <v>chef@gourmetselect.cl,contabilidad@gourmetselect.cl,pedidos@gourmetselect.cl,info@gourmetselect.cl</v>
      </c>
      <c r="M96" s="10" t="str">
        <f>IFERROR(VLOOKUP(J96,PROVEEDORES!$A$3:$G$42,5,0),"")</f>
        <v>56944921093</v>
      </c>
      <c r="N96" s="11">
        <v>163744</v>
      </c>
      <c r="O96" s="64" t="s">
        <v>41</v>
      </c>
      <c r="P96" s="65" t="str">
        <f>IFERROR(VLOOKUP(O96,PROVEEDORES!$A$3:$G$42,2,0),"")</f>
        <v>FRUTAS Y VERDURAS</v>
      </c>
      <c r="Q96" s="66" t="str">
        <f>IFERROR(VLOOKUP(O96,PROVEEDORES!$A$3:$G$42,4,0),"")</f>
        <v>caseritaencasa@gmail.com</v>
      </c>
      <c r="R96" s="10" t="str">
        <f>IFERROR(VLOOKUP(O96,PROVEEDORES!$A$3:$G$42,5,0),"")</f>
        <v>56952069703</v>
      </c>
      <c r="S96" s="11">
        <v>75286</v>
      </c>
      <c r="T96" s="12">
        <f t="shared" si="2"/>
        <v>117010</v>
      </c>
      <c r="U96" s="13">
        <f t="shared" si="3"/>
        <v>128711.00000000001</v>
      </c>
    </row>
    <row r="97" spans="1:21" ht="15" customHeight="1" x14ac:dyDescent="0.35">
      <c r="A97" s="14" t="s">
        <v>207</v>
      </c>
      <c r="B97" s="15" t="s">
        <v>302</v>
      </c>
      <c r="C97" s="16" t="s">
        <v>209</v>
      </c>
      <c r="D97" s="17">
        <v>0.20797499999999999</v>
      </c>
      <c r="E97" s="67" t="s">
        <v>35</v>
      </c>
      <c r="F97" s="68" t="str">
        <f>IFERROR(VLOOKUP(E97,PROVEEDORES!$A$3:$G$42,2,0),"")</f>
        <v>ABARROTES</v>
      </c>
      <c r="G97" s="69" t="str">
        <f>IFERROR(VLOOKUP(E97,PROVEEDORES!$A$3:$G$42,4,0),"")</f>
        <v>pagos@bidfood.cl,pmolina@bidfood.cl</v>
      </c>
      <c r="H97" s="18" t="str">
        <f>IFERROR(VLOOKUP(E97,PROVEEDORES!$A$3:$G$42,5,0),"")</f>
        <v>56225994444 - 56998038459</v>
      </c>
      <c r="I97" s="19">
        <v>1293</v>
      </c>
      <c r="J97" s="67" t="s">
        <v>105</v>
      </c>
      <c r="K97" s="68" t="str">
        <f>IFERROR(VLOOKUP(J97,PROVEEDORES!$A$3:$G$42,2,0),"")</f>
        <v>ESPECIES</v>
      </c>
      <c r="L97" s="69" t="str">
        <f>IFERROR(VLOOKUP(J97,PROVEEDORES!$A$3:$G$42,4,0),"")</f>
        <v>chef@gourmetselect.cl,contabilidad@gourmetselect.cl,pedidos@gourmetselect.cl,info@gourmetselect.cl</v>
      </c>
      <c r="M97" s="18" t="str">
        <f>IFERROR(VLOOKUP(J97,PROVEEDORES!$A$3:$G$42,5,0),"")</f>
        <v>56944921093</v>
      </c>
      <c r="N97" s="19">
        <v>2102</v>
      </c>
      <c r="O97" s="67" t="s">
        <v>41</v>
      </c>
      <c r="P97" s="68" t="str">
        <f>IFERROR(VLOOKUP(O97,PROVEEDORES!$A$3:$G$42,2,0),"")</f>
        <v>FRUTAS Y VERDURAS</v>
      </c>
      <c r="Q97" s="69" t="str">
        <f>IFERROR(VLOOKUP(O97,PROVEEDORES!$A$3:$G$42,4,0),"")</f>
        <v>caseritaencasa@gmail.com</v>
      </c>
      <c r="R97" s="18" t="str">
        <f>IFERROR(VLOOKUP(O97,PROVEEDORES!$A$3:$G$42,5,0),"")</f>
        <v>56952069703</v>
      </c>
      <c r="S97" s="19">
        <v>2283</v>
      </c>
      <c r="T97" s="20">
        <f t="shared" si="2"/>
        <v>1892.6666666666667</v>
      </c>
      <c r="U97" s="21">
        <f t="shared" si="3"/>
        <v>2081.9333333333334</v>
      </c>
    </row>
    <row r="98" spans="1:21" ht="15" customHeight="1" x14ac:dyDescent="0.35">
      <c r="A98" s="6" t="s">
        <v>207</v>
      </c>
      <c r="B98" s="7" t="s">
        <v>303</v>
      </c>
      <c r="C98" s="8" t="s">
        <v>219</v>
      </c>
      <c r="D98" s="9">
        <v>5.0000000000000001E-3</v>
      </c>
      <c r="E98" s="64" t="s">
        <v>35</v>
      </c>
      <c r="F98" s="65" t="str">
        <f>IFERROR(VLOOKUP(E98,PROVEEDORES!$A$3:$G$42,2,0),"")</f>
        <v>ABARROTES</v>
      </c>
      <c r="G98" s="66" t="str">
        <f>IFERROR(VLOOKUP(E98,PROVEEDORES!$A$3:$G$42,4,0),"")</f>
        <v>pagos@bidfood.cl,pmolina@bidfood.cl</v>
      </c>
      <c r="H98" s="10" t="str">
        <f>IFERROR(VLOOKUP(E98,PROVEEDORES!$A$3:$G$42,5,0),"")</f>
        <v>56225994444 - 56998038459</v>
      </c>
      <c r="I98" s="11">
        <v>44800</v>
      </c>
      <c r="J98" s="64" t="s">
        <v>105</v>
      </c>
      <c r="K98" s="65" t="str">
        <f>IFERROR(VLOOKUP(J98,PROVEEDORES!$A$3:$G$42,2,0),"")</f>
        <v>ESPECIES</v>
      </c>
      <c r="L98" s="66" t="str">
        <f>IFERROR(VLOOKUP(J98,PROVEEDORES!$A$3:$G$42,4,0),"")</f>
        <v>chef@gourmetselect.cl,contabilidad@gourmetselect.cl,pedidos@gourmetselect.cl,info@gourmetselect.cl</v>
      </c>
      <c r="M98" s="10" t="str">
        <f>IFERROR(VLOOKUP(J98,PROVEEDORES!$A$3:$G$42,5,0),"")</f>
        <v>56944921093</v>
      </c>
      <c r="N98" s="11">
        <v>37341</v>
      </c>
      <c r="O98" s="64" t="s">
        <v>41</v>
      </c>
      <c r="P98" s="65" t="str">
        <f>IFERROR(VLOOKUP(O98,PROVEEDORES!$A$3:$G$42,2,0),"")</f>
        <v>FRUTAS Y VERDURAS</v>
      </c>
      <c r="Q98" s="66" t="str">
        <f>IFERROR(VLOOKUP(O98,PROVEEDORES!$A$3:$G$42,4,0),"")</f>
        <v>caseritaencasa@gmail.com</v>
      </c>
      <c r="R98" s="10" t="str">
        <f>IFERROR(VLOOKUP(O98,PROVEEDORES!$A$3:$G$42,5,0),"")</f>
        <v>56952069703</v>
      </c>
      <c r="S98" s="11">
        <v>84717</v>
      </c>
      <c r="T98" s="12">
        <f t="shared" si="2"/>
        <v>55619.333333333336</v>
      </c>
      <c r="U98" s="13">
        <f t="shared" si="3"/>
        <v>61181.266666666677</v>
      </c>
    </row>
    <row r="99" spans="1:21" ht="15" customHeight="1" x14ac:dyDescent="0.35">
      <c r="A99" s="14" t="s">
        <v>207</v>
      </c>
      <c r="B99" s="15" t="s">
        <v>304</v>
      </c>
      <c r="C99" s="16" t="s">
        <v>219</v>
      </c>
      <c r="D99" s="17">
        <v>1.3749999999999999E-3</v>
      </c>
      <c r="E99" s="67" t="s">
        <v>35</v>
      </c>
      <c r="F99" s="68" t="str">
        <f>IFERROR(VLOOKUP(E99,PROVEEDORES!$A$3:$G$42,2,0),"")</f>
        <v>ABARROTES</v>
      </c>
      <c r="G99" s="69" t="str">
        <f>IFERROR(VLOOKUP(E99,PROVEEDORES!$A$3:$G$42,4,0),"")</f>
        <v>pagos@bidfood.cl,pmolina@bidfood.cl</v>
      </c>
      <c r="H99" s="18" t="str">
        <f>IFERROR(VLOOKUP(E99,PROVEEDORES!$A$3:$G$42,5,0),"")</f>
        <v>56225994444 - 56998038459</v>
      </c>
      <c r="I99" s="19">
        <v>25216</v>
      </c>
      <c r="J99" s="67" t="s">
        <v>105</v>
      </c>
      <c r="K99" s="68" t="str">
        <f>IFERROR(VLOOKUP(J99,PROVEEDORES!$A$3:$G$42,2,0),"")</f>
        <v>ESPECIES</v>
      </c>
      <c r="L99" s="69" t="str">
        <f>IFERROR(VLOOKUP(J99,PROVEEDORES!$A$3:$G$42,4,0),"")</f>
        <v>chef@gourmetselect.cl,contabilidad@gourmetselect.cl,pedidos@gourmetselect.cl,info@gourmetselect.cl</v>
      </c>
      <c r="M99" s="18" t="str">
        <f>IFERROR(VLOOKUP(J99,PROVEEDORES!$A$3:$G$42,5,0),"")</f>
        <v>56944921093</v>
      </c>
      <c r="N99" s="19">
        <v>41367</v>
      </c>
      <c r="O99" s="67" t="s">
        <v>41</v>
      </c>
      <c r="P99" s="68" t="str">
        <f>IFERROR(VLOOKUP(O99,PROVEEDORES!$A$3:$G$42,2,0),"")</f>
        <v>FRUTAS Y VERDURAS</v>
      </c>
      <c r="Q99" s="69" t="str">
        <f>IFERROR(VLOOKUP(O99,PROVEEDORES!$A$3:$G$42,4,0),"")</f>
        <v>caseritaencasa@gmail.com</v>
      </c>
      <c r="R99" s="18" t="str">
        <f>IFERROR(VLOOKUP(O99,PROVEEDORES!$A$3:$G$42,5,0),"")</f>
        <v>56952069703</v>
      </c>
      <c r="S99" s="19">
        <v>44244</v>
      </c>
      <c r="T99" s="20">
        <f t="shared" si="2"/>
        <v>36942.333333333336</v>
      </c>
      <c r="U99" s="21">
        <f t="shared" si="3"/>
        <v>40636.566666666673</v>
      </c>
    </row>
    <row r="100" spans="1:21" ht="15" customHeight="1" x14ac:dyDescent="0.35">
      <c r="A100" s="6" t="s">
        <v>207</v>
      </c>
      <c r="B100" s="7" t="s">
        <v>305</v>
      </c>
      <c r="C100" s="8" t="s">
        <v>209</v>
      </c>
      <c r="D100" s="9">
        <v>2.6250000000000002E-3</v>
      </c>
      <c r="E100" s="64" t="s">
        <v>35</v>
      </c>
      <c r="F100" s="65" t="str">
        <f>IFERROR(VLOOKUP(E100,PROVEEDORES!$A$3:$G$42,2,0),"")</f>
        <v>ABARROTES</v>
      </c>
      <c r="G100" s="66" t="str">
        <f>IFERROR(VLOOKUP(E100,PROVEEDORES!$A$3:$G$42,4,0),"")</f>
        <v>pagos@bidfood.cl,pmolina@bidfood.cl</v>
      </c>
      <c r="H100" s="10" t="str">
        <f>IFERROR(VLOOKUP(E100,PROVEEDORES!$A$3:$G$42,5,0),"")</f>
        <v>56225994444 - 56998038459</v>
      </c>
      <c r="I100" s="11">
        <v>35100</v>
      </c>
      <c r="J100" s="64" t="s">
        <v>105</v>
      </c>
      <c r="K100" s="65" t="str">
        <f>IFERROR(VLOOKUP(J100,PROVEEDORES!$A$3:$G$42,2,0),"")</f>
        <v>ESPECIES</v>
      </c>
      <c r="L100" s="66" t="str">
        <f>IFERROR(VLOOKUP(J100,PROVEEDORES!$A$3:$G$42,4,0),"")</f>
        <v>chef@gourmetselect.cl,contabilidad@gourmetselect.cl,pedidos@gourmetselect.cl,info@gourmetselect.cl</v>
      </c>
      <c r="M100" s="10" t="str">
        <f>IFERROR(VLOOKUP(J100,PROVEEDORES!$A$3:$G$42,5,0),"")</f>
        <v>56944921093</v>
      </c>
      <c r="N100" s="11">
        <v>11934</v>
      </c>
      <c r="O100" s="64" t="s">
        <v>41</v>
      </c>
      <c r="P100" s="65" t="str">
        <f>IFERROR(VLOOKUP(O100,PROVEEDORES!$A$3:$G$42,2,0),"")</f>
        <v>FRUTAS Y VERDURAS</v>
      </c>
      <c r="Q100" s="66" t="str">
        <f>IFERROR(VLOOKUP(O100,PROVEEDORES!$A$3:$G$42,4,0),"")</f>
        <v>caseritaencasa@gmail.com</v>
      </c>
      <c r="R100" s="10" t="str">
        <f>IFERROR(VLOOKUP(O100,PROVEEDORES!$A$3:$G$42,5,0),"")</f>
        <v>56952069703</v>
      </c>
      <c r="S100" s="11">
        <v>67224</v>
      </c>
      <c r="T100" s="12">
        <f t="shared" si="2"/>
        <v>38086</v>
      </c>
      <c r="U100" s="13">
        <f t="shared" si="3"/>
        <v>41894.600000000006</v>
      </c>
    </row>
    <row r="101" spans="1:21" ht="15" customHeight="1" x14ac:dyDescent="0.35">
      <c r="A101" s="14" t="s">
        <v>207</v>
      </c>
      <c r="B101" s="15" t="s">
        <v>306</v>
      </c>
      <c r="C101" s="16" t="s">
        <v>219</v>
      </c>
      <c r="D101" s="17">
        <v>0.02</v>
      </c>
      <c r="E101" s="67" t="s">
        <v>35</v>
      </c>
      <c r="F101" s="68" t="str">
        <f>IFERROR(VLOOKUP(E101,PROVEEDORES!$A$3:$G$42,2,0),"")</f>
        <v>ABARROTES</v>
      </c>
      <c r="G101" s="69" t="str">
        <f>IFERROR(VLOOKUP(E101,PROVEEDORES!$A$3:$G$42,4,0),"")</f>
        <v>pagos@bidfood.cl,pmolina@bidfood.cl</v>
      </c>
      <c r="H101" s="18" t="str">
        <f>IFERROR(VLOOKUP(E101,PROVEEDORES!$A$3:$G$42,5,0),"")</f>
        <v>56225994444 - 56998038459</v>
      </c>
      <c r="I101" s="19">
        <v>1452</v>
      </c>
      <c r="J101" s="67" t="s">
        <v>105</v>
      </c>
      <c r="K101" s="68" t="str">
        <f>IFERROR(VLOOKUP(J101,PROVEEDORES!$A$3:$G$42,2,0),"")</f>
        <v>ESPECIES</v>
      </c>
      <c r="L101" s="69" t="str">
        <f>IFERROR(VLOOKUP(J101,PROVEEDORES!$A$3:$G$42,4,0),"")</f>
        <v>chef@gourmetselect.cl,contabilidad@gourmetselect.cl,pedidos@gourmetselect.cl,info@gourmetselect.cl</v>
      </c>
      <c r="M101" s="18" t="str">
        <f>IFERROR(VLOOKUP(J101,PROVEEDORES!$A$3:$G$42,5,0),"")</f>
        <v>56944921093</v>
      </c>
      <c r="N101" s="19">
        <v>2029</v>
      </c>
      <c r="O101" s="67" t="s">
        <v>41</v>
      </c>
      <c r="P101" s="68" t="str">
        <f>IFERROR(VLOOKUP(O101,PROVEEDORES!$A$3:$G$42,2,0),"")</f>
        <v>FRUTAS Y VERDURAS</v>
      </c>
      <c r="Q101" s="69" t="str">
        <f>IFERROR(VLOOKUP(O101,PROVEEDORES!$A$3:$G$42,4,0),"")</f>
        <v>caseritaencasa@gmail.com</v>
      </c>
      <c r="R101" s="18" t="str">
        <f>IFERROR(VLOOKUP(O101,PROVEEDORES!$A$3:$G$42,5,0),"")</f>
        <v>56952069703</v>
      </c>
      <c r="S101" s="19">
        <v>3014</v>
      </c>
      <c r="T101" s="20">
        <f t="shared" si="2"/>
        <v>2165</v>
      </c>
      <c r="U101" s="21">
        <f t="shared" si="3"/>
        <v>2381.5</v>
      </c>
    </row>
    <row r="102" spans="1:21" ht="15" customHeight="1" x14ac:dyDescent="0.35">
      <c r="A102" s="6" t="s">
        <v>207</v>
      </c>
      <c r="B102" s="7" t="s">
        <v>307</v>
      </c>
      <c r="C102" s="8" t="s">
        <v>219</v>
      </c>
      <c r="D102" s="9">
        <v>0.1</v>
      </c>
      <c r="E102" s="64" t="s">
        <v>35</v>
      </c>
      <c r="F102" s="65" t="str">
        <f>IFERROR(VLOOKUP(E102,PROVEEDORES!$A$3:$G$42,2,0),"")</f>
        <v>ABARROTES</v>
      </c>
      <c r="G102" s="66" t="str">
        <f>IFERROR(VLOOKUP(E102,PROVEEDORES!$A$3:$G$42,4,0),"")</f>
        <v>pagos@bidfood.cl,pmolina@bidfood.cl</v>
      </c>
      <c r="H102" s="10" t="str">
        <f>IFERROR(VLOOKUP(E102,PROVEEDORES!$A$3:$G$42,5,0),"")</f>
        <v>56225994444 - 56998038459</v>
      </c>
      <c r="I102" s="11">
        <v>3125</v>
      </c>
      <c r="J102" s="64" t="s">
        <v>105</v>
      </c>
      <c r="K102" s="65" t="str">
        <f>IFERROR(VLOOKUP(J102,PROVEEDORES!$A$3:$G$42,2,0),"")</f>
        <v>ESPECIES</v>
      </c>
      <c r="L102" s="66" t="str">
        <f>IFERROR(VLOOKUP(J102,PROVEEDORES!$A$3:$G$42,4,0),"")</f>
        <v>chef@gourmetselect.cl,contabilidad@gourmetselect.cl,pedidos@gourmetselect.cl,info@gourmetselect.cl</v>
      </c>
      <c r="M102" s="10" t="str">
        <f>IFERROR(VLOOKUP(J102,PROVEEDORES!$A$3:$G$42,5,0),"")</f>
        <v>56944921093</v>
      </c>
      <c r="N102" s="11">
        <v>2675</v>
      </c>
      <c r="O102" s="64" t="s">
        <v>41</v>
      </c>
      <c r="P102" s="65" t="str">
        <f>IFERROR(VLOOKUP(O102,PROVEEDORES!$A$3:$G$42,2,0),"")</f>
        <v>FRUTAS Y VERDURAS</v>
      </c>
      <c r="Q102" s="66" t="str">
        <f>IFERROR(VLOOKUP(O102,PROVEEDORES!$A$3:$G$42,4,0),"")</f>
        <v>caseritaencasa@gmail.com</v>
      </c>
      <c r="R102" s="10" t="str">
        <f>IFERROR(VLOOKUP(O102,PROVEEDORES!$A$3:$G$42,5,0),"")</f>
        <v>56952069703</v>
      </c>
      <c r="S102" s="11">
        <v>1516</v>
      </c>
      <c r="T102" s="12">
        <f t="shared" si="2"/>
        <v>2438.6666666666665</v>
      </c>
      <c r="U102" s="13">
        <f t="shared" si="3"/>
        <v>2682.5333333333333</v>
      </c>
    </row>
    <row r="103" spans="1:21" ht="15" customHeight="1" x14ac:dyDescent="0.35">
      <c r="A103" s="14" t="s">
        <v>207</v>
      </c>
      <c r="B103" s="15" t="s">
        <v>308</v>
      </c>
      <c r="C103" s="16" t="s">
        <v>219</v>
      </c>
      <c r="D103" s="17">
        <v>7.1499999999999994E-2</v>
      </c>
      <c r="E103" s="67" t="s">
        <v>35</v>
      </c>
      <c r="F103" s="68" t="str">
        <f>IFERROR(VLOOKUP(E103,PROVEEDORES!$A$3:$G$42,2,0),"")</f>
        <v>ABARROTES</v>
      </c>
      <c r="G103" s="69" t="str">
        <f>IFERROR(VLOOKUP(E103,PROVEEDORES!$A$3:$G$42,4,0),"")</f>
        <v>pagos@bidfood.cl,pmolina@bidfood.cl</v>
      </c>
      <c r="H103" s="18" t="str">
        <f>IFERROR(VLOOKUP(E103,PROVEEDORES!$A$3:$G$42,5,0),"")</f>
        <v>56225994444 - 56998038459</v>
      </c>
      <c r="I103" s="19">
        <v>15530</v>
      </c>
      <c r="J103" s="67" t="s">
        <v>105</v>
      </c>
      <c r="K103" s="68" t="str">
        <f>IFERROR(VLOOKUP(J103,PROVEEDORES!$A$3:$G$42,2,0),"")</f>
        <v>ESPECIES</v>
      </c>
      <c r="L103" s="69" t="str">
        <f>IFERROR(VLOOKUP(J103,PROVEEDORES!$A$3:$G$42,4,0),"")</f>
        <v>chef@gourmetselect.cl,contabilidad@gourmetselect.cl,pedidos@gourmetselect.cl,info@gourmetselect.cl</v>
      </c>
      <c r="M103" s="18" t="str">
        <f>IFERROR(VLOOKUP(J103,PROVEEDORES!$A$3:$G$42,5,0),"")</f>
        <v>56944921093</v>
      </c>
      <c r="N103" s="19">
        <v>22868</v>
      </c>
      <c r="O103" s="67" t="s">
        <v>41</v>
      </c>
      <c r="P103" s="68" t="str">
        <f>IFERROR(VLOOKUP(O103,PROVEEDORES!$A$3:$G$42,2,0),"")</f>
        <v>FRUTAS Y VERDURAS</v>
      </c>
      <c r="Q103" s="69" t="str">
        <f>IFERROR(VLOOKUP(O103,PROVEEDORES!$A$3:$G$42,4,0),"")</f>
        <v>caseritaencasa@gmail.com</v>
      </c>
      <c r="R103" s="18" t="str">
        <f>IFERROR(VLOOKUP(O103,PROVEEDORES!$A$3:$G$42,5,0),"")</f>
        <v>56952069703</v>
      </c>
      <c r="S103" s="19">
        <v>24140</v>
      </c>
      <c r="T103" s="20">
        <f t="shared" si="2"/>
        <v>20846</v>
      </c>
      <c r="U103" s="21">
        <f t="shared" si="3"/>
        <v>22930.600000000002</v>
      </c>
    </row>
    <row r="104" spans="1:21" ht="15" customHeight="1" x14ac:dyDescent="0.35">
      <c r="A104" s="6" t="s">
        <v>207</v>
      </c>
      <c r="B104" s="7" t="s">
        <v>309</v>
      </c>
      <c r="C104" s="8" t="s">
        <v>219</v>
      </c>
      <c r="D104" s="9">
        <v>1.6E-2</v>
      </c>
      <c r="E104" s="64" t="s">
        <v>35</v>
      </c>
      <c r="F104" s="65" t="str">
        <f>IFERROR(VLOOKUP(E104,PROVEEDORES!$A$3:$G$42,2,0),"")</f>
        <v>ABARROTES</v>
      </c>
      <c r="G104" s="66" t="str">
        <f>IFERROR(VLOOKUP(E104,PROVEEDORES!$A$3:$G$42,4,0),"")</f>
        <v>pagos@bidfood.cl,pmolina@bidfood.cl</v>
      </c>
      <c r="H104" s="10" t="str">
        <f>IFERROR(VLOOKUP(E104,PROVEEDORES!$A$3:$G$42,5,0),"")</f>
        <v>56225994444 - 56998038459</v>
      </c>
      <c r="I104" s="11">
        <v>230666</v>
      </c>
      <c r="J104" s="64" t="s">
        <v>105</v>
      </c>
      <c r="K104" s="65" t="str">
        <f>IFERROR(VLOOKUP(J104,PROVEEDORES!$A$3:$G$42,2,0),"")</f>
        <v>ESPECIES</v>
      </c>
      <c r="L104" s="66" t="str">
        <f>IFERROR(VLOOKUP(J104,PROVEEDORES!$A$3:$G$42,4,0),"")</f>
        <v>chef@gourmetselect.cl,contabilidad@gourmetselect.cl,pedidos@gourmetselect.cl,info@gourmetselect.cl</v>
      </c>
      <c r="M104" s="10" t="str">
        <f>IFERROR(VLOOKUP(J104,PROVEEDORES!$A$3:$G$42,5,0),"")</f>
        <v>56944921093</v>
      </c>
      <c r="N104" s="11">
        <v>224092</v>
      </c>
      <c r="O104" s="64" t="s">
        <v>41</v>
      </c>
      <c r="P104" s="65" t="str">
        <f>IFERROR(VLOOKUP(O104,PROVEEDORES!$A$3:$G$42,2,0),"")</f>
        <v>FRUTAS Y VERDURAS</v>
      </c>
      <c r="Q104" s="66" t="str">
        <f>IFERROR(VLOOKUP(O104,PROVEEDORES!$A$3:$G$42,4,0),"")</f>
        <v>caseritaencasa@gmail.com</v>
      </c>
      <c r="R104" s="10" t="str">
        <f>IFERROR(VLOOKUP(O104,PROVEEDORES!$A$3:$G$42,5,0),"")</f>
        <v>56952069703</v>
      </c>
      <c r="S104" s="11">
        <v>19053</v>
      </c>
      <c r="T104" s="12">
        <f t="shared" si="2"/>
        <v>157937</v>
      </c>
      <c r="U104" s="13">
        <f t="shared" si="3"/>
        <v>173730.7</v>
      </c>
    </row>
    <row r="105" spans="1:21" ht="15" customHeight="1" x14ac:dyDescent="0.35">
      <c r="A105" s="14" t="s">
        <v>207</v>
      </c>
      <c r="B105" s="15" t="s">
        <v>310</v>
      </c>
      <c r="C105" s="16" t="s">
        <v>239</v>
      </c>
      <c r="D105" s="17">
        <v>0.03</v>
      </c>
      <c r="E105" s="67" t="s">
        <v>35</v>
      </c>
      <c r="F105" s="68" t="str">
        <f>IFERROR(VLOOKUP(E105,PROVEEDORES!$A$3:$G$42,2,0),"")</f>
        <v>ABARROTES</v>
      </c>
      <c r="G105" s="69" t="str">
        <f>IFERROR(VLOOKUP(E105,PROVEEDORES!$A$3:$G$42,4,0),"")</f>
        <v>pagos@bidfood.cl,pmolina@bidfood.cl</v>
      </c>
      <c r="H105" s="18" t="str">
        <f>IFERROR(VLOOKUP(E105,PROVEEDORES!$A$3:$G$42,5,0),"")</f>
        <v>56225994444 - 56998038459</v>
      </c>
      <c r="I105" s="19">
        <v>2520</v>
      </c>
      <c r="J105" s="67" t="s">
        <v>105</v>
      </c>
      <c r="K105" s="68" t="str">
        <f>IFERROR(VLOOKUP(J105,PROVEEDORES!$A$3:$G$42,2,0),"")</f>
        <v>ESPECIES</v>
      </c>
      <c r="L105" s="69" t="str">
        <f>IFERROR(VLOOKUP(J105,PROVEEDORES!$A$3:$G$42,4,0),"")</f>
        <v>chef@gourmetselect.cl,contabilidad@gourmetselect.cl,pedidos@gourmetselect.cl,info@gourmetselect.cl</v>
      </c>
      <c r="M105" s="18" t="str">
        <f>IFERROR(VLOOKUP(J105,PROVEEDORES!$A$3:$G$42,5,0),"")</f>
        <v>56944921093</v>
      </c>
      <c r="N105" s="19">
        <v>4108</v>
      </c>
      <c r="O105" s="67" t="s">
        <v>41</v>
      </c>
      <c r="P105" s="68" t="str">
        <f>IFERROR(VLOOKUP(O105,PROVEEDORES!$A$3:$G$42,2,0),"")</f>
        <v>FRUTAS Y VERDURAS</v>
      </c>
      <c r="Q105" s="69" t="str">
        <f>IFERROR(VLOOKUP(O105,PROVEEDORES!$A$3:$G$42,4,0),"")</f>
        <v>caseritaencasa@gmail.com</v>
      </c>
      <c r="R105" s="18" t="str">
        <f>IFERROR(VLOOKUP(O105,PROVEEDORES!$A$3:$G$42,5,0),"")</f>
        <v>56952069703</v>
      </c>
      <c r="S105" s="19">
        <v>1860</v>
      </c>
      <c r="T105" s="20">
        <f t="shared" si="2"/>
        <v>2829.3333333333335</v>
      </c>
      <c r="U105" s="21">
        <f t="shared" si="3"/>
        <v>3112.2666666666669</v>
      </c>
    </row>
    <row r="106" spans="1:21" ht="15" customHeight="1" x14ac:dyDescent="0.35">
      <c r="A106" s="6" t="s">
        <v>207</v>
      </c>
      <c r="B106" s="7" t="s">
        <v>311</v>
      </c>
      <c r="C106" s="8" t="s">
        <v>239</v>
      </c>
      <c r="D106" s="9">
        <v>3.2000000000000001E-2</v>
      </c>
      <c r="E106" s="64" t="s">
        <v>35</v>
      </c>
      <c r="F106" s="65" t="str">
        <f>IFERROR(VLOOKUP(E106,PROVEEDORES!$A$3:$G$42,2,0),"")</f>
        <v>ABARROTES</v>
      </c>
      <c r="G106" s="66" t="str">
        <f>IFERROR(VLOOKUP(E106,PROVEEDORES!$A$3:$G$42,4,0),"")</f>
        <v>pagos@bidfood.cl,pmolina@bidfood.cl</v>
      </c>
      <c r="H106" s="10" t="str">
        <f>IFERROR(VLOOKUP(E106,PROVEEDORES!$A$3:$G$42,5,0),"")</f>
        <v>56225994444 - 56998038459</v>
      </c>
      <c r="I106" s="11">
        <v>729</v>
      </c>
      <c r="J106" s="64" t="s">
        <v>105</v>
      </c>
      <c r="K106" s="65" t="str">
        <f>IFERROR(VLOOKUP(J106,PROVEEDORES!$A$3:$G$42,2,0),"")</f>
        <v>ESPECIES</v>
      </c>
      <c r="L106" s="66" t="str">
        <f>IFERROR(VLOOKUP(J106,PROVEEDORES!$A$3:$G$42,4,0),"")</f>
        <v>chef@gourmetselect.cl,contabilidad@gourmetselect.cl,pedidos@gourmetselect.cl,info@gourmetselect.cl</v>
      </c>
      <c r="M106" s="10" t="str">
        <f>IFERROR(VLOOKUP(J106,PROVEEDORES!$A$3:$G$42,5,0),"")</f>
        <v>56944921093</v>
      </c>
      <c r="N106" s="11">
        <v>1150</v>
      </c>
      <c r="O106" s="64" t="s">
        <v>41</v>
      </c>
      <c r="P106" s="65" t="str">
        <f>IFERROR(VLOOKUP(O106,PROVEEDORES!$A$3:$G$42,2,0),"")</f>
        <v>FRUTAS Y VERDURAS</v>
      </c>
      <c r="Q106" s="66" t="str">
        <f>IFERROR(VLOOKUP(O106,PROVEEDORES!$A$3:$G$42,4,0),"")</f>
        <v>caseritaencasa@gmail.com</v>
      </c>
      <c r="R106" s="10" t="str">
        <f>IFERROR(VLOOKUP(O106,PROVEEDORES!$A$3:$G$42,5,0),"")</f>
        <v>56952069703</v>
      </c>
      <c r="S106" s="11">
        <v>615</v>
      </c>
      <c r="T106" s="12">
        <f t="shared" si="2"/>
        <v>831.33333333333337</v>
      </c>
      <c r="U106" s="13">
        <f t="shared" si="3"/>
        <v>914.46666666666681</v>
      </c>
    </row>
    <row r="107" spans="1:21" ht="15" customHeight="1" x14ac:dyDescent="0.35">
      <c r="A107" s="14" t="s">
        <v>207</v>
      </c>
      <c r="B107" s="15" t="s">
        <v>312</v>
      </c>
      <c r="C107" s="16" t="s">
        <v>239</v>
      </c>
      <c r="D107" s="17">
        <v>2</v>
      </c>
      <c r="E107" s="67" t="s">
        <v>35</v>
      </c>
      <c r="F107" s="68" t="str">
        <f>IFERROR(VLOOKUP(E107,PROVEEDORES!$A$3:$G$42,2,0),"")</f>
        <v>ABARROTES</v>
      </c>
      <c r="G107" s="69" t="str">
        <f>IFERROR(VLOOKUP(E107,PROVEEDORES!$A$3:$G$42,4,0),"")</f>
        <v>pagos@bidfood.cl,pmolina@bidfood.cl</v>
      </c>
      <c r="H107" s="18" t="str">
        <f>IFERROR(VLOOKUP(E107,PROVEEDORES!$A$3:$G$42,5,0),"")</f>
        <v>56225994444 - 56998038459</v>
      </c>
      <c r="I107" s="19">
        <v>1233</v>
      </c>
      <c r="J107" s="67" t="s">
        <v>105</v>
      </c>
      <c r="K107" s="68" t="str">
        <f>IFERROR(VLOOKUP(J107,PROVEEDORES!$A$3:$G$42,2,0),"")</f>
        <v>ESPECIES</v>
      </c>
      <c r="L107" s="69" t="str">
        <f>IFERROR(VLOOKUP(J107,PROVEEDORES!$A$3:$G$42,4,0),"")</f>
        <v>chef@gourmetselect.cl,contabilidad@gourmetselect.cl,pedidos@gourmetselect.cl,info@gourmetselect.cl</v>
      </c>
      <c r="M107" s="18" t="str">
        <f>IFERROR(VLOOKUP(J107,PROVEEDORES!$A$3:$G$42,5,0),"")</f>
        <v>56944921093</v>
      </c>
      <c r="N107" s="19">
        <v>1616</v>
      </c>
      <c r="O107" s="67" t="s">
        <v>41</v>
      </c>
      <c r="P107" s="68" t="str">
        <f>IFERROR(VLOOKUP(O107,PROVEEDORES!$A$3:$G$42,2,0),"")</f>
        <v>FRUTAS Y VERDURAS</v>
      </c>
      <c r="Q107" s="69" t="str">
        <f>IFERROR(VLOOKUP(O107,PROVEEDORES!$A$3:$G$42,4,0),"")</f>
        <v>caseritaencasa@gmail.com</v>
      </c>
      <c r="R107" s="18" t="str">
        <f>IFERROR(VLOOKUP(O107,PROVEEDORES!$A$3:$G$42,5,0),"")</f>
        <v>56952069703</v>
      </c>
      <c r="S107" s="19">
        <v>341</v>
      </c>
      <c r="T107" s="20">
        <f t="shared" si="2"/>
        <v>1063.3333333333333</v>
      </c>
      <c r="U107" s="21">
        <f t="shared" si="3"/>
        <v>1169.6666666666667</v>
      </c>
    </row>
    <row r="108" spans="1:21" ht="15" customHeight="1" x14ac:dyDescent="0.35">
      <c r="A108" s="6" t="s">
        <v>207</v>
      </c>
      <c r="B108" s="7" t="s">
        <v>313</v>
      </c>
      <c r="C108" s="8" t="s">
        <v>239</v>
      </c>
      <c r="D108" s="9">
        <v>0.2</v>
      </c>
      <c r="E108" s="64" t="s">
        <v>35</v>
      </c>
      <c r="F108" s="65" t="str">
        <f>IFERROR(VLOOKUP(E108,PROVEEDORES!$A$3:$G$42,2,0),"")</f>
        <v>ABARROTES</v>
      </c>
      <c r="G108" s="66" t="str">
        <f>IFERROR(VLOOKUP(E108,PROVEEDORES!$A$3:$G$42,4,0),"")</f>
        <v>pagos@bidfood.cl,pmolina@bidfood.cl</v>
      </c>
      <c r="H108" s="10" t="str">
        <f>IFERROR(VLOOKUP(E108,PROVEEDORES!$A$3:$G$42,5,0),"")</f>
        <v>56225994444 - 56998038459</v>
      </c>
      <c r="I108" s="11">
        <v>3200</v>
      </c>
      <c r="J108" s="64" t="s">
        <v>105</v>
      </c>
      <c r="K108" s="65" t="str">
        <f>IFERROR(VLOOKUP(J108,PROVEEDORES!$A$3:$G$42,2,0),"")</f>
        <v>ESPECIES</v>
      </c>
      <c r="L108" s="66" t="str">
        <f>IFERROR(VLOOKUP(J108,PROVEEDORES!$A$3:$G$42,4,0),"")</f>
        <v>chef@gourmetselect.cl,contabilidad@gourmetselect.cl,pedidos@gourmetselect.cl,info@gourmetselect.cl</v>
      </c>
      <c r="M108" s="10" t="str">
        <f>IFERROR(VLOOKUP(J108,PROVEEDORES!$A$3:$G$42,5,0),"")</f>
        <v>56944921093</v>
      </c>
      <c r="N108" s="11">
        <v>1026</v>
      </c>
      <c r="O108" s="64" t="s">
        <v>41</v>
      </c>
      <c r="P108" s="65" t="str">
        <f>IFERROR(VLOOKUP(O108,PROVEEDORES!$A$3:$G$42,2,0),"")</f>
        <v>FRUTAS Y VERDURAS</v>
      </c>
      <c r="Q108" s="66" t="str">
        <f>IFERROR(VLOOKUP(O108,PROVEEDORES!$A$3:$G$42,4,0),"")</f>
        <v>caseritaencasa@gmail.com</v>
      </c>
      <c r="R108" s="10" t="str">
        <f>IFERROR(VLOOKUP(O108,PROVEEDORES!$A$3:$G$42,5,0),"")</f>
        <v>56952069703</v>
      </c>
      <c r="S108" s="11">
        <v>3320</v>
      </c>
      <c r="T108" s="12">
        <f t="shared" si="2"/>
        <v>2515.3333333333335</v>
      </c>
      <c r="U108" s="13">
        <f t="shared" si="3"/>
        <v>2766.8666666666672</v>
      </c>
    </row>
    <row r="109" spans="1:21" ht="15" customHeight="1" x14ac:dyDescent="0.35">
      <c r="A109" s="14" t="s">
        <v>207</v>
      </c>
      <c r="B109" s="15" t="s">
        <v>314</v>
      </c>
      <c r="C109" s="16" t="s">
        <v>219</v>
      </c>
      <c r="D109" s="17">
        <v>0.13375000000000001</v>
      </c>
      <c r="E109" s="67" t="s">
        <v>35</v>
      </c>
      <c r="F109" s="68" t="str">
        <f>IFERROR(VLOOKUP(E109,PROVEEDORES!$A$3:$G$42,2,0),"")</f>
        <v>ABARROTES</v>
      </c>
      <c r="G109" s="69" t="str">
        <f>IFERROR(VLOOKUP(E109,PROVEEDORES!$A$3:$G$42,4,0),"")</f>
        <v>pagos@bidfood.cl,pmolina@bidfood.cl</v>
      </c>
      <c r="H109" s="18" t="str">
        <f>IFERROR(VLOOKUP(E109,PROVEEDORES!$A$3:$G$42,5,0),"")</f>
        <v>56225994444 - 56998038459</v>
      </c>
      <c r="I109" s="19">
        <v>2226</v>
      </c>
      <c r="J109" s="67" t="s">
        <v>105</v>
      </c>
      <c r="K109" s="68" t="str">
        <f>IFERROR(VLOOKUP(J109,PROVEEDORES!$A$3:$G$42,2,0),"")</f>
        <v>ESPECIES</v>
      </c>
      <c r="L109" s="69" t="str">
        <f>IFERROR(VLOOKUP(J109,PROVEEDORES!$A$3:$G$42,4,0),"")</f>
        <v>chef@gourmetselect.cl,contabilidad@gourmetselect.cl,pedidos@gourmetselect.cl,info@gourmetselect.cl</v>
      </c>
      <c r="M109" s="18" t="str">
        <f>IFERROR(VLOOKUP(J109,PROVEEDORES!$A$3:$G$42,5,0),"")</f>
        <v>56944921093</v>
      </c>
      <c r="N109" s="19">
        <v>3044</v>
      </c>
      <c r="O109" s="67" t="s">
        <v>41</v>
      </c>
      <c r="P109" s="68" t="str">
        <f>IFERROR(VLOOKUP(O109,PROVEEDORES!$A$3:$G$42,2,0),"")</f>
        <v>FRUTAS Y VERDURAS</v>
      </c>
      <c r="Q109" s="69" t="str">
        <f>IFERROR(VLOOKUP(O109,PROVEEDORES!$A$3:$G$42,4,0),"")</f>
        <v>caseritaencasa@gmail.com</v>
      </c>
      <c r="R109" s="18" t="str">
        <f>IFERROR(VLOOKUP(O109,PROVEEDORES!$A$3:$G$42,5,0),"")</f>
        <v>56952069703</v>
      </c>
      <c r="S109" s="19">
        <v>855</v>
      </c>
      <c r="T109" s="20">
        <f t="shared" si="2"/>
        <v>2041.6666666666667</v>
      </c>
      <c r="U109" s="21">
        <f t="shared" si="3"/>
        <v>2245.8333333333335</v>
      </c>
    </row>
    <row r="110" spans="1:21" ht="15" customHeight="1" x14ac:dyDescent="0.35">
      <c r="A110" s="6" t="s">
        <v>207</v>
      </c>
      <c r="B110" s="7" t="s">
        <v>315</v>
      </c>
      <c r="C110" s="8" t="s">
        <v>239</v>
      </c>
      <c r="D110" s="9">
        <v>0.09</v>
      </c>
      <c r="E110" s="64" t="s">
        <v>35</v>
      </c>
      <c r="F110" s="65" t="str">
        <f>IFERROR(VLOOKUP(E110,PROVEEDORES!$A$3:$G$42,2,0),"")</f>
        <v>ABARROTES</v>
      </c>
      <c r="G110" s="66" t="str">
        <f>IFERROR(VLOOKUP(E110,PROVEEDORES!$A$3:$G$42,4,0),"")</f>
        <v>pagos@bidfood.cl,pmolina@bidfood.cl</v>
      </c>
      <c r="H110" s="10" t="str">
        <f>IFERROR(VLOOKUP(E110,PROVEEDORES!$A$3:$G$42,5,0),"")</f>
        <v>56225994444 - 56998038459</v>
      </c>
      <c r="I110" s="11">
        <v>1277</v>
      </c>
      <c r="J110" s="64" t="s">
        <v>105</v>
      </c>
      <c r="K110" s="65" t="str">
        <f>IFERROR(VLOOKUP(J110,PROVEEDORES!$A$3:$G$42,2,0),"")</f>
        <v>ESPECIES</v>
      </c>
      <c r="L110" s="66" t="str">
        <f>IFERROR(VLOOKUP(J110,PROVEEDORES!$A$3:$G$42,4,0),"")</f>
        <v>chef@gourmetselect.cl,contabilidad@gourmetselect.cl,pedidos@gourmetselect.cl,info@gourmetselect.cl</v>
      </c>
      <c r="M110" s="10" t="str">
        <f>IFERROR(VLOOKUP(J110,PROVEEDORES!$A$3:$G$42,5,0),"")</f>
        <v>56944921093</v>
      </c>
      <c r="N110" s="11">
        <v>1641</v>
      </c>
      <c r="O110" s="64" t="s">
        <v>41</v>
      </c>
      <c r="P110" s="65" t="str">
        <f>IFERROR(VLOOKUP(O110,PROVEEDORES!$A$3:$G$42,2,0),"")</f>
        <v>FRUTAS Y VERDURAS</v>
      </c>
      <c r="Q110" s="66" t="str">
        <f>IFERROR(VLOOKUP(O110,PROVEEDORES!$A$3:$G$42,4,0),"")</f>
        <v>caseritaencasa@gmail.com</v>
      </c>
      <c r="R110" s="10" t="str">
        <f>IFERROR(VLOOKUP(O110,PROVEEDORES!$A$3:$G$42,5,0),"")</f>
        <v>56952069703</v>
      </c>
      <c r="S110" s="11">
        <v>631</v>
      </c>
      <c r="T110" s="12">
        <f t="shared" si="2"/>
        <v>1183</v>
      </c>
      <c r="U110" s="13">
        <f t="shared" si="3"/>
        <v>1301.3000000000002</v>
      </c>
    </row>
    <row r="111" spans="1:21" ht="15" customHeight="1" x14ac:dyDescent="0.35">
      <c r="A111" s="14" t="s">
        <v>207</v>
      </c>
      <c r="B111" s="15" t="s">
        <v>316</v>
      </c>
      <c r="C111" s="16" t="s">
        <v>219</v>
      </c>
      <c r="D111" s="17">
        <v>8.7500000000000002E-4</v>
      </c>
      <c r="E111" s="67" t="s">
        <v>35</v>
      </c>
      <c r="F111" s="68" t="str">
        <f>IFERROR(VLOOKUP(E111,PROVEEDORES!$A$3:$G$42,2,0),"")</f>
        <v>ABARROTES</v>
      </c>
      <c r="G111" s="69" t="str">
        <f>IFERROR(VLOOKUP(E111,PROVEEDORES!$A$3:$G$42,4,0),"")</f>
        <v>pagos@bidfood.cl,pmolina@bidfood.cl</v>
      </c>
      <c r="H111" s="18" t="str">
        <f>IFERROR(VLOOKUP(E111,PROVEEDORES!$A$3:$G$42,5,0),"")</f>
        <v>56225994444 - 56998038459</v>
      </c>
      <c r="I111" s="19">
        <v>52200</v>
      </c>
      <c r="J111" s="67" t="s">
        <v>105</v>
      </c>
      <c r="K111" s="68" t="str">
        <f>IFERROR(VLOOKUP(J111,PROVEEDORES!$A$3:$G$42,2,0),"")</f>
        <v>ESPECIES</v>
      </c>
      <c r="L111" s="69" t="str">
        <f>IFERROR(VLOOKUP(J111,PROVEEDORES!$A$3:$G$42,4,0),"")</f>
        <v>chef@gourmetselect.cl,contabilidad@gourmetselect.cl,pedidos@gourmetselect.cl,info@gourmetselect.cl</v>
      </c>
      <c r="M111" s="18" t="str">
        <f>IFERROR(VLOOKUP(J111,PROVEEDORES!$A$3:$G$42,5,0),"")</f>
        <v>56944921093</v>
      </c>
      <c r="N111" s="19">
        <v>60108</v>
      </c>
      <c r="O111" s="67" t="s">
        <v>41</v>
      </c>
      <c r="P111" s="68" t="str">
        <f>IFERROR(VLOOKUP(O111,PROVEEDORES!$A$3:$G$42,2,0),"")</f>
        <v>FRUTAS Y VERDURAS</v>
      </c>
      <c r="Q111" s="69" t="str">
        <f>IFERROR(VLOOKUP(O111,PROVEEDORES!$A$3:$G$42,4,0),"")</f>
        <v>caseritaencasa@gmail.com</v>
      </c>
      <c r="R111" s="18" t="str">
        <f>IFERROR(VLOOKUP(O111,PROVEEDORES!$A$3:$G$42,5,0),"")</f>
        <v>56952069703</v>
      </c>
      <c r="S111" s="19">
        <v>108127</v>
      </c>
      <c r="T111" s="20">
        <f t="shared" si="2"/>
        <v>73478.333333333328</v>
      </c>
      <c r="U111" s="21">
        <f t="shared" si="3"/>
        <v>80826.166666666672</v>
      </c>
    </row>
    <row r="112" spans="1:21" ht="15" customHeight="1" x14ac:dyDescent="0.35">
      <c r="A112" s="6" t="s">
        <v>207</v>
      </c>
      <c r="B112" s="7" t="s">
        <v>317</v>
      </c>
      <c r="C112" s="8" t="s">
        <v>219</v>
      </c>
      <c r="D112" s="9">
        <v>0.12725</v>
      </c>
      <c r="E112" s="64" t="s">
        <v>105</v>
      </c>
      <c r="F112" s="65" t="str">
        <f>IFERROR(VLOOKUP(E112,PROVEEDORES!$A$3:$G$42,2,0),"")</f>
        <v>ESPECIES</v>
      </c>
      <c r="G112" s="66" t="str">
        <f>IFERROR(VLOOKUP(E112,PROVEEDORES!$A$3:$G$42,4,0),"")</f>
        <v>chef@gourmetselect.cl,contabilidad@gourmetselect.cl,pedidos@gourmetselect.cl,info@gourmetselect.cl</v>
      </c>
      <c r="H112" s="10" t="str">
        <f>IFERROR(VLOOKUP(E112,PROVEEDORES!$A$3:$G$42,5,0),"")</f>
        <v>56944921093</v>
      </c>
      <c r="I112" s="11">
        <v>15484</v>
      </c>
      <c r="J112" s="64" t="s">
        <v>35</v>
      </c>
      <c r="K112" s="65" t="str">
        <f>IFERROR(VLOOKUP(J112,PROVEEDORES!$A$3:$G$42,2,0),"")</f>
        <v>ABARROTES</v>
      </c>
      <c r="L112" s="66" t="str">
        <f>IFERROR(VLOOKUP(J112,PROVEEDORES!$A$3:$G$42,4,0),"")</f>
        <v>pagos@bidfood.cl,pmolina@bidfood.cl</v>
      </c>
      <c r="M112" s="10" t="str">
        <f>IFERROR(VLOOKUP(J112,PROVEEDORES!$A$3:$G$42,5,0),"")</f>
        <v>56225994444 - 56998038459</v>
      </c>
      <c r="N112" s="11">
        <v>7285</v>
      </c>
      <c r="O112" s="64" t="s">
        <v>41</v>
      </c>
      <c r="P112" s="65" t="str">
        <f>IFERROR(VLOOKUP(O112,PROVEEDORES!$A$3:$G$42,2,0),"")</f>
        <v>FRUTAS Y VERDURAS</v>
      </c>
      <c r="Q112" s="66" t="str">
        <f>IFERROR(VLOOKUP(O112,PROVEEDORES!$A$3:$G$42,4,0),"")</f>
        <v>caseritaencasa@gmail.com</v>
      </c>
      <c r="R112" s="10" t="str">
        <f>IFERROR(VLOOKUP(O112,PROVEEDORES!$A$3:$G$42,5,0),"")</f>
        <v>56952069703</v>
      </c>
      <c r="S112" s="11">
        <v>24477</v>
      </c>
      <c r="T112" s="12">
        <f t="shared" si="2"/>
        <v>15748.666666666666</v>
      </c>
      <c r="U112" s="13">
        <f t="shared" si="3"/>
        <v>17323.533333333333</v>
      </c>
    </row>
    <row r="113" spans="1:21" ht="15" customHeight="1" x14ac:dyDescent="0.35">
      <c r="A113" s="14" t="s">
        <v>207</v>
      </c>
      <c r="B113" s="15" t="s">
        <v>318</v>
      </c>
      <c r="C113" s="16" t="s">
        <v>209</v>
      </c>
      <c r="D113" s="17">
        <v>1.25E-3</v>
      </c>
      <c r="E113" s="67" t="s">
        <v>105</v>
      </c>
      <c r="F113" s="68" t="str">
        <f>IFERROR(VLOOKUP(E113,PROVEEDORES!$A$3:$G$42,2,0),"")</f>
        <v>ESPECIES</v>
      </c>
      <c r="G113" s="69" t="str">
        <f>IFERROR(VLOOKUP(E113,PROVEEDORES!$A$3:$G$42,4,0),"")</f>
        <v>chef@gourmetselect.cl,contabilidad@gourmetselect.cl,pedidos@gourmetselect.cl,info@gourmetselect.cl</v>
      </c>
      <c r="H113" s="18" t="str">
        <f>IFERROR(VLOOKUP(E113,PROVEEDORES!$A$3:$G$42,5,0),"")</f>
        <v>56944921093</v>
      </c>
      <c r="I113" s="19">
        <v>9945</v>
      </c>
      <c r="J113" s="67" t="s">
        <v>35</v>
      </c>
      <c r="K113" s="68" t="str">
        <f>IFERROR(VLOOKUP(J113,PROVEEDORES!$A$3:$G$42,2,0),"")</f>
        <v>ABARROTES</v>
      </c>
      <c r="L113" s="69" t="str">
        <f>IFERROR(VLOOKUP(J113,PROVEEDORES!$A$3:$G$42,4,0),"")</f>
        <v>pagos@bidfood.cl,pmolina@bidfood.cl</v>
      </c>
      <c r="M113" s="18" t="str">
        <f>IFERROR(VLOOKUP(J113,PROVEEDORES!$A$3:$G$42,5,0),"")</f>
        <v>56225994444 - 56998038459</v>
      </c>
      <c r="N113" s="19">
        <v>3680</v>
      </c>
      <c r="O113" s="67" t="s">
        <v>41</v>
      </c>
      <c r="P113" s="68" t="str">
        <f>IFERROR(VLOOKUP(O113,PROVEEDORES!$A$3:$G$42,2,0),"")</f>
        <v>FRUTAS Y VERDURAS</v>
      </c>
      <c r="Q113" s="69" t="str">
        <f>IFERROR(VLOOKUP(O113,PROVEEDORES!$A$3:$G$42,4,0),"")</f>
        <v>caseritaencasa@gmail.com</v>
      </c>
      <c r="R113" s="18" t="str">
        <f>IFERROR(VLOOKUP(O113,PROVEEDORES!$A$3:$G$42,5,0),"")</f>
        <v>56952069703</v>
      </c>
      <c r="S113" s="19">
        <v>14955</v>
      </c>
      <c r="T113" s="20">
        <f t="shared" si="2"/>
        <v>9526.6666666666661</v>
      </c>
      <c r="U113" s="21">
        <f t="shared" si="3"/>
        <v>10479.333333333334</v>
      </c>
    </row>
    <row r="114" spans="1:21" ht="15" customHeight="1" x14ac:dyDescent="0.35">
      <c r="A114" s="6" t="s">
        <v>207</v>
      </c>
      <c r="B114" s="7" t="s">
        <v>319</v>
      </c>
      <c r="C114" s="8" t="s">
        <v>219</v>
      </c>
      <c r="D114" s="9">
        <v>1.25E-3</v>
      </c>
      <c r="E114" s="64" t="s">
        <v>105</v>
      </c>
      <c r="F114" s="65" t="str">
        <f>IFERROR(VLOOKUP(E114,PROVEEDORES!$A$3:$G$42,2,0),"")</f>
        <v>ESPECIES</v>
      </c>
      <c r="G114" s="66" t="str">
        <f>IFERROR(VLOOKUP(E114,PROVEEDORES!$A$3:$G$42,4,0),"")</f>
        <v>chef@gourmetselect.cl,contabilidad@gourmetselect.cl,pedidos@gourmetselect.cl,info@gourmetselect.cl</v>
      </c>
      <c r="H114" s="10" t="str">
        <f>IFERROR(VLOOKUP(E114,PROVEEDORES!$A$3:$G$42,5,0),"")</f>
        <v>56944921093</v>
      </c>
      <c r="I114" s="11">
        <v>38400</v>
      </c>
      <c r="J114" s="64" t="s">
        <v>35</v>
      </c>
      <c r="K114" s="65" t="str">
        <f>IFERROR(VLOOKUP(J114,PROVEEDORES!$A$3:$G$42,2,0),"")</f>
        <v>ABARROTES</v>
      </c>
      <c r="L114" s="66" t="str">
        <f>IFERROR(VLOOKUP(J114,PROVEEDORES!$A$3:$G$42,4,0),"")</f>
        <v>pagos@bidfood.cl,pmolina@bidfood.cl</v>
      </c>
      <c r="M114" s="10" t="str">
        <f>IFERROR(VLOOKUP(J114,PROVEEDORES!$A$3:$G$42,5,0),"")</f>
        <v>56225994444 - 56998038459</v>
      </c>
      <c r="N114" s="11">
        <v>58502</v>
      </c>
      <c r="O114" s="64" t="s">
        <v>41</v>
      </c>
      <c r="P114" s="65" t="str">
        <f>IFERROR(VLOOKUP(O114,PROVEEDORES!$A$3:$G$42,2,0),"")</f>
        <v>FRUTAS Y VERDURAS</v>
      </c>
      <c r="Q114" s="66" t="str">
        <f>IFERROR(VLOOKUP(O114,PROVEEDORES!$A$3:$G$42,4,0),"")</f>
        <v>caseritaencasa@gmail.com</v>
      </c>
      <c r="R114" s="10" t="str">
        <f>IFERROR(VLOOKUP(O114,PROVEEDORES!$A$3:$G$42,5,0),"")</f>
        <v>56952069703</v>
      </c>
      <c r="S114" s="11">
        <v>28685</v>
      </c>
      <c r="T114" s="12">
        <f t="shared" si="2"/>
        <v>41862.333333333336</v>
      </c>
      <c r="U114" s="13">
        <f t="shared" si="3"/>
        <v>46048.566666666673</v>
      </c>
    </row>
    <row r="115" spans="1:21" ht="15" customHeight="1" x14ac:dyDescent="0.35">
      <c r="A115" s="14" t="s">
        <v>207</v>
      </c>
      <c r="B115" s="15" t="s">
        <v>320</v>
      </c>
      <c r="C115" s="16" t="s">
        <v>219</v>
      </c>
      <c r="D115" s="17">
        <v>1.3874375000000001</v>
      </c>
      <c r="E115" s="67" t="s">
        <v>105</v>
      </c>
      <c r="F115" s="68" t="str">
        <f>IFERROR(VLOOKUP(E115,PROVEEDORES!$A$3:$G$42,2,0),"")</f>
        <v>ESPECIES</v>
      </c>
      <c r="G115" s="69" t="str">
        <f>IFERROR(VLOOKUP(E115,PROVEEDORES!$A$3:$G$42,4,0),"")</f>
        <v>chef@gourmetselect.cl,contabilidad@gourmetselect.cl,pedidos@gourmetselect.cl,info@gourmetselect.cl</v>
      </c>
      <c r="H115" s="18" t="str">
        <f>IFERROR(VLOOKUP(E115,PROVEEDORES!$A$3:$G$42,5,0),"")</f>
        <v>56944921093</v>
      </c>
      <c r="I115" s="19">
        <v>17600</v>
      </c>
      <c r="J115" s="67" t="s">
        <v>35</v>
      </c>
      <c r="K115" s="68" t="str">
        <f>IFERROR(VLOOKUP(J115,PROVEEDORES!$A$3:$G$42,2,0),"")</f>
        <v>ABARROTES</v>
      </c>
      <c r="L115" s="69" t="str">
        <f>IFERROR(VLOOKUP(J115,PROVEEDORES!$A$3:$G$42,4,0),"")</f>
        <v>pagos@bidfood.cl,pmolina@bidfood.cl</v>
      </c>
      <c r="M115" s="18" t="str">
        <f>IFERROR(VLOOKUP(J115,PROVEEDORES!$A$3:$G$42,5,0),"")</f>
        <v>56225994444 - 56998038459</v>
      </c>
      <c r="N115" s="19">
        <v>13693</v>
      </c>
      <c r="O115" s="67" t="s">
        <v>41</v>
      </c>
      <c r="P115" s="68" t="str">
        <f>IFERROR(VLOOKUP(O115,PROVEEDORES!$A$3:$G$42,2,0),"")</f>
        <v>FRUTAS Y VERDURAS</v>
      </c>
      <c r="Q115" s="69" t="str">
        <f>IFERROR(VLOOKUP(O115,PROVEEDORES!$A$3:$G$42,4,0),"")</f>
        <v>caseritaencasa@gmail.com</v>
      </c>
      <c r="R115" s="18" t="str">
        <f>IFERROR(VLOOKUP(O115,PROVEEDORES!$A$3:$G$42,5,0),"")</f>
        <v>56952069703</v>
      </c>
      <c r="S115" s="19">
        <v>32043</v>
      </c>
      <c r="T115" s="20">
        <f t="shared" si="2"/>
        <v>21112</v>
      </c>
      <c r="U115" s="21">
        <f t="shared" si="3"/>
        <v>23223.200000000001</v>
      </c>
    </row>
    <row r="116" spans="1:21" ht="15" customHeight="1" x14ac:dyDescent="0.35">
      <c r="A116" s="6" t="s">
        <v>207</v>
      </c>
      <c r="B116" s="7" t="s">
        <v>321</v>
      </c>
      <c r="C116" s="8" t="s">
        <v>219</v>
      </c>
      <c r="D116" s="9">
        <v>9.3749999999999997E-3</v>
      </c>
      <c r="E116" s="64" t="s">
        <v>105</v>
      </c>
      <c r="F116" s="65" t="str">
        <f>IFERROR(VLOOKUP(E116,PROVEEDORES!$A$3:$G$42,2,0),"")</f>
        <v>ESPECIES</v>
      </c>
      <c r="G116" s="66" t="str">
        <f>IFERROR(VLOOKUP(E116,PROVEEDORES!$A$3:$G$42,4,0),"")</f>
        <v>chef@gourmetselect.cl,contabilidad@gourmetselect.cl,pedidos@gourmetselect.cl,info@gourmetselect.cl</v>
      </c>
      <c r="H116" s="10" t="str">
        <f>IFERROR(VLOOKUP(E116,PROVEEDORES!$A$3:$G$42,5,0),"")</f>
        <v>56944921093</v>
      </c>
      <c r="I116" s="11">
        <v>23000</v>
      </c>
      <c r="J116" s="64" t="s">
        <v>35</v>
      </c>
      <c r="K116" s="65" t="str">
        <f>IFERROR(VLOOKUP(J116,PROVEEDORES!$A$3:$G$42,2,0),"")</f>
        <v>ABARROTES</v>
      </c>
      <c r="L116" s="66" t="str">
        <f>IFERROR(VLOOKUP(J116,PROVEEDORES!$A$3:$G$42,4,0),"")</f>
        <v>pagos@bidfood.cl,pmolina@bidfood.cl</v>
      </c>
      <c r="M116" s="10" t="str">
        <f>IFERROR(VLOOKUP(J116,PROVEEDORES!$A$3:$G$42,5,0),"")</f>
        <v>56225994444 - 56998038459</v>
      </c>
      <c r="N116" s="11">
        <v>21068</v>
      </c>
      <c r="O116" s="64" t="s">
        <v>41</v>
      </c>
      <c r="P116" s="65" t="str">
        <f>IFERROR(VLOOKUP(O116,PROVEEDORES!$A$3:$G$42,2,0),"")</f>
        <v>FRUTAS Y VERDURAS</v>
      </c>
      <c r="Q116" s="66" t="str">
        <f>IFERROR(VLOOKUP(O116,PROVEEDORES!$A$3:$G$42,4,0),"")</f>
        <v>caseritaencasa@gmail.com</v>
      </c>
      <c r="R116" s="10" t="str">
        <f>IFERROR(VLOOKUP(O116,PROVEEDORES!$A$3:$G$42,5,0),"")</f>
        <v>56952069703</v>
      </c>
      <c r="S116" s="11">
        <v>32665</v>
      </c>
      <c r="T116" s="12">
        <f t="shared" si="2"/>
        <v>25577.666666666668</v>
      </c>
      <c r="U116" s="13">
        <f t="shared" si="3"/>
        <v>28135.433333333338</v>
      </c>
    </row>
    <row r="117" spans="1:21" ht="15" customHeight="1" x14ac:dyDescent="0.35">
      <c r="A117" s="14" t="s">
        <v>207</v>
      </c>
      <c r="B117" s="15" t="s">
        <v>322</v>
      </c>
      <c r="C117" s="16" t="s">
        <v>219</v>
      </c>
      <c r="D117" s="17">
        <v>6.2500000000000001E-4</v>
      </c>
      <c r="E117" s="67" t="s">
        <v>105</v>
      </c>
      <c r="F117" s="68" t="str">
        <f>IFERROR(VLOOKUP(E117,PROVEEDORES!$A$3:$G$42,2,0),"")</f>
        <v>ESPECIES</v>
      </c>
      <c r="G117" s="69" t="str">
        <f>IFERROR(VLOOKUP(E117,PROVEEDORES!$A$3:$G$42,4,0),"")</f>
        <v>chef@gourmetselect.cl,contabilidad@gourmetselect.cl,pedidos@gourmetselect.cl,info@gourmetselect.cl</v>
      </c>
      <c r="H117" s="18" t="str">
        <f>IFERROR(VLOOKUP(E117,PROVEEDORES!$A$3:$G$42,5,0),"")</f>
        <v>56944921093</v>
      </c>
      <c r="I117" s="19">
        <v>73692</v>
      </c>
      <c r="J117" s="67" t="s">
        <v>35</v>
      </c>
      <c r="K117" s="68" t="str">
        <f>IFERROR(VLOOKUP(J117,PROVEEDORES!$A$3:$G$42,2,0),"")</f>
        <v>ABARROTES</v>
      </c>
      <c r="L117" s="69" t="str">
        <f>IFERROR(VLOOKUP(J117,PROVEEDORES!$A$3:$G$42,4,0),"")</f>
        <v>pagos@bidfood.cl,pmolina@bidfood.cl</v>
      </c>
      <c r="M117" s="18" t="str">
        <f>IFERROR(VLOOKUP(J117,PROVEEDORES!$A$3:$G$42,5,0),"")</f>
        <v>56225994444 - 56998038459</v>
      </c>
      <c r="N117" s="19">
        <v>89167</v>
      </c>
      <c r="O117" s="67" t="s">
        <v>41</v>
      </c>
      <c r="P117" s="68" t="str">
        <f>IFERROR(VLOOKUP(O117,PROVEEDORES!$A$3:$G$42,2,0),"")</f>
        <v>FRUTAS Y VERDURAS</v>
      </c>
      <c r="Q117" s="69" t="str">
        <f>IFERROR(VLOOKUP(O117,PROVEEDORES!$A$3:$G$42,4,0),"")</f>
        <v>caseritaencasa@gmail.com</v>
      </c>
      <c r="R117" s="18" t="str">
        <f>IFERROR(VLOOKUP(O117,PROVEEDORES!$A$3:$G$42,5,0),"")</f>
        <v>56952069703</v>
      </c>
      <c r="S117" s="19">
        <v>25704</v>
      </c>
      <c r="T117" s="20">
        <f t="shared" si="2"/>
        <v>62854.333333333336</v>
      </c>
      <c r="U117" s="21">
        <f t="shared" si="3"/>
        <v>69139.766666666677</v>
      </c>
    </row>
    <row r="118" spans="1:21" ht="15" customHeight="1" x14ac:dyDescent="0.35">
      <c r="A118" s="6" t="s">
        <v>207</v>
      </c>
      <c r="B118" s="7" t="s">
        <v>323</v>
      </c>
      <c r="C118" s="8" t="s">
        <v>219</v>
      </c>
      <c r="D118" s="9">
        <v>1E-3</v>
      </c>
      <c r="E118" s="64" t="s">
        <v>105</v>
      </c>
      <c r="F118" s="65" t="str">
        <f>IFERROR(VLOOKUP(E118,PROVEEDORES!$A$3:$G$42,2,0),"")</f>
        <v>ESPECIES</v>
      </c>
      <c r="G118" s="66" t="str">
        <f>IFERROR(VLOOKUP(E118,PROVEEDORES!$A$3:$G$42,4,0),"")</f>
        <v>chef@gourmetselect.cl,contabilidad@gourmetselect.cl,pedidos@gourmetselect.cl,info@gourmetselect.cl</v>
      </c>
      <c r="H118" s="10" t="str">
        <f>IFERROR(VLOOKUP(E118,PROVEEDORES!$A$3:$G$42,5,0),"")</f>
        <v>56944921093</v>
      </c>
      <c r="I118" s="11">
        <v>72833</v>
      </c>
      <c r="J118" s="64" t="s">
        <v>35</v>
      </c>
      <c r="K118" s="65" t="str">
        <f>IFERROR(VLOOKUP(J118,PROVEEDORES!$A$3:$G$42,2,0),"")</f>
        <v>ABARROTES</v>
      </c>
      <c r="L118" s="66" t="str">
        <f>IFERROR(VLOOKUP(J118,PROVEEDORES!$A$3:$G$42,4,0),"")</f>
        <v>pagos@bidfood.cl,pmolina@bidfood.cl</v>
      </c>
      <c r="M118" s="10" t="str">
        <f>IFERROR(VLOOKUP(J118,PROVEEDORES!$A$3:$G$42,5,0),"")</f>
        <v>56225994444 - 56998038459</v>
      </c>
      <c r="N118" s="11">
        <v>121340</v>
      </c>
      <c r="O118" s="64" t="s">
        <v>41</v>
      </c>
      <c r="P118" s="65" t="str">
        <f>IFERROR(VLOOKUP(O118,PROVEEDORES!$A$3:$G$42,2,0),"")</f>
        <v>FRUTAS Y VERDURAS</v>
      </c>
      <c r="Q118" s="66" t="str">
        <f>IFERROR(VLOOKUP(O118,PROVEEDORES!$A$3:$G$42,4,0),"")</f>
        <v>caseritaencasa@gmail.com</v>
      </c>
      <c r="R118" s="10" t="str">
        <f>IFERROR(VLOOKUP(O118,PROVEEDORES!$A$3:$G$42,5,0),"")</f>
        <v>56952069703</v>
      </c>
      <c r="S118" s="11">
        <v>66103</v>
      </c>
      <c r="T118" s="12">
        <f t="shared" si="2"/>
        <v>86758.666666666672</v>
      </c>
      <c r="U118" s="13">
        <f t="shared" si="3"/>
        <v>95434.53333333334</v>
      </c>
    </row>
    <row r="119" spans="1:21" ht="15" customHeight="1" x14ac:dyDescent="0.35">
      <c r="A119" s="14" t="s">
        <v>207</v>
      </c>
      <c r="B119" s="15" t="s">
        <v>324</v>
      </c>
      <c r="C119" s="16" t="s">
        <v>219</v>
      </c>
      <c r="D119" s="17">
        <v>2.5000000000000001E-3</v>
      </c>
      <c r="E119" s="67" t="s">
        <v>105</v>
      </c>
      <c r="F119" s="68" t="str">
        <f>IFERROR(VLOOKUP(E119,PROVEEDORES!$A$3:$G$42,2,0),"")</f>
        <v>ESPECIES</v>
      </c>
      <c r="G119" s="69" t="str">
        <f>IFERROR(VLOOKUP(E119,PROVEEDORES!$A$3:$G$42,4,0),"")</f>
        <v>chef@gourmetselect.cl,contabilidad@gourmetselect.cl,pedidos@gourmetselect.cl,info@gourmetselect.cl</v>
      </c>
      <c r="H119" s="18" t="str">
        <f>IFERROR(VLOOKUP(E119,PROVEEDORES!$A$3:$G$42,5,0),"")</f>
        <v>56944921093</v>
      </c>
      <c r="I119" s="19">
        <v>27900</v>
      </c>
      <c r="J119" s="67" t="s">
        <v>35</v>
      </c>
      <c r="K119" s="68" t="str">
        <f>IFERROR(VLOOKUP(J119,PROVEEDORES!$A$3:$G$42,2,0),"")</f>
        <v>ABARROTES</v>
      </c>
      <c r="L119" s="69" t="str">
        <f>IFERROR(VLOOKUP(J119,PROVEEDORES!$A$3:$G$42,4,0),"")</f>
        <v>pagos@bidfood.cl,pmolina@bidfood.cl</v>
      </c>
      <c r="M119" s="18" t="str">
        <f>IFERROR(VLOOKUP(J119,PROVEEDORES!$A$3:$G$42,5,0),"")</f>
        <v>56225994444 - 56998038459</v>
      </c>
      <c r="N119" s="19">
        <v>46984</v>
      </c>
      <c r="O119" s="67" t="s">
        <v>41</v>
      </c>
      <c r="P119" s="68" t="str">
        <f>IFERROR(VLOOKUP(O119,PROVEEDORES!$A$3:$G$42,2,0),"")</f>
        <v>FRUTAS Y VERDURAS</v>
      </c>
      <c r="Q119" s="69" t="str">
        <f>IFERROR(VLOOKUP(O119,PROVEEDORES!$A$3:$G$42,4,0),"")</f>
        <v>caseritaencasa@gmail.com</v>
      </c>
      <c r="R119" s="18" t="str">
        <f>IFERROR(VLOOKUP(O119,PROVEEDORES!$A$3:$G$42,5,0),"")</f>
        <v>56952069703</v>
      </c>
      <c r="S119" s="19">
        <v>41956</v>
      </c>
      <c r="T119" s="20">
        <f t="shared" si="2"/>
        <v>38946.666666666664</v>
      </c>
      <c r="U119" s="21">
        <f t="shared" si="3"/>
        <v>42841.333333333336</v>
      </c>
    </row>
    <row r="120" spans="1:21" ht="15" customHeight="1" x14ac:dyDescent="0.35">
      <c r="A120" s="6" t="s">
        <v>207</v>
      </c>
      <c r="B120" s="7" t="s">
        <v>325</v>
      </c>
      <c r="C120" s="8" t="s">
        <v>219</v>
      </c>
      <c r="D120" s="9">
        <v>0.2</v>
      </c>
      <c r="E120" s="64" t="s">
        <v>41</v>
      </c>
      <c r="F120" s="65" t="str">
        <f>IFERROR(VLOOKUP(E120,PROVEEDORES!$A$3:$G$42,2,0),"")</f>
        <v>FRUTAS Y VERDURAS</v>
      </c>
      <c r="G120" s="66" t="str">
        <f>IFERROR(VLOOKUP(E120,PROVEEDORES!$A$3:$G$42,4,0),"")</f>
        <v>caseritaencasa@gmail.com</v>
      </c>
      <c r="H120" s="10" t="str">
        <f>IFERROR(VLOOKUP(E120,PROVEEDORES!$A$3:$G$42,5,0),"")</f>
        <v>56952069703</v>
      </c>
      <c r="I120" s="11">
        <v>5876</v>
      </c>
      <c r="J120" s="64" t="s">
        <v>35</v>
      </c>
      <c r="K120" s="65" t="str">
        <f>IFERROR(VLOOKUP(J120,PROVEEDORES!$A$3:$G$42,2,0),"")</f>
        <v>ABARROTES</v>
      </c>
      <c r="L120" s="66" t="str">
        <f>IFERROR(VLOOKUP(J120,PROVEEDORES!$A$3:$G$42,4,0),"")</f>
        <v>pagos@bidfood.cl,pmolina@bidfood.cl</v>
      </c>
      <c r="M120" s="10" t="str">
        <f>IFERROR(VLOOKUP(J120,PROVEEDORES!$A$3:$G$42,5,0),"")</f>
        <v>56225994444 - 56998038459</v>
      </c>
      <c r="N120" s="11">
        <v>7004</v>
      </c>
      <c r="O120" s="64" t="s">
        <v>105</v>
      </c>
      <c r="P120" s="65" t="str">
        <f>IFERROR(VLOOKUP(O120,PROVEEDORES!$A$3:$G$42,2,0),"")</f>
        <v>ESPECIES</v>
      </c>
      <c r="Q120" s="66" t="str">
        <f>IFERROR(VLOOKUP(O120,PROVEEDORES!$A$3:$G$42,4,0),"")</f>
        <v>chef@gourmetselect.cl,contabilidad@gourmetselect.cl,pedidos@gourmetselect.cl,info@gourmetselect.cl</v>
      </c>
      <c r="R120" s="10" t="str">
        <f>IFERROR(VLOOKUP(O120,PROVEEDORES!$A$3:$G$42,5,0),"")</f>
        <v>56944921093</v>
      </c>
      <c r="S120" s="11">
        <v>5630</v>
      </c>
      <c r="T120" s="12">
        <f t="shared" si="2"/>
        <v>6170</v>
      </c>
      <c r="U120" s="13">
        <f t="shared" si="3"/>
        <v>6787.0000000000009</v>
      </c>
    </row>
    <row r="121" spans="1:21" ht="15" customHeight="1" x14ac:dyDescent="0.35">
      <c r="A121" s="14" t="s">
        <v>207</v>
      </c>
      <c r="B121" s="15" t="s">
        <v>326</v>
      </c>
      <c r="C121" s="16" t="s">
        <v>219</v>
      </c>
      <c r="D121" s="17">
        <v>9.1256250000000101</v>
      </c>
      <c r="E121" s="67" t="s">
        <v>35</v>
      </c>
      <c r="F121" s="68" t="str">
        <f>IFERROR(VLOOKUP(E121,PROVEEDORES!$A$3:$G$42,2,0),"")</f>
        <v>ABARROTES</v>
      </c>
      <c r="G121" s="69" t="str">
        <f>IFERROR(VLOOKUP(E121,PROVEEDORES!$A$3:$G$42,4,0),"")</f>
        <v>pagos@bidfood.cl,pmolina@bidfood.cl</v>
      </c>
      <c r="H121" s="18" t="str">
        <f>IFERROR(VLOOKUP(E121,PROVEEDORES!$A$3:$G$42,5,0),"")</f>
        <v>56225994444 - 56998038459</v>
      </c>
      <c r="I121" s="19">
        <v>1014</v>
      </c>
      <c r="J121" s="67" t="s">
        <v>105</v>
      </c>
      <c r="K121" s="68" t="str">
        <f>IFERROR(VLOOKUP(J121,PROVEEDORES!$A$3:$G$42,2,0),"")</f>
        <v>ESPECIES</v>
      </c>
      <c r="L121" s="69" t="str">
        <f>IFERROR(VLOOKUP(J121,PROVEEDORES!$A$3:$G$42,4,0),"")</f>
        <v>chef@gourmetselect.cl,contabilidad@gourmetselect.cl,pedidos@gourmetselect.cl,info@gourmetselect.cl</v>
      </c>
      <c r="M121" s="18" t="str">
        <f>IFERROR(VLOOKUP(J121,PROVEEDORES!$A$3:$G$42,5,0),"")</f>
        <v>56944921093</v>
      </c>
      <c r="N121" s="19">
        <v>346</v>
      </c>
      <c r="O121" s="67" t="s">
        <v>41</v>
      </c>
      <c r="P121" s="68" t="str">
        <f>IFERROR(VLOOKUP(O121,PROVEEDORES!$A$3:$G$42,2,0),"")</f>
        <v>FRUTAS Y VERDURAS</v>
      </c>
      <c r="Q121" s="69" t="str">
        <f>IFERROR(VLOOKUP(O121,PROVEEDORES!$A$3:$G$42,4,0),"")</f>
        <v>caseritaencasa@gmail.com</v>
      </c>
      <c r="R121" s="18" t="str">
        <f>IFERROR(VLOOKUP(O121,PROVEEDORES!$A$3:$G$42,5,0),"")</f>
        <v>56952069703</v>
      </c>
      <c r="S121" s="19">
        <v>485</v>
      </c>
      <c r="T121" s="20">
        <f t="shared" si="2"/>
        <v>615</v>
      </c>
      <c r="U121" s="21">
        <f t="shared" si="3"/>
        <v>676.5</v>
      </c>
    </row>
    <row r="122" spans="1:21" ht="15" customHeight="1" x14ac:dyDescent="0.35">
      <c r="A122" s="6" t="s">
        <v>207</v>
      </c>
      <c r="B122" s="7" t="s">
        <v>327</v>
      </c>
      <c r="C122" s="8" t="s">
        <v>219</v>
      </c>
      <c r="D122" s="9">
        <v>0.54049999999999998</v>
      </c>
      <c r="E122" s="64" t="s">
        <v>35</v>
      </c>
      <c r="F122" s="65" t="str">
        <f>IFERROR(VLOOKUP(E122,PROVEEDORES!$A$3:$G$42,2,0),"")</f>
        <v>ABARROTES</v>
      </c>
      <c r="G122" s="66" t="str">
        <f>IFERROR(VLOOKUP(E122,PROVEEDORES!$A$3:$G$42,4,0),"")</f>
        <v>pagos@bidfood.cl,pmolina@bidfood.cl</v>
      </c>
      <c r="H122" s="10" t="str">
        <f>IFERROR(VLOOKUP(E122,PROVEEDORES!$A$3:$G$42,5,0),"")</f>
        <v>56225994444 - 56998038459</v>
      </c>
      <c r="I122" s="11">
        <v>32000</v>
      </c>
      <c r="J122" s="64" t="s">
        <v>105</v>
      </c>
      <c r="K122" s="65" t="str">
        <f>IFERROR(VLOOKUP(J122,PROVEEDORES!$A$3:$G$42,2,0),"")</f>
        <v>ESPECIES</v>
      </c>
      <c r="L122" s="66" t="str">
        <f>IFERROR(VLOOKUP(J122,PROVEEDORES!$A$3:$G$42,4,0),"")</f>
        <v>chef@gourmetselect.cl,contabilidad@gourmetselect.cl,pedidos@gourmetselect.cl,info@gourmetselect.cl</v>
      </c>
      <c r="M122" s="10" t="str">
        <f>IFERROR(VLOOKUP(J122,PROVEEDORES!$A$3:$G$42,5,0),"")</f>
        <v>56944921093</v>
      </c>
      <c r="N122" s="11">
        <v>30560</v>
      </c>
      <c r="O122" s="64" t="s">
        <v>41</v>
      </c>
      <c r="P122" s="65" t="str">
        <f>IFERROR(VLOOKUP(O122,PROVEEDORES!$A$3:$G$42,2,0),"")</f>
        <v>FRUTAS Y VERDURAS</v>
      </c>
      <c r="Q122" s="66" t="str">
        <f>IFERROR(VLOOKUP(O122,PROVEEDORES!$A$3:$G$42,4,0),"")</f>
        <v>caseritaencasa@gmail.com</v>
      </c>
      <c r="R122" s="10" t="str">
        <f>IFERROR(VLOOKUP(O122,PROVEEDORES!$A$3:$G$42,5,0),"")</f>
        <v>56952069703</v>
      </c>
      <c r="S122" s="11">
        <v>61005</v>
      </c>
      <c r="T122" s="12">
        <f t="shared" si="2"/>
        <v>41188.333333333336</v>
      </c>
      <c r="U122" s="13">
        <f t="shared" si="3"/>
        <v>45307.166666666672</v>
      </c>
    </row>
    <row r="123" spans="1:21" ht="15" customHeight="1" x14ac:dyDescent="0.35">
      <c r="A123" s="14" t="s">
        <v>207</v>
      </c>
      <c r="B123" s="15" t="s">
        <v>328</v>
      </c>
      <c r="C123" s="16" t="s">
        <v>219</v>
      </c>
      <c r="D123" s="17">
        <v>0.06</v>
      </c>
      <c r="E123" s="67" t="s">
        <v>35</v>
      </c>
      <c r="F123" s="68" t="str">
        <f>IFERROR(VLOOKUP(E123,PROVEEDORES!$A$3:$G$42,2,0),"")</f>
        <v>ABARROTES</v>
      </c>
      <c r="G123" s="69" t="str">
        <f>IFERROR(VLOOKUP(E123,PROVEEDORES!$A$3:$G$42,4,0),"")</f>
        <v>pagos@bidfood.cl,pmolina@bidfood.cl</v>
      </c>
      <c r="H123" s="18" t="str">
        <f>IFERROR(VLOOKUP(E123,PROVEEDORES!$A$3:$G$42,5,0),"")</f>
        <v>56225994444 - 56998038459</v>
      </c>
      <c r="I123" s="19">
        <v>5200</v>
      </c>
      <c r="J123" s="67" t="s">
        <v>105</v>
      </c>
      <c r="K123" s="68" t="str">
        <f>IFERROR(VLOOKUP(J123,PROVEEDORES!$A$3:$G$42,2,0),"")</f>
        <v>ESPECIES</v>
      </c>
      <c r="L123" s="69" t="str">
        <f>IFERROR(VLOOKUP(J123,PROVEEDORES!$A$3:$G$42,4,0),"")</f>
        <v>chef@gourmetselect.cl,contabilidad@gourmetselect.cl,pedidos@gourmetselect.cl,info@gourmetselect.cl</v>
      </c>
      <c r="M123" s="18" t="str">
        <f>IFERROR(VLOOKUP(J123,PROVEEDORES!$A$3:$G$42,5,0),"")</f>
        <v>56944921093</v>
      </c>
      <c r="N123" s="19">
        <v>7930</v>
      </c>
      <c r="O123" s="67" t="s">
        <v>41</v>
      </c>
      <c r="P123" s="68" t="str">
        <f>IFERROR(VLOOKUP(O123,PROVEEDORES!$A$3:$G$42,2,0),"")</f>
        <v>FRUTAS Y VERDURAS</v>
      </c>
      <c r="Q123" s="69" t="str">
        <f>IFERROR(VLOOKUP(O123,PROVEEDORES!$A$3:$G$42,4,0),"")</f>
        <v>caseritaencasa@gmail.com</v>
      </c>
      <c r="R123" s="18" t="str">
        <f>IFERROR(VLOOKUP(O123,PROVEEDORES!$A$3:$G$42,5,0),"")</f>
        <v>56952069703</v>
      </c>
      <c r="S123" s="19">
        <v>3862</v>
      </c>
      <c r="T123" s="20">
        <f t="shared" si="2"/>
        <v>5664</v>
      </c>
      <c r="U123" s="21">
        <f t="shared" si="3"/>
        <v>6230.4000000000005</v>
      </c>
    </row>
    <row r="124" spans="1:21" ht="15" customHeight="1" x14ac:dyDescent="0.35">
      <c r="A124" s="6" t="s">
        <v>207</v>
      </c>
      <c r="B124" s="7" t="s">
        <v>329</v>
      </c>
      <c r="C124" s="8" t="s">
        <v>219</v>
      </c>
      <c r="D124" s="9">
        <v>2.8750000000000001E-2</v>
      </c>
      <c r="E124" s="64" t="s">
        <v>35</v>
      </c>
      <c r="F124" s="65" t="str">
        <f>IFERROR(VLOOKUP(E124,PROVEEDORES!$A$3:$G$42,2,0),"")</f>
        <v>ABARROTES</v>
      </c>
      <c r="G124" s="66" t="str">
        <f>IFERROR(VLOOKUP(E124,PROVEEDORES!$A$3:$G$42,4,0),"")</f>
        <v>pagos@bidfood.cl,pmolina@bidfood.cl</v>
      </c>
      <c r="H124" s="10" t="str">
        <f>IFERROR(VLOOKUP(E124,PROVEEDORES!$A$3:$G$42,5,0),"")</f>
        <v>56225994444 - 56998038459</v>
      </c>
      <c r="I124" s="11">
        <v>5200</v>
      </c>
      <c r="J124" s="64" t="s">
        <v>105</v>
      </c>
      <c r="K124" s="65" t="str">
        <f>IFERROR(VLOOKUP(J124,PROVEEDORES!$A$3:$G$42,2,0),"")</f>
        <v>ESPECIES</v>
      </c>
      <c r="L124" s="66" t="str">
        <f>IFERROR(VLOOKUP(J124,PROVEEDORES!$A$3:$G$42,4,0),"")</f>
        <v>chef@gourmetselect.cl,contabilidad@gourmetselect.cl,pedidos@gourmetselect.cl,info@gourmetselect.cl</v>
      </c>
      <c r="M124" s="10" t="str">
        <f>IFERROR(VLOOKUP(J124,PROVEEDORES!$A$3:$G$42,5,0),"")</f>
        <v>56944921093</v>
      </c>
      <c r="N124" s="11">
        <v>4584</v>
      </c>
      <c r="O124" s="64" t="s">
        <v>41</v>
      </c>
      <c r="P124" s="65" t="str">
        <f>IFERROR(VLOOKUP(O124,PROVEEDORES!$A$3:$G$42,2,0),"")</f>
        <v>FRUTAS Y VERDURAS</v>
      </c>
      <c r="Q124" s="66" t="str">
        <f>IFERROR(VLOOKUP(O124,PROVEEDORES!$A$3:$G$42,4,0),"")</f>
        <v>caseritaencasa@gmail.com</v>
      </c>
      <c r="R124" s="10" t="str">
        <f>IFERROR(VLOOKUP(O124,PROVEEDORES!$A$3:$G$42,5,0),"")</f>
        <v>56952069703</v>
      </c>
      <c r="S124" s="11">
        <v>4262</v>
      </c>
      <c r="T124" s="12">
        <f t="shared" si="2"/>
        <v>4682</v>
      </c>
      <c r="U124" s="13">
        <f t="shared" si="3"/>
        <v>5150.2000000000007</v>
      </c>
    </row>
    <row r="125" spans="1:21" ht="15" customHeight="1" x14ac:dyDescent="0.35">
      <c r="A125" s="14" t="s">
        <v>207</v>
      </c>
      <c r="B125" s="15" t="s">
        <v>330</v>
      </c>
      <c r="C125" s="16" t="s">
        <v>219</v>
      </c>
      <c r="D125" s="17">
        <v>0.09</v>
      </c>
      <c r="E125" s="67" t="s">
        <v>35</v>
      </c>
      <c r="F125" s="68" t="str">
        <f>IFERROR(VLOOKUP(E125,PROVEEDORES!$A$3:$G$42,2,0),"")</f>
        <v>ABARROTES</v>
      </c>
      <c r="G125" s="69" t="str">
        <f>IFERROR(VLOOKUP(E125,PROVEEDORES!$A$3:$G$42,4,0),"")</f>
        <v>pagos@bidfood.cl,pmolina@bidfood.cl</v>
      </c>
      <c r="H125" s="18" t="str">
        <f>IFERROR(VLOOKUP(E125,PROVEEDORES!$A$3:$G$42,5,0),"")</f>
        <v>56225994444 - 56998038459</v>
      </c>
      <c r="I125" s="19">
        <v>1450</v>
      </c>
      <c r="J125" s="67" t="s">
        <v>105</v>
      </c>
      <c r="K125" s="68" t="str">
        <f>IFERROR(VLOOKUP(J125,PROVEEDORES!$A$3:$G$42,2,0),"")</f>
        <v>ESPECIES</v>
      </c>
      <c r="L125" s="69" t="str">
        <f>IFERROR(VLOOKUP(J125,PROVEEDORES!$A$3:$G$42,4,0),"")</f>
        <v>chef@gourmetselect.cl,contabilidad@gourmetselect.cl,pedidos@gourmetselect.cl,info@gourmetselect.cl</v>
      </c>
      <c r="M125" s="18" t="str">
        <f>IFERROR(VLOOKUP(J125,PROVEEDORES!$A$3:$G$42,5,0),"")</f>
        <v>56944921093</v>
      </c>
      <c r="N125" s="19">
        <v>1409</v>
      </c>
      <c r="O125" s="67" t="s">
        <v>41</v>
      </c>
      <c r="P125" s="68" t="str">
        <f>IFERROR(VLOOKUP(O125,PROVEEDORES!$A$3:$G$42,2,0),"")</f>
        <v>FRUTAS Y VERDURAS</v>
      </c>
      <c r="Q125" s="69" t="str">
        <f>IFERROR(VLOOKUP(O125,PROVEEDORES!$A$3:$G$42,4,0),"")</f>
        <v>caseritaencasa@gmail.com</v>
      </c>
      <c r="R125" s="18" t="str">
        <f>IFERROR(VLOOKUP(O125,PROVEEDORES!$A$3:$G$42,5,0),"")</f>
        <v>56952069703</v>
      </c>
      <c r="S125" s="19">
        <v>1565</v>
      </c>
      <c r="T125" s="20">
        <f t="shared" si="2"/>
        <v>1474.6666666666667</v>
      </c>
      <c r="U125" s="21">
        <f t="shared" si="3"/>
        <v>1622.1333333333334</v>
      </c>
    </row>
    <row r="126" spans="1:21" ht="15" customHeight="1" x14ac:dyDescent="0.35">
      <c r="A126" s="6" t="s">
        <v>207</v>
      </c>
      <c r="B126" s="7" t="s">
        <v>331</v>
      </c>
      <c r="C126" s="8" t="s">
        <v>219</v>
      </c>
      <c r="D126" s="9">
        <v>0.1</v>
      </c>
      <c r="E126" s="64" t="s">
        <v>35</v>
      </c>
      <c r="F126" s="65" t="str">
        <f>IFERROR(VLOOKUP(E126,PROVEEDORES!$A$3:$G$42,2,0),"")</f>
        <v>ABARROTES</v>
      </c>
      <c r="G126" s="66" t="str">
        <f>IFERROR(VLOOKUP(E126,PROVEEDORES!$A$3:$G$42,4,0),"")</f>
        <v>pagos@bidfood.cl,pmolina@bidfood.cl</v>
      </c>
      <c r="H126" s="10" t="str">
        <f>IFERROR(VLOOKUP(E126,PROVEEDORES!$A$3:$G$42,5,0),"")</f>
        <v>56225994444 - 56998038459</v>
      </c>
      <c r="I126" s="11">
        <v>1790</v>
      </c>
      <c r="J126" s="64" t="s">
        <v>105</v>
      </c>
      <c r="K126" s="65" t="str">
        <f>IFERROR(VLOOKUP(J126,PROVEEDORES!$A$3:$G$42,2,0),"")</f>
        <v>ESPECIES</v>
      </c>
      <c r="L126" s="66" t="str">
        <f>IFERROR(VLOOKUP(J126,PROVEEDORES!$A$3:$G$42,4,0),"")</f>
        <v>chef@gourmetselect.cl,contabilidad@gourmetselect.cl,pedidos@gourmetselect.cl,info@gourmetselect.cl</v>
      </c>
      <c r="M126" s="10" t="str">
        <f>IFERROR(VLOOKUP(J126,PROVEEDORES!$A$3:$G$42,5,0),"")</f>
        <v>56944921093</v>
      </c>
      <c r="N126" s="11">
        <v>2961</v>
      </c>
      <c r="O126" s="64" t="s">
        <v>41</v>
      </c>
      <c r="P126" s="65" t="str">
        <f>IFERROR(VLOOKUP(O126,PROVEEDORES!$A$3:$G$42,2,0),"")</f>
        <v>FRUTAS Y VERDURAS</v>
      </c>
      <c r="Q126" s="66" t="str">
        <f>IFERROR(VLOOKUP(O126,PROVEEDORES!$A$3:$G$42,4,0),"")</f>
        <v>caseritaencasa@gmail.com</v>
      </c>
      <c r="R126" s="10" t="str">
        <f>IFERROR(VLOOKUP(O126,PROVEEDORES!$A$3:$G$42,5,0),"")</f>
        <v>56952069703</v>
      </c>
      <c r="S126" s="11">
        <v>2916</v>
      </c>
      <c r="T126" s="12">
        <f t="shared" si="2"/>
        <v>2555.6666666666665</v>
      </c>
      <c r="U126" s="13">
        <f t="shared" si="3"/>
        <v>2811.2333333333336</v>
      </c>
    </row>
    <row r="127" spans="1:21" ht="15" customHeight="1" x14ac:dyDescent="0.35">
      <c r="A127" s="14" t="s">
        <v>207</v>
      </c>
      <c r="B127" s="15" t="s">
        <v>332</v>
      </c>
      <c r="C127" s="16" t="s">
        <v>219</v>
      </c>
      <c r="D127" s="17">
        <v>1.2500000000000001E-2</v>
      </c>
      <c r="E127" s="67" t="s">
        <v>35</v>
      </c>
      <c r="F127" s="68" t="str">
        <f>IFERROR(VLOOKUP(E127,PROVEEDORES!$A$3:$G$42,2,0),"")</f>
        <v>ABARROTES</v>
      </c>
      <c r="G127" s="69" t="str">
        <f>IFERROR(VLOOKUP(E127,PROVEEDORES!$A$3:$G$42,4,0),"")</f>
        <v>pagos@bidfood.cl,pmolina@bidfood.cl</v>
      </c>
      <c r="H127" s="18" t="str">
        <f>IFERROR(VLOOKUP(E127,PROVEEDORES!$A$3:$G$42,5,0),"")</f>
        <v>56225994444 - 56998038459</v>
      </c>
      <c r="I127" s="19">
        <v>9000</v>
      </c>
      <c r="J127" s="67" t="s">
        <v>105</v>
      </c>
      <c r="K127" s="68" t="str">
        <f>IFERROR(VLOOKUP(J127,PROVEEDORES!$A$3:$G$42,2,0),"")</f>
        <v>ESPECIES</v>
      </c>
      <c r="L127" s="69" t="str">
        <f>IFERROR(VLOOKUP(J127,PROVEEDORES!$A$3:$G$42,4,0),"")</f>
        <v>chef@gourmetselect.cl,contabilidad@gourmetselect.cl,pedidos@gourmetselect.cl,info@gourmetselect.cl</v>
      </c>
      <c r="M127" s="18" t="str">
        <f>IFERROR(VLOOKUP(J127,PROVEEDORES!$A$3:$G$42,5,0),"")</f>
        <v>56944921093</v>
      </c>
      <c r="N127" s="19">
        <v>4950</v>
      </c>
      <c r="O127" s="67" t="s">
        <v>41</v>
      </c>
      <c r="P127" s="68" t="str">
        <f>IFERROR(VLOOKUP(O127,PROVEEDORES!$A$3:$G$42,2,0),"")</f>
        <v>FRUTAS Y VERDURAS</v>
      </c>
      <c r="Q127" s="69" t="str">
        <f>IFERROR(VLOOKUP(O127,PROVEEDORES!$A$3:$G$42,4,0),"")</f>
        <v>caseritaencasa@gmail.com</v>
      </c>
      <c r="R127" s="18" t="str">
        <f>IFERROR(VLOOKUP(O127,PROVEEDORES!$A$3:$G$42,5,0),"")</f>
        <v>56952069703</v>
      </c>
      <c r="S127" s="19">
        <v>12485</v>
      </c>
      <c r="T127" s="20">
        <f t="shared" si="2"/>
        <v>8811.6666666666661</v>
      </c>
      <c r="U127" s="21">
        <f t="shared" si="3"/>
        <v>9692.8333333333339</v>
      </c>
    </row>
    <row r="128" spans="1:21" ht="15" customHeight="1" x14ac:dyDescent="0.35">
      <c r="A128" s="6" t="s">
        <v>207</v>
      </c>
      <c r="B128" s="7" t="s">
        <v>333</v>
      </c>
      <c r="C128" s="8" t="s">
        <v>219</v>
      </c>
      <c r="D128" s="9">
        <v>0.13500000000000001</v>
      </c>
      <c r="E128" s="64" t="s">
        <v>35</v>
      </c>
      <c r="F128" s="65" t="str">
        <f>IFERROR(VLOOKUP(E128,PROVEEDORES!$A$3:$G$42,2,0),"")</f>
        <v>ABARROTES</v>
      </c>
      <c r="G128" s="66" t="str">
        <f>IFERROR(VLOOKUP(E128,PROVEEDORES!$A$3:$G$42,4,0),"")</f>
        <v>pagos@bidfood.cl,pmolina@bidfood.cl</v>
      </c>
      <c r="H128" s="10" t="str">
        <f>IFERROR(VLOOKUP(E128,PROVEEDORES!$A$3:$G$42,5,0),"")</f>
        <v>56225994444 - 56998038459</v>
      </c>
      <c r="I128" s="11">
        <v>1350</v>
      </c>
      <c r="J128" s="64" t="s">
        <v>105</v>
      </c>
      <c r="K128" s="65" t="str">
        <f>IFERROR(VLOOKUP(J128,PROVEEDORES!$A$3:$G$42,2,0),"")</f>
        <v>ESPECIES</v>
      </c>
      <c r="L128" s="66" t="str">
        <f>IFERROR(VLOOKUP(J128,PROVEEDORES!$A$3:$G$42,4,0),"")</f>
        <v>chef@gourmetselect.cl,contabilidad@gourmetselect.cl,pedidos@gourmetselect.cl,info@gourmetselect.cl</v>
      </c>
      <c r="M128" s="10" t="str">
        <f>IFERROR(VLOOKUP(J128,PROVEEDORES!$A$3:$G$42,5,0),"")</f>
        <v>56944921093</v>
      </c>
      <c r="N128" s="11">
        <v>2059</v>
      </c>
      <c r="O128" s="64" t="s">
        <v>41</v>
      </c>
      <c r="P128" s="65" t="str">
        <f>IFERROR(VLOOKUP(O128,PROVEEDORES!$A$3:$G$42,2,0),"")</f>
        <v>FRUTAS Y VERDURAS</v>
      </c>
      <c r="Q128" s="66" t="str">
        <f>IFERROR(VLOOKUP(O128,PROVEEDORES!$A$3:$G$42,4,0),"")</f>
        <v>caseritaencasa@gmail.com</v>
      </c>
      <c r="R128" s="10" t="str">
        <f>IFERROR(VLOOKUP(O128,PROVEEDORES!$A$3:$G$42,5,0),"")</f>
        <v>56952069703</v>
      </c>
      <c r="S128" s="11">
        <v>539</v>
      </c>
      <c r="T128" s="12">
        <f t="shared" si="2"/>
        <v>1316</v>
      </c>
      <c r="U128" s="13">
        <f t="shared" si="3"/>
        <v>1447.6000000000001</v>
      </c>
    </row>
    <row r="129" spans="1:21" ht="15" customHeight="1" x14ac:dyDescent="0.35">
      <c r="A129" s="14" t="s">
        <v>207</v>
      </c>
      <c r="B129" s="15" t="s">
        <v>334</v>
      </c>
      <c r="C129" s="16" t="s">
        <v>219</v>
      </c>
      <c r="D129" s="17">
        <v>8.2496875000000003</v>
      </c>
      <c r="E129" s="67" t="s">
        <v>35</v>
      </c>
      <c r="F129" s="68" t="str">
        <f>IFERROR(VLOOKUP(E129,PROVEEDORES!$A$3:$G$42,2,0),"")</f>
        <v>ABARROTES</v>
      </c>
      <c r="G129" s="69" t="str">
        <f>IFERROR(VLOOKUP(E129,PROVEEDORES!$A$3:$G$42,4,0),"")</f>
        <v>pagos@bidfood.cl,pmolina@bidfood.cl</v>
      </c>
      <c r="H129" s="18" t="str">
        <f>IFERROR(VLOOKUP(E129,PROVEEDORES!$A$3:$G$42,5,0),"")</f>
        <v>56225994444 - 56998038459</v>
      </c>
      <c r="I129" s="19">
        <v>745</v>
      </c>
      <c r="J129" s="67" t="s">
        <v>105</v>
      </c>
      <c r="K129" s="68" t="str">
        <f>IFERROR(VLOOKUP(J129,PROVEEDORES!$A$3:$G$42,2,0),"")</f>
        <v>ESPECIES</v>
      </c>
      <c r="L129" s="69" t="str">
        <f>IFERROR(VLOOKUP(J129,PROVEEDORES!$A$3:$G$42,4,0),"")</f>
        <v>chef@gourmetselect.cl,contabilidad@gourmetselect.cl,pedidos@gourmetselect.cl,info@gourmetselect.cl</v>
      </c>
      <c r="M129" s="18" t="str">
        <f>IFERROR(VLOOKUP(J129,PROVEEDORES!$A$3:$G$42,5,0),"")</f>
        <v>56944921093</v>
      </c>
      <c r="N129" s="19">
        <v>935</v>
      </c>
      <c r="O129" s="67" t="s">
        <v>41</v>
      </c>
      <c r="P129" s="68" t="str">
        <f>IFERROR(VLOOKUP(O129,PROVEEDORES!$A$3:$G$42,2,0),"")</f>
        <v>FRUTAS Y VERDURAS</v>
      </c>
      <c r="Q129" s="69" t="str">
        <f>IFERROR(VLOOKUP(O129,PROVEEDORES!$A$3:$G$42,4,0),"")</f>
        <v>caseritaencasa@gmail.com</v>
      </c>
      <c r="R129" s="18" t="str">
        <f>IFERROR(VLOOKUP(O129,PROVEEDORES!$A$3:$G$42,5,0),"")</f>
        <v>56952069703</v>
      </c>
      <c r="S129" s="19">
        <v>132</v>
      </c>
      <c r="T129" s="20">
        <f t="shared" si="2"/>
        <v>604</v>
      </c>
      <c r="U129" s="21">
        <f t="shared" si="3"/>
        <v>664.40000000000009</v>
      </c>
    </row>
    <row r="130" spans="1:21" ht="15" customHeight="1" x14ac:dyDescent="0.35">
      <c r="A130" s="6" t="s">
        <v>207</v>
      </c>
      <c r="B130" s="7" t="s">
        <v>335</v>
      </c>
      <c r="C130" s="8" t="s">
        <v>219</v>
      </c>
      <c r="D130" s="9">
        <v>0.05</v>
      </c>
      <c r="E130" s="64" t="s">
        <v>35</v>
      </c>
      <c r="F130" s="65" t="str">
        <f>IFERROR(VLOOKUP(E130,PROVEEDORES!$A$3:$G$42,2,0),"")</f>
        <v>ABARROTES</v>
      </c>
      <c r="G130" s="66" t="str">
        <f>IFERROR(VLOOKUP(E130,PROVEEDORES!$A$3:$G$42,4,0),"")</f>
        <v>pagos@bidfood.cl,pmolina@bidfood.cl</v>
      </c>
      <c r="H130" s="10" t="str">
        <f>IFERROR(VLOOKUP(E130,PROVEEDORES!$A$3:$G$42,5,0),"")</f>
        <v>56225994444 - 56998038459</v>
      </c>
      <c r="I130" s="11">
        <v>13500</v>
      </c>
      <c r="J130" s="64" t="s">
        <v>105</v>
      </c>
      <c r="K130" s="65" t="str">
        <f>IFERROR(VLOOKUP(J130,PROVEEDORES!$A$3:$G$42,2,0),"")</f>
        <v>ESPECIES</v>
      </c>
      <c r="L130" s="66" t="str">
        <f>IFERROR(VLOOKUP(J130,PROVEEDORES!$A$3:$G$42,4,0),"")</f>
        <v>chef@gourmetselect.cl,contabilidad@gourmetselect.cl,pedidos@gourmetselect.cl,info@gourmetselect.cl</v>
      </c>
      <c r="M130" s="10" t="str">
        <f>IFERROR(VLOOKUP(J130,PROVEEDORES!$A$3:$G$42,5,0),"")</f>
        <v>56944921093</v>
      </c>
      <c r="N130" s="11">
        <v>18076</v>
      </c>
      <c r="O130" s="64" t="s">
        <v>41</v>
      </c>
      <c r="P130" s="65" t="str">
        <f>IFERROR(VLOOKUP(O130,PROVEEDORES!$A$3:$G$42,2,0),"")</f>
        <v>FRUTAS Y VERDURAS</v>
      </c>
      <c r="Q130" s="66" t="str">
        <f>IFERROR(VLOOKUP(O130,PROVEEDORES!$A$3:$G$42,4,0),"")</f>
        <v>caseritaencasa@gmail.com</v>
      </c>
      <c r="R130" s="10" t="str">
        <f>IFERROR(VLOOKUP(O130,PROVEEDORES!$A$3:$G$42,5,0),"")</f>
        <v>56952069703</v>
      </c>
      <c r="S130" s="11">
        <v>26212</v>
      </c>
      <c r="T130" s="12">
        <f t="shared" si="2"/>
        <v>19262.666666666668</v>
      </c>
      <c r="U130" s="13">
        <f t="shared" si="3"/>
        <v>21188.933333333338</v>
      </c>
    </row>
    <row r="131" spans="1:21" ht="15" customHeight="1" x14ac:dyDescent="0.35">
      <c r="A131" s="14" t="s">
        <v>207</v>
      </c>
      <c r="B131" s="15" t="s">
        <v>336</v>
      </c>
      <c r="C131" s="16" t="s">
        <v>209</v>
      </c>
      <c r="D131" s="17">
        <v>3.0000000000000001E-3</v>
      </c>
      <c r="E131" s="67" t="s">
        <v>35</v>
      </c>
      <c r="F131" s="68" t="str">
        <f>IFERROR(VLOOKUP(E131,PROVEEDORES!$A$3:$G$42,2,0),"")</f>
        <v>ABARROTES</v>
      </c>
      <c r="G131" s="69" t="str">
        <f>IFERROR(VLOOKUP(E131,PROVEEDORES!$A$3:$G$42,4,0),"")</f>
        <v>pagos@bidfood.cl,pmolina@bidfood.cl</v>
      </c>
      <c r="H131" s="18" t="str">
        <f>IFERROR(VLOOKUP(E131,PROVEEDORES!$A$3:$G$42,5,0),"")</f>
        <v>56225994444 - 56998038459</v>
      </c>
      <c r="I131" s="19">
        <v>1289</v>
      </c>
      <c r="J131" s="67" t="s">
        <v>105</v>
      </c>
      <c r="K131" s="68" t="str">
        <f>IFERROR(VLOOKUP(J131,PROVEEDORES!$A$3:$G$42,2,0),"")</f>
        <v>ESPECIES</v>
      </c>
      <c r="L131" s="69" t="str">
        <f>IFERROR(VLOOKUP(J131,PROVEEDORES!$A$3:$G$42,4,0),"")</f>
        <v>chef@gourmetselect.cl,contabilidad@gourmetselect.cl,pedidos@gourmetselect.cl,info@gourmetselect.cl</v>
      </c>
      <c r="M131" s="18" t="str">
        <f>IFERROR(VLOOKUP(J131,PROVEEDORES!$A$3:$G$42,5,0),"")</f>
        <v>56944921093</v>
      </c>
      <c r="N131" s="19">
        <v>833</v>
      </c>
      <c r="O131" s="67" t="s">
        <v>41</v>
      </c>
      <c r="P131" s="68" t="str">
        <f>IFERROR(VLOOKUP(O131,PROVEEDORES!$A$3:$G$42,2,0),"")</f>
        <v>FRUTAS Y VERDURAS</v>
      </c>
      <c r="Q131" s="69" t="str">
        <f>IFERROR(VLOOKUP(O131,PROVEEDORES!$A$3:$G$42,4,0),"")</f>
        <v>caseritaencasa@gmail.com</v>
      </c>
      <c r="R131" s="18" t="str">
        <f>IFERROR(VLOOKUP(O131,PROVEEDORES!$A$3:$G$42,5,0),"")</f>
        <v>56952069703</v>
      </c>
      <c r="S131" s="19">
        <v>1113</v>
      </c>
      <c r="T131" s="20">
        <f t="shared" si="2"/>
        <v>1078.3333333333333</v>
      </c>
      <c r="U131" s="21">
        <f t="shared" si="3"/>
        <v>1186.1666666666667</v>
      </c>
    </row>
    <row r="132" spans="1:21" ht="15" customHeight="1" x14ac:dyDescent="0.35">
      <c r="A132" s="6" t="s">
        <v>207</v>
      </c>
      <c r="B132" s="7" t="s">
        <v>337</v>
      </c>
      <c r="C132" s="8" t="s">
        <v>219</v>
      </c>
      <c r="D132" s="9">
        <v>5.6125000000000001E-2</v>
      </c>
      <c r="E132" s="64" t="s">
        <v>35</v>
      </c>
      <c r="F132" s="65" t="str">
        <f>IFERROR(VLOOKUP(E132,PROVEEDORES!$A$3:$G$42,2,0),"")</f>
        <v>ABARROTES</v>
      </c>
      <c r="G132" s="66" t="str">
        <f>IFERROR(VLOOKUP(E132,PROVEEDORES!$A$3:$G$42,4,0),"")</f>
        <v>pagos@bidfood.cl,pmolina@bidfood.cl</v>
      </c>
      <c r="H132" s="10" t="str">
        <f>IFERROR(VLOOKUP(E132,PROVEEDORES!$A$3:$G$42,5,0),"")</f>
        <v>56225994444 - 56998038459</v>
      </c>
      <c r="I132" s="11">
        <v>13019</v>
      </c>
      <c r="J132" s="64" t="s">
        <v>105</v>
      </c>
      <c r="K132" s="65" t="str">
        <f>IFERROR(VLOOKUP(J132,PROVEEDORES!$A$3:$G$42,2,0),"")</f>
        <v>ESPECIES</v>
      </c>
      <c r="L132" s="66" t="str">
        <f>IFERROR(VLOOKUP(J132,PROVEEDORES!$A$3:$G$42,4,0),"")</f>
        <v>chef@gourmetselect.cl,contabilidad@gourmetselect.cl,pedidos@gourmetselect.cl,info@gourmetselect.cl</v>
      </c>
      <c r="M132" s="10" t="str">
        <f>IFERROR(VLOOKUP(J132,PROVEEDORES!$A$3:$G$42,5,0),"")</f>
        <v>56944921093</v>
      </c>
      <c r="N132" s="11">
        <v>12687</v>
      </c>
      <c r="O132" s="64" t="s">
        <v>41</v>
      </c>
      <c r="P132" s="65" t="str">
        <f>IFERROR(VLOOKUP(O132,PROVEEDORES!$A$3:$G$42,2,0),"")</f>
        <v>FRUTAS Y VERDURAS</v>
      </c>
      <c r="Q132" s="66" t="str">
        <f>IFERROR(VLOOKUP(O132,PROVEEDORES!$A$3:$G$42,4,0),"")</f>
        <v>caseritaencasa@gmail.com</v>
      </c>
      <c r="R132" s="10" t="str">
        <f>IFERROR(VLOOKUP(O132,PROVEEDORES!$A$3:$G$42,5,0),"")</f>
        <v>56952069703</v>
      </c>
      <c r="S132" s="11">
        <v>10269</v>
      </c>
      <c r="T132" s="12">
        <f t="shared" si="2"/>
        <v>11991.666666666666</v>
      </c>
      <c r="U132" s="13">
        <f t="shared" si="3"/>
        <v>13190.833333333334</v>
      </c>
    </row>
    <row r="133" spans="1:21" ht="15" customHeight="1" x14ac:dyDescent="0.35">
      <c r="A133" s="14" t="s">
        <v>207</v>
      </c>
      <c r="B133" s="15" t="s">
        <v>338</v>
      </c>
      <c r="C133" s="16" t="s">
        <v>209</v>
      </c>
      <c r="D133" s="17">
        <v>4.8125000000000001E-2</v>
      </c>
      <c r="E133" s="67" t="s">
        <v>35</v>
      </c>
      <c r="F133" s="68" t="str">
        <f>IFERROR(VLOOKUP(E133,PROVEEDORES!$A$3:$G$42,2,0),"")</f>
        <v>ABARROTES</v>
      </c>
      <c r="G133" s="69" t="str">
        <f>IFERROR(VLOOKUP(E133,PROVEEDORES!$A$3:$G$42,4,0),"")</f>
        <v>pagos@bidfood.cl,pmolina@bidfood.cl</v>
      </c>
      <c r="H133" s="18" t="str">
        <f>IFERROR(VLOOKUP(E133,PROVEEDORES!$A$3:$G$42,5,0),"")</f>
        <v>56225994444 - 56998038459</v>
      </c>
      <c r="I133" s="19">
        <v>2101</v>
      </c>
      <c r="J133" s="67" t="s">
        <v>105</v>
      </c>
      <c r="K133" s="68" t="str">
        <f>IFERROR(VLOOKUP(J133,PROVEEDORES!$A$3:$G$42,2,0),"")</f>
        <v>ESPECIES</v>
      </c>
      <c r="L133" s="69" t="str">
        <f>IFERROR(VLOOKUP(J133,PROVEEDORES!$A$3:$G$42,4,0),"")</f>
        <v>chef@gourmetselect.cl,contabilidad@gourmetselect.cl,pedidos@gourmetselect.cl,info@gourmetselect.cl</v>
      </c>
      <c r="M133" s="18" t="str">
        <f>IFERROR(VLOOKUP(J133,PROVEEDORES!$A$3:$G$42,5,0),"")</f>
        <v>56944921093</v>
      </c>
      <c r="N133" s="19">
        <v>2820</v>
      </c>
      <c r="O133" s="67" t="s">
        <v>41</v>
      </c>
      <c r="P133" s="68" t="str">
        <f>IFERROR(VLOOKUP(O133,PROVEEDORES!$A$3:$G$42,2,0),"")</f>
        <v>FRUTAS Y VERDURAS</v>
      </c>
      <c r="Q133" s="69" t="str">
        <f>IFERROR(VLOOKUP(O133,PROVEEDORES!$A$3:$G$42,4,0),"")</f>
        <v>caseritaencasa@gmail.com</v>
      </c>
      <c r="R133" s="18" t="str">
        <f>IFERROR(VLOOKUP(O133,PROVEEDORES!$A$3:$G$42,5,0),"")</f>
        <v>56952069703</v>
      </c>
      <c r="S133" s="19">
        <v>3580</v>
      </c>
      <c r="T133" s="20">
        <f t="shared" si="2"/>
        <v>2833.6666666666665</v>
      </c>
      <c r="U133" s="21">
        <f t="shared" si="3"/>
        <v>3117.0333333333333</v>
      </c>
    </row>
    <row r="134" spans="1:21" ht="15" customHeight="1" x14ac:dyDescent="0.35">
      <c r="A134" s="6" t="s">
        <v>207</v>
      </c>
      <c r="B134" s="7" t="s">
        <v>339</v>
      </c>
      <c r="C134" s="8" t="s">
        <v>219</v>
      </c>
      <c r="D134" s="9">
        <v>1.2500000000000001E-2</v>
      </c>
      <c r="E134" s="64" t="s">
        <v>35</v>
      </c>
      <c r="F134" s="65" t="str">
        <f>IFERROR(VLOOKUP(E134,PROVEEDORES!$A$3:$G$42,2,0),"")</f>
        <v>ABARROTES</v>
      </c>
      <c r="G134" s="66" t="str">
        <f>IFERROR(VLOOKUP(E134,PROVEEDORES!$A$3:$G$42,4,0),"")</f>
        <v>pagos@bidfood.cl,pmolina@bidfood.cl</v>
      </c>
      <c r="H134" s="10" t="str">
        <f>IFERROR(VLOOKUP(E134,PROVEEDORES!$A$3:$G$42,5,0),"")</f>
        <v>56225994444 - 56998038459</v>
      </c>
      <c r="I134" s="11">
        <v>2624</v>
      </c>
      <c r="J134" s="64" t="s">
        <v>105</v>
      </c>
      <c r="K134" s="65" t="str">
        <f>IFERROR(VLOOKUP(J134,PROVEEDORES!$A$3:$G$42,2,0),"")</f>
        <v>ESPECIES</v>
      </c>
      <c r="L134" s="66" t="str">
        <f>IFERROR(VLOOKUP(J134,PROVEEDORES!$A$3:$G$42,4,0),"")</f>
        <v>chef@gourmetselect.cl,contabilidad@gourmetselect.cl,pedidos@gourmetselect.cl,info@gourmetselect.cl</v>
      </c>
      <c r="M134" s="10" t="str">
        <f>IFERROR(VLOOKUP(J134,PROVEEDORES!$A$3:$G$42,5,0),"")</f>
        <v>56944921093</v>
      </c>
      <c r="N134" s="11">
        <v>4029</v>
      </c>
      <c r="O134" s="64" t="s">
        <v>41</v>
      </c>
      <c r="P134" s="65" t="str">
        <f>IFERROR(VLOOKUP(O134,PROVEEDORES!$A$3:$G$42,2,0),"")</f>
        <v>FRUTAS Y VERDURAS</v>
      </c>
      <c r="Q134" s="66" t="str">
        <f>IFERROR(VLOOKUP(O134,PROVEEDORES!$A$3:$G$42,4,0),"")</f>
        <v>caseritaencasa@gmail.com</v>
      </c>
      <c r="R134" s="10" t="str">
        <f>IFERROR(VLOOKUP(O134,PROVEEDORES!$A$3:$G$42,5,0),"")</f>
        <v>56952069703</v>
      </c>
      <c r="S134" s="11">
        <v>2070</v>
      </c>
      <c r="T134" s="12">
        <f t="shared" ref="T134:T197" si="4">AVERAGE(I134,N134,S134)</f>
        <v>2907.6666666666665</v>
      </c>
      <c r="U134" s="13">
        <f t="shared" ref="U134:U197" si="5">T134*(1+$B$2)</f>
        <v>3198.4333333333334</v>
      </c>
    </row>
    <row r="135" spans="1:21" ht="15" customHeight="1" x14ac:dyDescent="0.35">
      <c r="A135" s="14" t="s">
        <v>207</v>
      </c>
      <c r="B135" s="15" t="s">
        <v>340</v>
      </c>
      <c r="C135" s="16" t="s">
        <v>219</v>
      </c>
      <c r="D135" s="17">
        <v>4.5624999999999997E-3</v>
      </c>
      <c r="E135" s="67" t="s">
        <v>35</v>
      </c>
      <c r="F135" s="68" t="str">
        <f>IFERROR(VLOOKUP(E135,PROVEEDORES!$A$3:$G$42,2,0),"")</f>
        <v>ABARROTES</v>
      </c>
      <c r="G135" s="69" t="str">
        <f>IFERROR(VLOOKUP(E135,PROVEEDORES!$A$3:$G$42,4,0),"")</f>
        <v>pagos@bidfood.cl,pmolina@bidfood.cl</v>
      </c>
      <c r="H135" s="18" t="str">
        <f>IFERROR(VLOOKUP(E135,PROVEEDORES!$A$3:$G$42,5,0),"")</f>
        <v>56225994444 - 56998038459</v>
      </c>
      <c r="I135" s="19">
        <v>4100</v>
      </c>
      <c r="J135" s="67" t="s">
        <v>105</v>
      </c>
      <c r="K135" s="68" t="str">
        <f>IFERROR(VLOOKUP(J135,PROVEEDORES!$A$3:$G$42,2,0),"")</f>
        <v>ESPECIES</v>
      </c>
      <c r="L135" s="69" t="str">
        <f>IFERROR(VLOOKUP(J135,PROVEEDORES!$A$3:$G$42,4,0),"")</f>
        <v>chef@gourmetselect.cl,contabilidad@gourmetselect.cl,pedidos@gourmetselect.cl,info@gourmetselect.cl</v>
      </c>
      <c r="M135" s="18" t="str">
        <f>IFERROR(VLOOKUP(J135,PROVEEDORES!$A$3:$G$42,5,0),"")</f>
        <v>56944921093</v>
      </c>
      <c r="N135" s="19">
        <v>6222</v>
      </c>
      <c r="O135" s="67" t="s">
        <v>41</v>
      </c>
      <c r="P135" s="68" t="str">
        <f>IFERROR(VLOOKUP(O135,PROVEEDORES!$A$3:$G$42,2,0),"")</f>
        <v>FRUTAS Y VERDURAS</v>
      </c>
      <c r="Q135" s="69" t="str">
        <f>IFERROR(VLOOKUP(O135,PROVEEDORES!$A$3:$G$42,4,0),"")</f>
        <v>caseritaencasa@gmail.com</v>
      </c>
      <c r="R135" s="18" t="str">
        <f>IFERROR(VLOOKUP(O135,PROVEEDORES!$A$3:$G$42,5,0),"")</f>
        <v>56952069703</v>
      </c>
      <c r="S135" s="19">
        <v>4064</v>
      </c>
      <c r="T135" s="20">
        <f t="shared" si="4"/>
        <v>4795.333333333333</v>
      </c>
      <c r="U135" s="21">
        <f t="shared" si="5"/>
        <v>5274.8666666666668</v>
      </c>
    </row>
    <row r="136" spans="1:21" ht="15" customHeight="1" x14ac:dyDescent="0.35">
      <c r="A136" s="6" t="s">
        <v>207</v>
      </c>
      <c r="B136" s="7" t="s">
        <v>341</v>
      </c>
      <c r="C136" s="8" t="s">
        <v>219</v>
      </c>
      <c r="D136" s="9">
        <v>0.11749999999999999</v>
      </c>
      <c r="E136" s="64" t="s">
        <v>35</v>
      </c>
      <c r="F136" s="65" t="str">
        <f>IFERROR(VLOOKUP(E136,PROVEEDORES!$A$3:$G$42,2,0),"")</f>
        <v>ABARROTES</v>
      </c>
      <c r="G136" s="66" t="str">
        <f>IFERROR(VLOOKUP(E136,PROVEEDORES!$A$3:$G$42,4,0),"")</f>
        <v>pagos@bidfood.cl,pmolina@bidfood.cl</v>
      </c>
      <c r="H136" s="10" t="str">
        <f>IFERROR(VLOOKUP(E136,PROVEEDORES!$A$3:$G$42,5,0),"")</f>
        <v>56225994444 - 56998038459</v>
      </c>
      <c r="I136" s="11">
        <v>2066</v>
      </c>
      <c r="J136" s="64" t="s">
        <v>105</v>
      </c>
      <c r="K136" s="65" t="str">
        <f>IFERROR(VLOOKUP(J136,PROVEEDORES!$A$3:$G$42,2,0),"")</f>
        <v>ESPECIES</v>
      </c>
      <c r="L136" s="66" t="str">
        <f>IFERROR(VLOOKUP(J136,PROVEEDORES!$A$3:$G$42,4,0),"")</f>
        <v>chef@gourmetselect.cl,contabilidad@gourmetselect.cl,pedidos@gourmetselect.cl,info@gourmetselect.cl</v>
      </c>
      <c r="M136" s="10" t="str">
        <f>IFERROR(VLOOKUP(J136,PROVEEDORES!$A$3:$G$42,5,0),"")</f>
        <v>56944921093</v>
      </c>
      <c r="N136" s="11">
        <v>2153</v>
      </c>
      <c r="O136" s="64" t="s">
        <v>41</v>
      </c>
      <c r="P136" s="65" t="str">
        <f>IFERROR(VLOOKUP(O136,PROVEEDORES!$A$3:$G$42,2,0),"")</f>
        <v>FRUTAS Y VERDURAS</v>
      </c>
      <c r="Q136" s="66" t="str">
        <f>IFERROR(VLOOKUP(O136,PROVEEDORES!$A$3:$G$42,4,0),"")</f>
        <v>caseritaencasa@gmail.com</v>
      </c>
      <c r="R136" s="10" t="str">
        <f>IFERROR(VLOOKUP(O136,PROVEEDORES!$A$3:$G$42,5,0),"")</f>
        <v>56952069703</v>
      </c>
      <c r="S136" s="11">
        <v>471</v>
      </c>
      <c r="T136" s="12">
        <f t="shared" si="4"/>
        <v>1563.3333333333333</v>
      </c>
      <c r="U136" s="13">
        <f t="shared" si="5"/>
        <v>1719.6666666666667</v>
      </c>
    </row>
    <row r="137" spans="1:21" ht="15" customHeight="1" x14ac:dyDescent="0.35">
      <c r="A137" s="14" t="s">
        <v>207</v>
      </c>
      <c r="B137" s="15" t="s">
        <v>342</v>
      </c>
      <c r="C137" s="16" t="s">
        <v>219</v>
      </c>
      <c r="D137" s="17">
        <v>0.35662500000000003</v>
      </c>
      <c r="E137" s="67" t="s">
        <v>35</v>
      </c>
      <c r="F137" s="68" t="str">
        <f>IFERROR(VLOOKUP(E137,PROVEEDORES!$A$3:$G$42,2,0),"")</f>
        <v>ABARROTES</v>
      </c>
      <c r="G137" s="69" t="str">
        <f>IFERROR(VLOOKUP(E137,PROVEEDORES!$A$3:$G$42,4,0),"")</f>
        <v>pagos@bidfood.cl,pmolina@bidfood.cl</v>
      </c>
      <c r="H137" s="18" t="str">
        <f>IFERROR(VLOOKUP(E137,PROVEEDORES!$A$3:$G$42,5,0),"")</f>
        <v>56225994444 - 56998038459</v>
      </c>
      <c r="I137" s="19">
        <v>20000</v>
      </c>
      <c r="J137" s="67" t="s">
        <v>105</v>
      </c>
      <c r="K137" s="68" t="str">
        <f>IFERROR(VLOOKUP(J137,PROVEEDORES!$A$3:$G$42,2,0),"")</f>
        <v>ESPECIES</v>
      </c>
      <c r="L137" s="69" t="str">
        <f>IFERROR(VLOOKUP(J137,PROVEEDORES!$A$3:$G$42,4,0),"")</f>
        <v>chef@gourmetselect.cl,contabilidad@gourmetselect.cl,pedidos@gourmetselect.cl,info@gourmetselect.cl</v>
      </c>
      <c r="M137" s="18" t="str">
        <f>IFERROR(VLOOKUP(J137,PROVEEDORES!$A$3:$G$42,5,0),"")</f>
        <v>56944921093</v>
      </c>
      <c r="N137" s="19">
        <v>20030</v>
      </c>
      <c r="O137" s="67" t="s">
        <v>41</v>
      </c>
      <c r="P137" s="68" t="str">
        <f>IFERROR(VLOOKUP(O137,PROVEEDORES!$A$3:$G$42,2,0),"")</f>
        <v>FRUTAS Y VERDURAS</v>
      </c>
      <c r="Q137" s="69" t="str">
        <f>IFERROR(VLOOKUP(O137,PROVEEDORES!$A$3:$G$42,4,0),"")</f>
        <v>caseritaencasa@gmail.com</v>
      </c>
      <c r="R137" s="18" t="str">
        <f>IFERROR(VLOOKUP(O137,PROVEEDORES!$A$3:$G$42,5,0),"")</f>
        <v>56952069703</v>
      </c>
      <c r="S137" s="19">
        <v>860</v>
      </c>
      <c r="T137" s="20">
        <f t="shared" si="4"/>
        <v>13630</v>
      </c>
      <c r="U137" s="21">
        <f t="shared" si="5"/>
        <v>14993.000000000002</v>
      </c>
    </row>
    <row r="138" spans="1:21" ht="15" customHeight="1" x14ac:dyDescent="0.35">
      <c r="A138" s="6" t="s">
        <v>207</v>
      </c>
      <c r="B138" s="7" t="s">
        <v>343</v>
      </c>
      <c r="C138" s="8" t="s">
        <v>219</v>
      </c>
      <c r="D138" s="9">
        <v>2.5000000000000001E-4</v>
      </c>
      <c r="E138" s="64" t="s">
        <v>35</v>
      </c>
      <c r="F138" s="65" t="str">
        <f>IFERROR(VLOOKUP(E138,PROVEEDORES!$A$3:$G$42,2,0),"")</f>
        <v>ABARROTES</v>
      </c>
      <c r="G138" s="66" t="str">
        <f>IFERROR(VLOOKUP(E138,PROVEEDORES!$A$3:$G$42,4,0),"")</f>
        <v>pagos@bidfood.cl,pmolina@bidfood.cl</v>
      </c>
      <c r="H138" s="10" t="str">
        <f>IFERROR(VLOOKUP(E138,PROVEEDORES!$A$3:$G$42,5,0),"")</f>
        <v>56225994444 - 56998038459</v>
      </c>
      <c r="I138" s="11">
        <v>60075</v>
      </c>
      <c r="J138" s="64" t="s">
        <v>105</v>
      </c>
      <c r="K138" s="65" t="str">
        <f>IFERROR(VLOOKUP(J138,PROVEEDORES!$A$3:$G$42,2,0),"")</f>
        <v>ESPECIES</v>
      </c>
      <c r="L138" s="66" t="str">
        <f>IFERROR(VLOOKUP(J138,PROVEEDORES!$A$3:$G$42,4,0),"")</f>
        <v>chef@gourmetselect.cl,contabilidad@gourmetselect.cl,pedidos@gourmetselect.cl,info@gourmetselect.cl</v>
      </c>
      <c r="M138" s="10" t="str">
        <f>IFERROR(VLOOKUP(J138,PROVEEDORES!$A$3:$G$42,5,0),"")</f>
        <v>56944921093</v>
      </c>
      <c r="N138" s="11">
        <v>40701</v>
      </c>
      <c r="O138" s="64" t="s">
        <v>41</v>
      </c>
      <c r="P138" s="65" t="str">
        <f>IFERROR(VLOOKUP(O138,PROVEEDORES!$A$3:$G$42,2,0),"")</f>
        <v>FRUTAS Y VERDURAS</v>
      </c>
      <c r="Q138" s="66" t="str">
        <f>IFERROR(VLOOKUP(O138,PROVEEDORES!$A$3:$G$42,4,0),"")</f>
        <v>caseritaencasa@gmail.com</v>
      </c>
      <c r="R138" s="10" t="str">
        <f>IFERROR(VLOOKUP(O138,PROVEEDORES!$A$3:$G$42,5,0),"")</f>
        <v>56952069703</v>
      </c>
      <c r="S138" s="11">
        <v>104350</v>
      </c>
      <c r="T138" s="12">
        <f t="shared" si="4"/>
        <v>68375.333333333328</v>
      </c>
      <c r="U138" s="13">
        <f t="shared" si="5"/>
        <v>75212.866666666669</v>
      </c>
    </row>
    <row r="139" spans="1:21" ht="15" customHeight="1" x14ac:dyDescent="0.35">
      <c r="A139" s="14" t="s">
        <v>207</v>
      </c>
      <c r="B139" s="15" t="s">
        <v>344</v>
      </c>
      <c r="C139" s="16" t="s">
        <v>239</v>
      </c>
      <c r="D139" s="17">
        <v>3.1250000000000002E-3</v>
      </c>
      <c r="E139" s="67" t="s">
        <v>35</v>
      </c>
      <c r="F139" s="68" t="str">
        <f>IFERROR(VLOOKUP(E139,PROVEEDORES!$A$3:$G$42,2,0),"")</f>
        <v>ABARROTES</v>
      </c>
      <c r="G139" s="69" t="str">
        <f>IFERROR(VLOOKUP(E139,PROVEEDORES!$A$3:$G$42,4,0),"")</f>
        <v>pagos@bidfood.cl,pmolina@bidfood.cl</v>
      </c>
      <c r="H139" s="18" t="str">
        <f>IFERROR(VLOOKUP(E139,PROVEEDORES!$A$3:$G$42,5,0),"")</f>
        <v>56225994444 - 56998038459</v>
      </c>
      <c r="I139" s="19">
        <v>1092</v>
      </c>
      <c r="J139" s="67" t="s">
        <v>105</v>
      </c>
      <c r="K139" s="68" t="str">
        <f>IFERROR(VLOOKUP(J139,PROVEEDORES!$A$3:$G$42,2,0),"")</f>
        <v>ESPECIES</v>
      </c>
      <c r="L139" s="69" t="str">
        <f>IFERROR(VLOOKUP(J139,PROVEEDORES!$A$3:$G$42,4,0),"")</f>
        <v>chef@gourmetselect.cl,contabilidad@gourmetselect.cl,pedidos@gourmetselect.cl,info@gourmetselect.cl</v>
      </c>
      <c r="M139" s="18" t="str">
        <f>IFERROR(VLOOKUP(J139,PROVEEDORES!$A$3:$G$42,5,0),"")</f>
        <v>56944921093</v>
      </c>
      <c r="N139" s="19">
        <v>1197</v>
      </c>
      <c r="O139" s="67" t="s">
        <v>41</v>
      </c>
      <c r="P139" s="68" t="str">
        <f>IFERROR(VLOOKUP(O139,PROVEEDORES!$A$3:$G$42,2,0),"")</f>
        <v>FRUTAS Y VERDURAS</v>
      </c>
      <c r="Q139" s="69" t="str">
        <f>IFERROR(VLOOKUP(O139,PROVEEDORES!$A$3:$G$42,4,0),"")</f>
        <v>caseritaencasa@gmail.com</v>
      </c>
      <c r="R139" s="18" t="str">
        <f>IFERROR(VLOOKUP(O139,PROVEEDORES!$A$3:$G$42,5,0),"")</f>
        <v>56952069703</v>
      </c>
      <c r="S139" s="19">
        <v>1690</v>
      </c>
      <c r="T139" s="20">
        <f t="shared" si="4"/>
        <v>1326.3333333333333</v>
      </c>
      <c r="U139" s="21">
        <f t="shared" si="5"/>
        <v>1458.9666666666667</v>
      </c>
    </row>
    <row r="140" spans="1:21" ht="15" customHeight="1" x14ac:dyDescent="0.35">
      <c r="A140" s="6" t="s">
        <v>207</v>
      </c>
      <c r="B140" s="7" t="s">
        <v>345</v>
      </c>
      <c r="C140" s="8" t="s">
        <v>219</v>
      </c>
      <c r="D140" s="9">
        <v>0.28349999999999997</v>
      </c>
      <c r="E140" s="64" t="s">
        <v>35</v>
      </c>
      <c r="F140" s="65" t="str">
        <f>IFERROR(VLOOKUP(E140,PROVEEDORES!$A$3:$G$42,2,0),"")</f>
        <v>ABARROTES</v>
      </c>
      <c r="G140" s="66" t="str">
        <f>IFERROR(VLOOKUP(E140,PROVEEDORES!$A$3:$G$42,4,0),"")</f>
        <v>pagos@bidfood.cl,pmolina@bidfood.cl</v>
      </c>
      <c r="H140" s="10" t="str">
        <f>IFERROR(VLOOKUP(E140,PROVEEDORES!$A$3:$G$42,5,0),"")</f>
        <v>56225994444 - 56998038459</v>
      </c>
      <c r="I140" s="11">
        <v>6400</v>
      </c>
      <c r="J140" s="64" t="s">
        <v>105</v>
      </c>
      <c r="K140" s="65" t="str">
        <f>IFERROR(VLOOKUP(J140,PROVEEDORES!$A$3:$G$42,2,0),"")</f>
        <v>ESPECIES</v>
      </c>
      <c r="L140" s="66" t="str">
        <f>IFERROR(VLOOKUP(J140,PROVEEDORES!$A$3:$G$42,4,0),"")</f>
        <v>chef@gourmetselect.cl,contabilidad@gourmetselect.cl,pedidos@gourmetselect.cl,info@gourmetselect.cl</v>
      </c>
      <c r="M140" s="10" t="str">
        <f>IFERROR(VLOOKUP(J140,PROVEEDORES!$A$3:$G$42,5,0),"")</f>
        <v>56944921093</v>
      </c>
      <c r="N140" s="11">
        <v>5325</v>
      </c>
      <c r="O140" s="64" t="s">
        <v>41</v>
      </c>
      <c r="P140" s="65" t="str">
        <f>IFERROR(VLOOKUP(O140,PROVEEDORES!$A$3:$G$42,2,0),"")</f>
        <v>FRUTAS Y VERDURAS</v>
      </c>
      <c r="Q140" s="66" t="str">
        <f>IFERROR(VLOOKUP(O140,PROVEEDORES!$A$3:$G$42,4,0),"")</f>
        <v>caseritaencasa@gmail.com</v>
      </c>
      <c r="R140" s="10" t="str">
        <f>IFERROR(VLOOKUP(O140,PROVEEDORES!$A$3:$G$42,5,0),"")</f>
        <v>56952069703</v>
      </c>
      <c r="S140" s="11">
        <v>7315</v>
      </c>
      <c r="T140" s="12">
        <f t="shared" si="4"/>
        <v>6346.666666666667</v>
      </c>
      <c r="U140" s="13">
        <f t="shared" si="5"/>
        <v>6981.3333333333339</v>
      </c>
    </row>
    <row r="141" spans="1:21" ht="15" customHeight="1" x14ac:dyDescent="0.35">
      <c r="A141" s="14" t="s">
        <v>207</v>
      </c>
      <c r="B141" s="15" t="s">
        <v>346</v>
      </c>
      <c r="C141" s="16" t="s">
        <v>219</v>
      </c>
      <c r="D141" s="17">
        <v>0.02</v>
      </c>
      <c r="E141" s="67" t="s">
        <v>35</v>
      </c>
      <c r="F141" s="68" t="str">
        <f>IFERROR(VLOOKUP(E141,PROVEEDORES!$A$3:$G$42,2,0),"")</f>
        <v>ABARROTES</v>
      </c>
      <c r="G141" s="69" t="str">
        <f>IFERROR(VLOOKUP(E141,PROVEEDORES!$A$3:$G$42,4,0),"")</f>
        <v>pagos@bidfood.cl,pmolina@bidfood.cl</v>
      </c>
      <c r="H141" s="18" t="str">
        <f>IFERROR(VLOOKUP(E141,PROVEEDORES!$A$3:$G$42,5,0),"")</f>
        <v>56225994444 - 56998038459</v>
      </c>
      <c r="I141" s="19">
        <v>3408</v>
      </c>
      <c r="J141" s="67" t="s">
        <v>105</v>
      </c>
      <c r="K141" s="68" t="str">
        <f>IFERROR(VLOOKUP(J141,PROVEEDORES!$A$3:$G$42,2,0),"")</f>
        <v>ESPECIES</v>
      </c>
      <c r="L141" s="69" t="str">
        <f>IFERROR(VLOOKUP(J141,PROVEEDORES!$A$3:$G$42,4,0),"")</f>
        <v>chef@gourmetselect.cl,contabilidad@gourmetselect.cl,pedidos@gourmetselect.cl,info@gourmetselect.cl</v>
      </c>
      <c r="M141" s="18" t="str">
        <f>IFERROR(VLOOKUP(J141,PROVEEDORES!$A$3:$G$42,5,0),"")</f>
        <v>56944921093</v>
      </c>
      <c r="N141" s="19">
        <v>5453</v>
      </c>
      <c r="O141" s="67" t="s">
        <v>41</v>
      </c>
      <c r="P141" s="68" t="str">
        <f>IFERROR(VLOOKUP(O141,PROVEEDORES!$A$3:$G$42,2,0),"")</f>
        <v>FRUTAS Y VERDURAS</v>
      </c>
      <c r="Q141" s="69" t="str">
        <f>IFERROR(VLOOKUP(O141,PROVEEDORES!$A$3:$G$42,4,0),"")</f>
        <v>caseritaencasa@gmail.com</v>
      </c>
      <c r="R141" s="18" t="str">
        <f>IFERROR(VLOOKUP(O141,PROVEEDORES!$A$3:$G$42,5,0),"")</f>
        <v>56952069703</v>
      </c>
      <c r="S141" s="19">
        <v>2088</v>
      </c>
      <c r="T141" s="20">
        <f t="shared" si="4"/>
        <v>3649.6666666666665</v>
      </c>
      <c r="U141" s="21">
        <f t="shared" si="5"/>
        <v>4014.6333333333337</v>
      </c>
    </row>
    <row r="142" spans="1:21" ht="15" customHeight="1" x14ac:dyDescent="0.35">
      <c r="A142" s="6" t="s">
        <v>207</v>
      </c>
      <c r="B142" s="7" t="s">
        <v>347</v>
      </c>
      <c r="C142" s="8" t="s">
        <v>219</v>
      </c>
      <c r="D142" s="9">
        <v>0.91996250000000002</v>
      </c>
      <c r="E142" s="64" t="s">
        <v>35</v>
      </c>
      <c r="F142" s="65" t="str">
        <f>IFERROR(VLOOKUP(E142,PROVEEDORES!$A$3:$G$42,2,0),"")</f>
        <v>ABARROTES</v>
      </c>
      <c r="G142" s="66" t="str">
        <f>IFERROR(VLOOKUP(E142,PROVEEDORES!$A$3:$G$42,4,0),"")</f>
        <v>pagos@bidfood.cl,pmolina@bidfood.cl</v>
      </c>
      <c r="H142" s="10" t="str">
        <f>IFERROR(VLOOKUP(E142,PROVEEDORES!$A$3:$G$42,5,0),"")</f>
        <v>56225994444 - 56998038459</v>
      </c>
      <c r="I142" s="11">
        <v>1939</v>
      </c>
      <c r="J142" s="64" t="s">
        <v>105</v>
      </c>
      <c r="K142" s="65" t="str">
        <f>IFERROR(VLOOKUP(J142,PROVEEDORES!$A$3:$G$42,2,0),"")</f>
        <v>ESPECIES</v>
      </c>
      <c r="L142" s="66" t="str">
        <f>IFERROR(VLOOKUP(J142,PROVEEDORES!$A$3:$G$42,4,0),"")</f>
        <v>chef@gourmetselect.cl,contabilidad@gourmetselect.cl,pedidos@gourmetselect.cl,info@gourmetselect.cl</v>
      </c>
      <c r="M142" s="10" t="str">
        <f>IFERROR(VLOOKUP(J142,PROVEEDORES!$A$3:$G$42,5,0),"")</f>
        <v>56944921093</v>
      </c>
      <c r="N142" s="11">
        <v>1296</v>
      </c>
      <c r="O142" s="64" t="s">
        <v>41</v>
      </c>
      <c r="P142" s="65" t="str">
        <f>IFERROR(VLOOKUP(O142,PROVEEDORES!$A$3:$G$42,2,0),"")</f>
        <v>FRUTAS Y VERDURAS</v>
      </c>
      <c r="Q142" s="66" t="str">
        <f>IFERROR(VLOOKUP(O142,PROVEEDORES!$A$3:$G$42,4,0),"")</f>
        <v>caseritaencasa@gmail.com</v>
      </c>
      <c r="R142" s="10" t="str">
        <f>IFERROR(VLOOKUP(O142,PROVEEDORES!$A$3:$G$42,5,0),"")</f>
        <v>56952069703</v>
      </c>
      <c r="S142" s="11">
        <v>1427</v>
      </c>
      <c r="T142" s="12">
        <f t="shared" si="4"/>
        <v>1554</v>
      </c>
      <c r="U142" s="13">
        <f t="shared" si="5"/>
        <v>1709.4</v>
      </c>
    </row>
    <row r="143" spans="1:21" ht="15" customHeight="1" x14ac:dyDescent="0.35">
      <c r="A143" s="14" t="s">
        <v>207</v>
      </c>
      <c r="B143" s="15" t="s">
        <v>348</v>
      </c>
      <c r="C143" s="16" t="s">
        <v>219</v>
      </c>
      <c r="D143" s="17">
        <v>1.2500000000000001E-2</v>
      </c>
      <c r="E143" s="67" t="s">
        <v>35</v>
      </c>
      <c r="F143" s="68" t="str">
        <f>IFERROR(VLOOKUP(E143,PROVEEDORES!$A$3:$G$42,2,0),"")</f>
        <v>ABARROTES</v>
      </c>
      <c r="G143" s="69" t="str">
        <f>IFERROR(VLOOKUP(E143,PROVEEDORES!$A$3:$G$42,4,0),"")</f>
        <v>pagos@bidfood.cl,pmolina@bidfood.cl</v>
      </c>
      <c r="H143" s="18" t="str">
        <f>IFERROR(VLOOKUP(E143,PROVEEDORES!$A$3:$G$42,5,0),"")</f>
        <v>56225994444 - 56998038459</v>
      </c>
      <c r="I143" s="19">
        <v>6500</v>
      </c>
      <c r="J143" s="67" t="s">
        <v>105</v>
      </c>
      <c r="K143" s="68" t="str">
        <f>IFERROR(VLOOKUP(J143,PROVEEDORES!$A$3:$G$42,2,0),"")</f>
        <v>ESPECIES</v>
      </c>
      <c r="L143" s="69" t="str">
        <f>IFERROR(VLOOKUP(J143,PROVEEDORES!$A$3:$G$42,4,0),"")</f>
        <v>chef@gourmetselect.cl,contabilidad@gourmetselect.cl,pedidos@gourmetselect.cl,info@gourmetselect.cl</v>
      </c>
      <c r="M143" s="18" t="str">
        <f>IFERROR(VLOOKUP(J143,PROVEEDORES!$A$3:$G$42,5,0),"")</f>
        <v>56944921093</v>
      </c>
      <c r="N143" s="19">
        <v>2288</v>
      </c>
      <c r="O143" s="67" t="s">
        <v>41</v>
      </c>
      <c r="P143" s="68" t="str">
        <f>IFERROR(VLOOKUP(O143,PROVEEDORES!$A$3:$G$42,2,0),"")</f>
        <v>FRUTAS Y VERDURAS</v>
      </c>
      <c r="Q143" s="69" t="str">
        <f>IFERROR(VLOOKUP(O143,PROVEEDORES!$A$3:$G$42,4,0),"")</f>
        <v>caseritaencasa@gmail.com</v>
      </c>
      <c r="R143" s="18" t="str">
        <f>IFERROR(VLOOKUP(O143,PROVEEDORES!$A$3:$G$42,5,0),"")</f>
        <v>56952069703</v>
      </c>
      <c r="S143" s="19">
        <v>1295</v>
      </c>
      <c r="T143" s="20">
        <f t="shared" si="4"/>
        <v>3361</v>
      </c>
      <c r="U143" s="21">
        <f t="shared" si="5"/>
        <v>3697.1000000000004</v>
      </c>
    </row>
    <row r="144" spans="1:21" ht="15" customHeight="1" x14ac:dyDescent="0.35">
      <c r="A144" s="6" t="s">
        <v>207</v>
      </c>
      <c r="B144" s="7" t="s">
        <v>349</v>
      </c>
      <c r="C144" s="8" t="s">
        <v>219</v>
      </c>
      <c r="D144" s="9">
        <v>1.43E-2</v>
      </c>
      <c r="E144" s="64" t="s">
        <v>35</v>
      </c>
      <c r="F144" s="65" t="str">
        <f>IFERROR(VLOOKUP(E144,PROVEEDORES!$A$3:$G$42,2,0),"")</f>
        <v>ABARROTES</v>
      </c>
      <c r="G144" s="66" t="str">
        <f>IFERROR(VLOOKUP(E144,PROVEEDORES!$A$3:$G$42,4,0),"")</f>
        <v>pagos@bidfood.cl,pmolina@bidfood.cl</v>
      </c>
      <c r="H144" s="10" t="str">
        <f>IFERROR(VLOOKUP(E144,PROVEEDORES!$A$3:$G$42,5,0),"")</f>
        <v>56225994444 - 56998038459</v>
      </c>
      <c r="I144" s="11">
        <v>14940</v>
      </c>
      <c r="J144" s="64" t="s">
        <v>105</v>
      </c>
      <c r="K144" s="65" t="str">
        <f>IFERROR(VLOOKUP(J144,PROVEEDORES!$A$3:$G$42,2,0),"")</f>
        <v>ESPECIES</v>
      </c>
      <c r="L144" s="66" t="str">
        <f>IFERROR(VLOOKUP(J144,PROVEEDORES!$A$3:$G$42,4,0),"")</f>
        <v>chef@gourmetselect.cl,contabilidad@gourmetselect.cl,pedidos@gourmetselect.cl,info@gourmetselect.cl</v>
      </c>
      <c r="M144" s="10" t="str">
        <f>IFERROR(VLOOKUP(J144,PROVEEDORES!$A$3:$G$42,5,0),"")</f>
        <v>56944921093</v>
      </c>
      <c r="N144" s="11">
        <v>22470</v>
      </c>
      <c r="O144" s="64" t="s">
        <v>41</v>
      </c>
      <c r="P144" s="65" t="str">
        <f>IFERROR(VLOOKUP(O144,PROVEEDORES!$A$3:$G$42,2,0),"")</f>
        <v>FRUTAS Y VERDURAS</v>
      </c>
      <c r="Q144" s="66" t="str">
        <f>IFERROR(VLOOKUP(O144,PROVEEDORES!$A$3:$G$42,4,0),"")</f>
        <v>caseritaencasa@gmail.com</v>
      </c>
      <c r="R144" s="10" t="str">
        <f>IFERROR(VLOOKUP(O144,PROVEEDORES!$A$3:$G$42,5,0),"")</f>
        <v>56952069703</v>
      </c>
      <c r="S144" s="11">
        <v>16123</v>
      </c>
      <c r="T144" s="12">
        <f t="shared" si="4"/>
        <v>17844.333333333332</v>
      </c>
      <c r="U144" s="13">
        <f t="shared" si="5"/>
        <v>19628.766666666666</v>
      </c>
    </row>
    <row r="145" spans="1:21" ht="15" customHeight="1" x14ac:dyDescent="0.35">
      <c r="A145" s="14" t="s">
        <v>207</v>
      </c>
      <c r="B145" s="15" t="s">
        <v>350</v>
      </c>
      <c r="C145" s="16" t="s">
        <v>239</v>
      </c>
      <c r="D145" s="17">
        <v>1.6E-2</v>
      </c>
      <c r="E145" s="67" t="s">
        <v>35</v>
      </c>
      <c r="F145" s="68" t="str">
        <f>IFERROR(VLOOKUP(E145,PROVEEDORES!$A$3:$G$42,2,0),"")</f>
        <v>ABARROTES</v>
      </c>
      <c r="G145" s="69" t="str">
        <f>IFERROR(VLOOKUP(E145,PROVEEDORES!$A$3:$G$42,4,0),"")</f>
        <v>pagos@bidfood.cl,pmolina@bidfood.cl</v>
      </c>
      <c r="H145" s="18" t="str">
        <f>IFERROR(VLOOKUP(E145,PROVEEDORES!$A$3:$G$42,5,0),"")</f>
        <v>56225994444 - 56998038459</v>
      </c>
      <c r="I145" s="19">
        <v>2163</v>
      </c>
      <c r="J145" s="67" t="s">
        <v>105</v>
      </c>
      <c r="K145" s="68" t="str">
        <f>IFERROR(VLOOKUP(J145,PROVEEDORES!$A$3:$G$42,2,0),"")</f>
        <v>ESPECIES</v>
      </c>
      <c r="L145" s="69" t="str">
        <f>IFERROR(VLOOKUP(J145,PROVEEDORES!$A$3:$G$42,4,0),"")</f>
        <v>chef@gourmetselect.cl,contabilidad@gourmetselect.cl,pedidos@gourmetselect.cl,info@gourmetselect.cl</v>
      </c>
      <c r="M145" s="18" t="str">
        <f>IFERROR(VLOOKUP(J145,PROVEEDORES!$A$3:$G$42,5,0),"")</f>
        <v>56944921093</v>
      </c>
      <c r="N145" s="19">
        <v>729</v>
      </c>
      <c r="O145" s="67" t="s">
        <v>41</v>
      </c>
      <c r="P145" s="68" t="str">
        <f>IFERROR(VLOOKUP(O145,PROVEEDORES!$A$3:$G$42,2,0),"")</f>
        <v>FRUTAS Y VERDURAS</v>
      </c>
      <c r="Q145" s="69" t="str">
        <f>IFERROR(VLOOKUP(O145,PROVEEDORES!$A$3:$G$42,4,0),"")</f>
        <v>caseritaencasa@gmail.com</v>
      </c>
      <c r="R145" s="18" t="str">
        <f>IFERROR(VLOOKUP(O145,PROVEEDORES!$A$3:$G$42,5,0),"")</f>
        <v>56952069703</v>
      </c>
      <c r="S145" s="19">
        <v>1292</v>
      </c>
      <c r="T145" s="20">
        <f t="shared" si="4"/>
        <v>1394.6666666666667</v>
      </c>
      <c r="U145" s="21">
        <f t="shared" si="5"/>
        <v>1534.1333333333334</v>
      </c>
    </row>
    <row r="146" spans="1:21" ht="15" customHeight="1" x14ac:dyDescent="0.35">
      <c r="A146" s="6" t="s">
        <v>207</v>
      </c>
      <c r="B146" s="7" t="s">
        <v>351</v>
      </c>
      <c r="C146" s="8" t="s">
        <v>219</v>
      </c>
      <c r="D146" s="9">
        <v>0.11</v>
      </c>
      <c r="E146" s="64" t="s">
        <v>35</v>
      </c>
      <c r="F146" s="65" t="str">
        <f>IFERROR(VLOOKUP(E146,PROVEEDORES!$A$3:$G$42,2,0),"")</f>
        <v>ABARROTES</v>
      </c>
      <c r="G146" s="66" t="str">
        <f>IFERROR(VLOOKUP(E146,PROVEEDORES!$A$3:$G$42,4,0),"")</f>
        <v>pagos@bidfood.cl,pmolina@bidfood.cl</v>
      </c>
      <c r="H146" s="10" t="str">
        <f>IFERROR(VLOOKUP(E146,PROVEEDORES!$A$3:$G$42,5,0),"")</f>
        <v>56225994444 - 56998038459</v>
      </c>
      <c r="I146" s="11">
        <v>4800</v>
      </c>
      <c r="J146" s="64" t="s">
        <v>105</v>
      </c>
      <c r="K146" s="65" t="str">
        <f>IFERROR(VLOOKUP(J146,PROVEEDORES!$A$3:$G$42,2,0),"")</f>
        <v>ESPECIES</v>
      </c>
      <c r="L146" s="66" t="str">
        <f>IFERROR(VLOOKUP(J146,PROVEEDORES!$A$3:$G$42,4,0),"")</f>
        <v>chef@gourmetselect.cl,contabilidad@gourmetselect.cl,pedidos@gourmetselect.cl,info@gourmetselect.cl</v>
      </c>
      <c r="M146" s="10" t="str">
        <f>IFERROR(VLOOKUP(J146,PROVEEDORES!$A$3:$G$42,5,0),"")</f>
        <v>56944921093</v>
      </c>
      <c r="N146" s="11">
        <v>7853</v>
      </c>
      <c r="O146" s="64" t="s">
        <v>41</v>
      </c>
      <c r="P146" s="65" t="str">
        <f>IFERROR(VLOOKUP(O146,PROVEEDORES!$A$3:$G$42,2,0),"")</f>
        <v>FRUTAS Y VERDURAS</v>
      </c>
      <c r="Q146" s="66" t="str">
        <f>IFERROR(VLOOKUP(O146,PROVEEDORES!$A$3:$G$42,4,0),"")</f>
        <v>caseritaencasa@gmail.com</v>
      </c>
      <c r="R146" s="10" t="str">
        <f>IFERROR(VLOOKUP(O146,PROVEEDORES!$A$3:$G$42,5,0),"")</f>
        <v>56952069703</v>
      </c>
      <c r="S146" s="11">
        <v>9013</v>
      </c>
      <c r="T146" s="12">
        <f t="shared" si="4"/>
        <v>7222</v>
      </c>
      <c r="U146" s="13">
        <f t="shared" si="5"/>
        <v>7944.2000000000007</v>
      </c>
    </row>
    <row r="147" spans="1:21" ht="15" customHeight="1" x14ac:dyDescent="0.35">
      <c r="A147" s="14" t="s">
        <v>207</v>
      </c>
      <c r="B147" s="15" t="s">
        <v>352</v>
      </c>
      <c r="C147" s="16" t="s">
        <v>219</v>
      </c>
      <c r="D147" s="17">
        <v>0.33</v>
      </c>
      <c r="E147" s="67" t="s">
        <v>35</v>
      </c>
      <c r="F147" s="68" t="str">
        <f>IFERROR(VLOOKUP(E147,PROVEEDORES!$A$3:$G$42,2,0),"")</f>
        <v>ABARROTES</v>
      </c>
      <c r="G147" s="69" t="str">
        <f>IFERROR(VLOOKUP(E147,PROVEEDORES!$A$3:$G$42,4,0),"")</f>
        <v>pagos@bidfood.cl,pmolina@bidfood.cl</v>
      </c>
      <c r="H147" s="18" t="str">
        <f>IFERROR(VLOOKUP(E147,PROVEEDORES!$A$3:$G$42,5,0),"")</f>
        <v>56225994444 - 56998038459</v>
      </c>
      <c r="I147" s="19">
        <v>4727</v>
      </c>
      <c r="J147" s="67" t="s">
        <v>105</v>
      </c>
      <c r="K147" s="68" t="str">
        <f>IFERROR(VLOOKUP(J147,PROVEEDORES!$A$3:$G$42,2,0),"")</f>
        <v>ESPECIES</v>
      </c>
      <c r="L147" s="69" t="str">
        <f>IFERROR(VLOOKUP(J147,PROVEEDORES!$A$3:$G$42,4,0),"")</f>
        <v>chef@gourmetselect.cl,contabilidad@gourmetselect.cl,pedidos@gourmetselect.cl,info@gourmetselect.cl</v>
      </c>
      <c r="M147" s="18" t="str">
        <f>IFERROR(VLOOKUP(J147,PROVEEDORES!$A$3:$G$42,5,0),"")</f>
        <v>56944921093</v>
      </c>
      <c r="N147" s="19">
        <v>6379</v>
      </c>
      <c r="O147" s="67" t="s">
        <v>41</v>
      </c>
      <c r="P147" s="68" t="str">
        <f>IFERROR(VLOOKUP(O147,PROVEEDORES!$A$3:$G$42,2,0),"")</f>
        <v>FRUTAS Y VERDURAS</v>
      </c>
      <c r="Q147" s="69" t="str">
        <f>IFERROR(VLOOKUP(O147,PROVEEDORES!$A$3:$G$42,4,0),"")</f>
        <v>caseritaencasa@gmail.com</v>
      </c>
      <c r="R147" s="18" t="str">
        <f>IFERROR(VLOOKUP(O147,PROVEEDORES!$A$3:$G$42,5,0),"")</f>
        <v>56952069703</v>
      </c>
      <c r="S147" s="19">
        <v>6349</v>
      </c>
      <c r="T147" s="20">
        <f t="shared" si="4"/>
        <v>5818.333333333333</v>
      </c>
      <c r="U147" s="21">
        <f t="shared" si="5"/>
        <v>6400.166666666667</v>
      </c>
    </row>
    <row r="148" spans="1:21" ht="15" customHeight="1" x14ac:dyDescent="0.35">
      <c r="A148" s="6" t="s">
        <v>207</v>
      </c>
      <c r="B148" s="7" t="s">
        <v>353</v>
      </c>
      <c r="C148" s="8" t="s">
        <v>219</v>
      </c>
      <c r="D148" s="9">
        <v>0.48118749999999999</v>
      </c>
      <c r="E148" s="64" t="s">
        <v>35</v>
      </c>
      <c r="F148" s="65" t="str">
        <f>IFERROR(VLOOKUP(E148,PROVEEDORES!$A$3:$G$42,2,0),"")</f>
        <v>ABARROTES</v>
      </c>
      <c r="G148" s="66" t="str">
        <f>IFERROR(VLOOKUP(E148,PROVEEDORES!$A$3:$G$42,4,0),"")</f>
        <v>pagos@bidfood.cl,pmolina@bidfood.cl</v>
      </c>
      <c r="H148" s="10" t="str">
        <f>IFERROR(VLOOKUP(E148,PROVEEDORES!$A$3:$G$42,5,0),"")</f>
        <v>56225994444 - 56998038459</v>
      </c>
      <c r="I148" s="11">
        <v>1765</v>
      </c>
      <c r="J148" s="64" t="s">
        <v>105</v>
      </c>
      <c r="K148" s="65" t="str">
        <f>IFERROR(VLOOKUP(J148,PROVEEDORES!$A$3:$G$42,2,0),"")</f>
        <v>ESPECIES</v>
      </c>
      <c r="L148" s="66" t="str">
        <f>IFERROR(VLOOKUP(J148,PROVEEDORES!$A$3:$G$42,4,0),"")</f>
        <v>chef@gourmetselect.cl,contabilidad@gourmetselect.cl,pedidos@gourmetselect.cl,info@gourmetselect.cl</v>
      </c>
      <c r="M148" s="10" t="str">
        <f>IFERROR(VLOOKUP(J148,PROVEEDORES!$A$3:$G$42,5,0),"")</f>
        <v>56944921093</v>
      </c>
      <c r="N148" s="11">
        <v>2697</v>
      </c>
      <c r="O148" s="64" t="s">
        <v>41</v>
      </c>
      <c r="P148" s="65" t="str">
        <f>IFERROR(VLOOKUP(O148,PROVEEDORES!$A$3:$G$42,2,0),"")</f>
        <v>FRUTAS Y VERDURAS</v>
      </c>
      <c r="Q148" s="66" t="str">
        <f>IFERROR(VLOOKUP(O148,PROVEEDORES!$A$3:$G$42,4,0),"")</f>
        <v>caseritaencasa@gmail.com</v>
      </c>
      <c r="R148" s="10" t="str">
        <f>IFERROR(VLOOKUP(O148,PROVEEDORES!$A$3:$G$42,5,0),"")</f>
        <v>56952069703</v>
      </c>
      <c r="S148" s="11">
        <v>138</v>
      </c>
      <c r="T148" s="12">
        <f t="shared" si="4"/>
        <v>1533.3333333333333</v>
      </c>
      <c r="U148" s="13">
        <f t="shared" si="5"/>
        <v>1686.6666666666667</v>
      </c>
    </row>
    <row r="149" spans="1:21" ht="15" customHeight="1" x14ac:dyDescent="0.35">
      <c r="A149" s="14" t="s">
        <v>207</v>
      </c>
      <c r="B149" s="15" t="s">
        <v>354</v>
      </c>
      <c r="C149" s="16" t="s">
        <v>219</v>
      </c>
      <c r="D149" s="17">
        <v>0.09</v>
      </c>
      <c r="E149" s="67" t="s">
        <v>35</v>
      </c>
      <c r="F149" s="68" t="str">
        <f>IFERROR(VLOOKUP(E149,PROVEEDORES!$A$3:$G$42,2,0),"")</f>
        <v>ABARROTES</v>
      </c>
      <c r="G149" s="69" t="str">
        <f>IFERROR(VLOOKUP(E149,PROVEEDORES!$A$3:$G$42,4,0),"")</f>
        <v>pagos@bidfood.cl,pmolina@bidfood.cl</v>
      </c>
      <c r="H149" s="18" t="str">
        <f>IFERROR(VLOOKUP(E149,PROVEEDORES!$A$3:$G$42,5,0),"")</f>
        <v>56225994444 - 56998038459</v>
      </c>
      <c r="I149" s="19">
        <v>6373</v>
      </c>
      <c r="J149" s="67" t="s">
        <v>105</v>
      </c>
      <c r="K149" s="68" t="str">
        <f>IFERROR(VLOOKUP(J149,PROVEEDORES!$A$3:$G$42,2,0),"")</f>
        <v>ESPECIES</v>
      </c>
      <c r="L149" s="69" t="str">
        <f>IFERROR(VLOOKUP(J149,PROVEEDORES!$A$3:$G$42,4,0),"")</f>
        <v>chef@gourmetselect.cl,contabilidad@gourmetselect.cl,pedidos@gourmetselect.cl,info@gourmetselect.cl</v>
      </c>
      <c r="M149" s="18" t="str">
        <f>IFERROR(VLOOKUP(J149,PROVEEDORES!$A$3:$G$42,5,0),"")</f>
        <v>56944921093</v>
      </c>
      <c r="N149" s="19">
        <v>5207</v>
      </c>
      <c r="O149" s="67" t="s">
        <v>41</v>
      </c>
      <c r="P149" s="68" t="str">
        <f>IFERROR(VLOOKUP(O149,PROVEEDORES!$A$3:$G$42,2,0),"")</f>
        <v>FRUTAS Y VERDURAS</v>
      </c>
      <c r="Q149" s="69" t="str">
        <f>IFERROR(VLOOKUP(O149,PROVEEDORES!$A$3:$G$42,4,0),"")</f>
        <v>caseritaencasa@gmail.com</v>
      </c>
      <c r="R149" s="18" t="str">
        <f>IFERROR(VLOOKUP(O149,PROVEEDORES!$A$3:$G$42,5,0),"")</f>
        <v>56952069703</v>
      </c>
      <c r="S149" s="19">
        <v>3317</v>
      </c>
      <c r="T149" s="20">
        <f t="shared" si="4"/>
        <v>4965.666666666667</v>
      </c>
      <c r="U149" s="21">
        <f t="shared" si="5"/>
        <v>5462.2333333333345</v>
      </c>
    </row>
    <row r="150" spans="1:21" ht="15" customHeight="1" x14ac:dyDescent="0.35">
      <c r="A150" s="6" t="s">
        <v>207</v>
      </c>
      <c r="B150" s="7" t="s">
        <v>355</v>
      </c>
      <c r="C150" s="8" t="s">
        <v>219</v>
      </c>
      <c r="D150" s="9">
        <v>0.64600000000000002</v>
      </c>
      <c r="E150" s="64" t="s">
        <v>35</v>
      </c>
      <c r="F150" s="65" t="str">
        <f>IFERROR(VLOOKUP(E150,PROVEEDORES!$A$3:$G$42,2,0),"")</f>
        <v>ABARROTES</v>
      </c>
      <c r="G150" s="66" t="str">
        <f>IFERROR(VLOOKUP(E150,PROVEEDORES!$A$3:$G$42,4,0),"")</f>
        <v>pagos@bidfood.cl,pmolina@bidfood.cl</v>
      </c>
      <c r="H150" s="10" t="str">
        <f>IFERROR(VLOOKUP(E150,PROVEEDORES!$A$3:$G$42,5,0),"")</f>
        <v>56225994444 - 56998038459</v>
      </c>
      <c r="I150" s="11">
        <v>7366</v>
      </c>
      <c r="J150" s="64" t="s">
        <v>105</v>
      </c>
      <c r="K150" s="65" t="str">
        <f>IFERROR(VLOOKUP(J150,PROVEEDORES!$A$3:$G$42,2,0),"")</f>
        <v>ESPECIES</v>
      </c>
      <c r="L150" s="66" t="str">
        <f>IFERROR(VLOOKUP(J150,PROVEEDORES!$A$3:$G$42,4,0),"")</f>
        <v>chef@gourmetselect.cl,contabilidad@gourmetselect.cl,pedidos@gourmetselect.cl,info@gourmetselect.cl</v>
      </c>
      <c r="M150" s="10" t="str">
        <f>IFERROR(VLOOKUP(J150,PROVEEDORES!$A$3:$G$42,5,0),"")</f>
        <v>56944921093</v>
      </c>
      <c r="N150" s="11">
        <v>11355</v>
      </c>
      <c r="O150" s="64" t="s">
        <v>41</v>
      </c>
      <c r="P150" s="65" t="str">
        <f>IFERROR(VLOOKUP(O150,PROVEEDORES!$A$3:$G$42,2,0),"")</f>
        <v>FRUTAS Y VERDURAS</v>
      </c>
      <c r="Q150" s="66" t="str">
        <f>IFERROR(VLOOKUP(O150,PROVEEDORES!$A$3:$G$42,4,0),"")</f>
        <v>caseritaencasa@gmail.com</v>
      </c>
      <c r="R150" s="10" t="str">
        <f>IFERROR(VLOOKUP(O150,PROVEEDORES!$A$3:$G$42,5,0),"")</f>
        <v>56952069703</v>
      </c>
      <c r="S150" s="11">
        <v>8711</v>
      </c>
      <c r="T150" s="12">
        <f t="shared" si="4"/>
        <v>9144</v>
      </c>
      <c r="U150" s="13">
        <f t="shared" si="5"/>
        <v>10058.400000000001</v>
      </c>
    </row>
    <row r="151" spans="1:21" ht="15" customHeight="1" x14ac:dyDescent="0.35">
      <c r="A151" s="14" t="s">
        <v>207</v>
      </c>
      <c r="B151" s="15" t="s">
        <v>356</v>
      </c>
      <c r="C151" s="16" t="s">
        <v>219</v>
      </c>
      <c r="D151" s="17">
        <v>1.6E-2</v>
      </c>
      <c r="E151" s="67" t="s">
        <v>35</v>
      </c>
      <c r="F151" s="68" t="str">
        <f>IFERROR(VLOOKUP(E151,PROVEEDORES!$A$3:$G$42,2,0),"")</f>
        <v>ABARROTES</v>
      </c>
      <c r="G151" s="69" t="str">
        <f>IFERROR(VLOOKUP(E151,PROVEEDORES!$A$3:$G$42,4,0),"")</f>
        <v>pagos@bidfood.cl,pmolina@bidfood.cl</v>
      </c>
      <c r="H151" s="18" t="str">
        <f>IFERROR(VLOOKUP(E151,PROVEEDORES!$A$3:$G$42,5,0),"")</f>
        <v>56225994444 - 56998038459</v>
      </c>
      <c r="I151" s="19">
        <v>125215</v>
      </c>
      <c r="J151" s="67" t="s">
        <v>105</v>
      </c>
      <c r="K151" s="68" t="str">
        <f>IFERROR(VLOOKUP(J151,PROVEEDORES!$A$3:$G$42,2,0),"")</f>
        <v>ESPECIES</v>
      </c>
      <c r="L151" s="69" t="str">
        <f>IFERROR(VLOOKUP(J151,PROVEEDORES!$A$3:$G$42,4,0),"")</f>
        <v>chef@gourmetselect.cl,contabilidad@gourmetselect.cl,pedidos@gourmetselect.cl,info@gourmetselect.cl</v>
      </c>
      <c r="M151" s="18" t="str">
        <f>IFERROR(VLOOKUP(J151,PROVEEDORES!$A$3:$G$42,5,0),"")</f>
        <v>56944921093</v>
      </c>
      <c r="N151" s="19">
        <v>173861</v>
      </c>
      <c r="O151" s="67" t="s">
        <v>41</v>
      </c>
      <c r="P151" s="68" t="str">
        <f>IFERROR(VLOOKUP(O151,PROVEEDORES!$A$3:$G$42,2,0),"")</f>
        <v>FRUTAS Y VERDURAS</v>
      </c>
      <c r="Q151" s="69" t="str">
        <f>IFERROR(VLOOKUP(O151,PROVEEDORES!$A$3:$G$42,4,0),"")</f>
        <v>caseritaencasa@gmail.com</v>
      </c>
      <c r="R151" s="18" t="str">
        <f>IFERROR(VLOOKUP(O151,PROVEEDORES!$A$3:$G$42,5,0),"")</f>
        <v>56952069703</v>
      </c>
      <c r="S151" s="19">
        <v>166260</v>
      </c>
      <c r="T151" s="20">
        <f t="shared" si="4"/>
        <v>155112</v>
      </c>
      <c r="U151" s="21">
        <f t="shared" si="5"/>
        <v>170623.2</v>
      </c>
    </row>
    <row r="152" spans="1:21" ht="15" customHeight="1" x14ac:dyDescent="0.35">
      <c r="A152" s="6" t="s">
        <v>207</v>
      </c>
      <c r="B152" s="7" t="s">
        <v>357</v>
      </c>
      <c r="C152" s="8" t="s">
        <v>219</v>
      </c>
      <c r="D152" s="9">
        <v>0.24</v>
      </c>
      <c r="E152" s="64" t="s">
        <v>35</v>
      </c>
      <c r="F152" s="65" t="str">
        <f>IFERROR(VLOOKUP(E152,PROVEEDORES!$A$3:$G$42,2,0),"")</f>
        <v>ABARROTES</v>
      </c>
      <c r="G152" s="66" t="str">
        <f>IFERROR(VLOOKUP(E152,PROVEEDORES!$A$3:$G$42,4,0),"")</f>
        <v>pagos@bidfood.cl,pmolina@bidfood.cl</v>
      </c>
      <c r="H152" s="10" t="str">
        <f>IFERROR(VLOOKUP(E152,PROVEEDORES!$A$3:$G$42,5,0),"")</f>
        <v>56225994444 - 56998038459</v>
      </c>
      <c r="I152" s="11">
        <v>3050</v>
      </c>
      <c r="J152" s="64" t="s">
        <v>105</v>
      </c>
      <c r="K152" s="65" t="str">
        <f>IFERROR(VLOOKUP(J152,PROVEEDORES!$A$3:$G$42,2,0),"")</f>
        <v>ESPECIES</v>
      </c>
      <c r="L152" s="66" t="str">
        <f>IFERROR(VLOOKUP(J152,PROVEEDORES!$A$3:$G$42,4,0),"")</f>
        <v>chef@gourmetselect.cl,contabilidad@gourmetselect.cl,pedidos@gourmetselect.cl,info@gourmetselect.cl</v>
      </c>
      <c r="M152" s="10" t="str">
        <f>IFERROR(VLOOKUP(J152,PROVEEDORES!$A$3:$G$42,5,0),"")</f>
        <v>56944921093</v>
      </c>
      <c r="N152" s="11">
        <v>1572</v>
      </c>
      <c r="O152" s="64" t="s">
        <v>41</v>
      </c>
      <c r="P152" s="65" t="str">
        <f>IFERROR(VLOOKUP(O152,PROVEEDORES!$A$3:$G$42,2,0),"")</f>
        <v>FRUTAS Y VERDURAS</v>
      </c>
      <c r="Q152" s="66" t="str">
        <f>IFERROR(VLOOKUP(O152,PROVEEDORES!$A$3:$G$42,4,0),"")</f>
        <v>caseritaencasa@gmail.com</v>
      </c>
      <c r="R152" s="10" t="str">
        <f>IFERROR(VLOOKUP(O152,PROVEEDORES!$A$3:$G$42,5,0),"")</f>
        <v>56952069703</v>
      </c>
      <c r="S152" s="11">
        <v>5929</v>
      </c>
      <c r="T152" s="12">
        <f t="shared" si="4"/>
        <v>3517</v>
      </c>
      <c r="U152" s="13">
        <f t="shared" si="5"/>
        <v>3868.7000000000003</v>
      </c>
    </row>
    <row r="153" spans="1:21" ht="15" customHeight="1" x14ac:dyDescent="0.35">
      <c r="A153" s="14" t="s">
        <v>207</v>
      </c>
      <c r="B153" s="15" t="s">
        <v>358</v>
      </c>
      <c r="C153" s="16" t="s">
        <v>219</v>
      </c>
      <c r="D153" s="17">
        <v>7.3749999999999996E-2</v>
      </c>
      <c r="E153" s="67" t="s">
        <v>35</v>
      </c>
      <c r="F153" s="68" t="str">
        <f>IFERROR(VLOOKUP(E153,PROVEEDORES!$A$3:$G$42,2,0),"")</f>
        <v>ABARROTES</v>
      </c>
      <c r="G153" s="69" t="str">
        <f>IFERROR(VLOOKUP(E153,PROVEEDORES!$A$3:$G$42,4,0),"")</f>
        <v>pagos@bidfood.cl,pmolina@bidfood.cl</v>
      </c>
      <c r="H153" s="18" t="str">
        <f>IFERROR(VLOOKUP(E153,PROVEEDORES!$A$3:$G$42,5,0),"")</f>
        <v>56225994444 - 56998038459</v>
      </c>
      <c r="I153" s="19">
        <v>5200</v>
      </c>
      <c r="J153" s="67" t="s">
        <v>105</v>
      </c>
      <c r="K153" s="68" t="str">
        <f>IFERROR(VLOOKUP(J153,PROVEEDORES!$A$3:$G$42,2,0),"")</f>
        <v>ESPECIES</v>
      </c>
      <c r="L153" s="69" t="str">
        <f>IFERROR(VLOOKUP(J153,PROVEEDORES!$A$3:$G$42,4,0),"")</f>
        <v>chef@gourmetselect.cl,contabilidad@gourmetselect.cl,pedidos@gourmetselect.cl,info@gourmetselect.cl</v>
      </c>
      <c r="M153" s="18" t="str">
        <f>IFERROR(VLOOKUP(J153,PROVEEDORES!$A$3:$G$42,5,0),"")</f>
        <v>56944921093</v>
      </c>
      <c r="N153" s="19">
        <v>8203</v>
      </c>
      <c r="O153" s="67" t="s">
        <v>41</v>
      </c>
      <c r="P153" s="68" t="str">
        <f>IFERROR(VLOOKUP(O153,PROVEEDORES!$A$3:$G$42,2,0),"")</f>
        <v>FRUTAS Y VERDURAS</v>
      </c>
      <c r="Q153" s="69" t="str">
        <f>IFERROR(VLOOKUP(O153,PROVEEDORES!$A$3:$G$42,4,0),"")</f>
        <v>caseritaencasa@gmail.com</v>
      </c>
      <c r="R153" s="18" t="str">
        <f>IFERROR(VLOOKUP(O153,PROVEEDORES!$A$3:$G$42,5,0),"")</f>
        <v>56952069703</v>
      </c>
      <c r="S153" s="19">
        <v>1127</v>
      </c>
      <c r="T153" s="20">
        <f t="shared" si="4"/>
        <v>4843.333333333333</v>
      </c>
      <c r="U153" s="21">
        <f t="shared" si="5"/>
        <v>5327.666666666667</v>
      </c>
    </row>
    <row r="154" spans="1:21" ht="15" customHeight="1" x14ac:dyDescent="0.35">
      <c r="A154" s="6" t="s">
        <v>207</v>
      </c>
      <c r="B154" s="7" t="s">
        <v>359</v>
      </c>
      <c r="C154" s="8" t="s">
        <v>219</v>
      </c>
      <c r="D154" s="9">
        <v>2.2187499999999999E-2</v>
      </c>
      <c r="E154" s="64" t="s">
        <v>35</v>
      </c>
      <c r="F154" s="65" t="str">
        <f>IFERROR(VLOOKUP(E154,PROVEEDORES!$A$3:$G$42,2,0),"")</f>
        <v>ABARROTES</v>
      </c>
      <c r="G154" s="66" t="str">
        <f>IFERROR(VLOOKUP(E154,PROVEEDORES!$A$3:$G$42,4,0),"")</f>
        <v>pagos@bidfood.cl,pmolina@bidfood.cl</v>
      </c>
      <c r="H154" s="10" t="str">
        <f>IFERROR(VLOOKUP(E154,PROVEEDORES!$A$3:$G$42,5,0),"")</f>
        <v>56225994444 - 56998038459</v>
      </c>
      <c r="I154" s="11">
        <v>6498</v>
      </c>
      <c r="J154" s="64" t="s">
        <v>105</v>
      </c>
      <c r="K154" s="65" t="str">
        <f>IFERROR(VLOOKUP(J154,PROVEEDORES!$A$3:$G$42,2,0),"")</f>
        <v>ESPECIES</v>
      </c>
      <c r="L154" s="66" t="str">
        <f>IFERROR(VLOOKUP(J154,PROVEEDORES!$A$3:$G$42,4,0),"")</f>
        <v>chef@gourmetselect.cl,contabilidad@gourmetselect.cl,pedidos@gourmetselect.cl,info@gourmetselect.cl</v>
      </c>
      <c r="M154" s="10" t="str">
        <f>IFERROR(VLOOKUP(J154,PROVEEDORES!$A$3:$G$42,5,0),"")</f>
        <v>56944921093</v>
      </c>
      <c r="N154" s="11">
        <v>10319</v>
      </c>
      <c r="O154" s="64" t="s">
        <v>41</v>
      </c>
      <c r="P154" s="65" t="str">
        <f>IFERROR(VLOOKUP(O154,PROVEEDORES!$A$3:$G$42,2,0),"")</f>
        <v>FRUTAS Y VERDURAS</v>
      </c>
      <c r="Q154" s="66" t="str">
        <f>IFERROR(VLOOKUP(O154,PROVEEDORES!$A$3:$G$42,4,0),"")</f>
        <v>caseritaencasa@gmail.com</v>
      </c>
      <c r="R154" s="10" t="str">
        <f>IFERROR(VLOOKUP(O154,PROVEEDORES!$A$3:$G$42,5,0),"")</f>
        <v>56952069703</v>
      </c>
      <c r="S154" s="11">
        <v>12331</v>
      </c>
      <c r="T154" s="12">
        <f t="shared" si="4"/>
        <v>9716</v>
      </c>
      <c r="U154" s="13">
        <f t="shared" si="5"/>
        <v>10687.6</v>
      </c>
    </row>
    <row r="155" spans="1:21" ht="15" customHeight="1" x14ac:dyDescent="0.35">
      <c r="A155" s="14" t="s">
        <v>207</v>
      </c>
      <c r="B155" s="15" t="s">
        <v>360</v>
      </c>
      <c r="C155" s="16" t="s">
        <v>219</v>
      </c>
      <c r="D155" s="17">
        <v>0.21199999999999999</v>
      </c>
      <c r="E155" s="67" t="s">
        <v>35</v>
      </c>
      <c r="F155" s="68" t="str">
        <f>IFERROR(VLOOKUP(E155,PROVEEDORES!$A$3:$G$42,2,0),"")</f>
        <v>ABARROTES</v>
      </c>
      <c r="G155" s="69" t="str">
        <f>IFERROR(VLOOKUP(E155,PROVEEDORES!$A$3:$G$42,4,0),"")</f>
        <v>pagos@bidfood.cl,pmolina@bidfood.cl</v>
      </c>
      <c r="H155" s="18" t="str">
        <f>IFERROR(VLOOKUP(E155,PROVEEDORES!$A$3:$G$42,5,0),"")</f>
        <v>56225994444 - 56998038459</v>
      </c>
      <c r="I155" s="19">
        <v>2710</v>
      </c>
      <c r="J155" s="67" t="s">
        <v>105</v>
      </c>
      <c r="K155" s="68" t="str">
        <f>IFERROR(VLOOKUP(J155,PROVEEDORES!$A$3:$G$42,2,0),"")</f>
        <v>ESPECIES</v>
      </c>
      <c r="L155" s="69" t="str">
        <f>IFERROR(VLOOKUP(J155,PROVEEDORES!$A$3:$G$42,4,0),"")</f>
        <v>chef@gourmetselect.cl,contabilidad@gourmetselect.cl,pedidos@gourmetselect.cl,info@gourmetselect.cl</v>
      </c>
      <c r="M155" s="18" t="str">
        <f>IFERROR(VLOOKUP(J155,PROVEEDORES!$A$3:$G$42,5,0),"")</f>
        <v>56944921093</v>
      </c>
      <c r="N155" s="19">
        <v>1966</v>
      </c>
      <c r="O155" s="67" t="s">
        <v>41</v>
      </c>
      <c r="P155" s="68" t="str">
        <f>IFERROR(VLOOKUP(O155,PROVEEDORES!$A$3:$G$42,2,0),"")</f>
        <v>FRUTAS Y VERDURAS</v>
      </c>
      <c r="Q155" s="69" t="str">
        <f>IFERROR(VLOOKUP(O155,PROVEEDORES!$A$3:$G$42,4,0),"")</f>
        <v>caseritaencasa@gmail.com</v>
      </c>
      <c r="R155" s="18" t="str">
        <f>IFERROR(VLOOKUP(O155,PROVEEDORES!$A$3:$G$42,5,0),"")</f>
        <v>56952069703</v>
      </c>
      <c r="S155" s="19">
        <v>3235</v>
      </c>
      <c r="T155" s="20">
        <f t="shared" si="4"/>
        <v>2637</v>
      </c>
      <c r="U155" s="21">
        <f t="shared" si="5"/>
        <v>2900.7000000000003</v>
      </c>
    </row>
    <row r="156" spans="1:21" ht="15" customHeight="1" x14ac:dyDescent="0.35">
      <c r="A156" s="6" t="s">
        <v>207</v>
      </c>
      <c r="B156" s="7" t="s">
        <v>361</v>
      </c>
      <c r="C156" s="8" t="s">
        <v>219</v>
      </c>
      <c r="D156" s="9">
        <v>0.38500000000000001</v>
      </c>
      <c r="E156" s="64" t="s">
        <v>35</v>
      </c>
      <c r="F156" s="65" t="str">
        <f>IFERROR(VLOOKUP(E156,PROVEEDORES!$A$3:$G$42,2,0),"")</f>
        <v>ABARROTES</v>
      </c>
      <c r="G156" s="66" t="str">
        <f>IFERROR(VLOOKUP(E156,PROVEEDORES!$A$3:$G$42,4,0),"")</f>
        <v>pagos@bidfood.cl,pmolina@bidfood.cl</v>
      </c>
      <c r="H156" s="10" t="str">
        <f>IFERROR(VLOOKUP(E156,PROVEEDORES!$A$3:$G$42,5,0),"")</f>
        <v>56225994444 - 56998038459</v>
      </c>
      <c r="I156" s="11">
        <v>3937</v>
      </c>
      <c r="J156" s="64" t="s">
        <v>105</v>
      </c>
      <c r="K156" s="65" t="str">
        <f>IFERROR(VLOOKUP(J156,PROVEEDORES!$A$3:$G$42,2,0),"")</f>
        <v>ESPECIES</v>
      </c>
      <c r="L156" s="66" t="str">
        <f>IFERROR(VLOOKUP(J156,PROVEEDORES!$A$3:$G$42,4,0),"")</f>
        <v>chef@gourmetselect.cl,contabilidad@gourmetselect.cl,pedidos@gourmetselect.cl,info@gourmetselect.cl</v>
      </c>
      <c r="M156" s="10" t="str">
        <f>IFERROR(VLOOKUP(J156,PROVEEDORES!$A$3:$G$42,5,0),"")</f>
        <v>56944921093</v>
      </c>
      <c r="N156" s="11">
        <v>6222</v>
      </c>
      <c r="O156" s="64" t="s">
        <v>41</v>
      </c>
      <c r="P156" s="65" t="str">
        <f>IFERROR(VLOOKUP(O156,PROVEEDORES!$A$3:$G$42,2,0),"")</f>
        <v>FRUTAS Y VERDURAS</v>
      </c>
      <c r="Q156" s="66" t="str">
        <f>IFERROR(VLOOKUP(O156,PROVEEDORES!$A$3:$G$42,4,0),"")</f>
        <v>caseritaencasa@gmail.com</v>
      </c>
      <c r="R156" s="10" t="str">
        <f>IFERROR(VLOOKUP(O156,PROVEEDORES!$A$3:$G$42,5,0),"")</f>
        <v>56952069703</v>
      </c>
      <c r="S156" s="11">
        <v>4275</v>
      </c>
      <c r="T156" s="12">
        <f t="shared" si="4"/>
        <v>4811.333333333333</v>
      </c>
      <c r="U156" s="13">
        <f t="shared" si="5"/>
        <v>5292.4666666666672</v>
      </c>
    </row>
    <row r="157" spans="1:21" ht="15" customHeight="1" x14ac:dyDescent="0.35">
      <c r="A157" s="14" t="s">
        <v>207</v>
      </c>
      <c r="B157" s="15" t="s">
        <v>362</v>
      </c>
      <c r="C157" s="16" t="s">
        <v>219</v>
      </c>
      <c r="D157" s="17">
        <v>0.2</v>
      </c>
      <c r="E157" s="67" t="s">
        <v>35</v>
      </c>
      <c r="F157" s="68" t="str">
        <f>IFERROR(VLOOKUP(E157,PROVEEDORES!$A$3:$G$42,2,0),"")</f>
        <v>ABARROTES</v>
      </c>
      <c r="G157" s="69" t="str">
        <f>IFERROR(VLOOKUP(E157,PROVEEDORES!$A$3:$G$42,4,0),"")</f>
        <v>pagos@bidfood.cl,pmolina@bidfood.cl</v>
      </c>
      <c r="H157" s="18" t="str">
        <f>IFERROR(VLOOKUP(E157,PROVEEDORES!$A$3:$G$42,5,0),"")</f>
        <v>56225994444 - 56998038459</v>
      </c>
      <c r="I157" s="19">
        <v>2740</v>
      </c>
      <c r="J157" s="67" t="s">
        <v>105</v>
      </c>
      <c r="K157" s="68" t="str">
        <f>IFERROR(VLOOKUP(J157,PROVEEDORES!$A$3:$G$42,2,0),"")</f>
        <v>ESPECIES</v>
      </c>
      <c r="L157" s="69" t="str">
        <f>IFERROR(VLOOKUP(J157,PROVEEDORES!$A$3:$G$42,4,0),"")</f>
        <v>chef@gourmetselect.cl,contabilidad@gourmetselect.cl,pedidos@gourmetselect.cl,info@gourmetselect.cl</v>
      </c>
      <c r="M157" s="18" t="str">
        <f>IFERROR(VLOOKUP(J157,PROVEEDORES!$A$3:$G$42,5,0),"")</f>
        <v>56944921093</v>
      </c>
      <c r="N157" s="19">
        <v>4294</v>
      </c>
      <c r="O157" s="67" t="s">
        <v>41</v>
      </c>
      <c r="P157" s="68" t="str">
        <f>IFERROR(VLOOKUP(O157,PROVEEDORES!$A$3:$G$42,2,0),"")</f>
        <v>FRUTAS Y VERDURAS</v>
      </c>
      <c r="Q157" s="69" t="str">
        <f>IFERROR(VLOOKUP(O157,PROVEEDORES!$A$3:$G$42,4,0),"")</f>
        <v>caseritaencasa@gmail.com</v>
      </c>
      <c r="R157" s="18" t="str">
        <f>IFERROR(VLOOKUP(O157,PROVEEDORES!$A$3:$G$42,5,0),"")</f>
        <v>56952069703</v>
      </c>
      <c r="S157" s="19">
        <v>214</v>
      </c>
      <c r="T157" s="20">
        <f t="shared" si="4"/>
        <v>2416</v>
      </c>
      <c r="U157" s="21">
        <f t="shared" si="5"/>
        <v>2657.6000000000004</v>
      </c>
    </row>
    <row r="158" spans="1:21" ht="15" customHeight="1" x14ac:dyDescent="0.35">
      <c r="A158" s="6" t="s">
        <v>207</v>
      </c>
      <c r="B158" s="7" t="s">
        <v>363</v>
      </c>
      <c r="C158" s="8" t="s">
        <v>219</v>
      </c>
      <c r="D158" s="9">
        <v>0.1</v>
      </c>
      <c r="E158" s="64" t="s">
        <v>35</v>
      </c>
      <c r="F158" s="65" t="str">
        <f>IFERROR(VLOOKUP(E158,PROVEEDORES!$A$3:$G$42,2,0),"")</f>
        <v>ABARROTES</v>
      </c>
      <c r="G158" s="66" t="str">
        <f>IFERROR(VLOOKUP(E158,PROVEEDORES!$A$3:$G$42,4,0),"")</f>
        <v>pagos@bidfood.cl,pmolina@bidfood.cl</v>
      </c>
      <c r="H158" s="10" t="str">
        <f>IFERROR(VLOOKUP(E158,PROVEEDORES!$A$3:$G$42,5,0),"")</f>
        <v>56225994444 - 56998038459</v>
      </c>
      <c r="I158" s="11">
        <v>3800</v>
      </c>
      <c r="J158" s="64" t="s">
        <v>105</v>
      </c>
      <c r="K158" s="65" t="str">
        <f>IFERROR(VLOOKUP(J158,PROVEEDORES!$A$3:$G$42,2,0),"")</f>
        <v>ESPECIES</v>
      </c>
      <c r="L158" s="66" t="str">
        <f>IFERROR(VLOOKUP(J158,PROVEEDORES!$A$3:$G$42,4,0),"")</f>
        <v>chef@gourmetselect.cl,contabilidad@gourmetselect.cl,pedidos@gourmetselect.cl,info@gourmetselect.cl</v>
      </c>
      <c r="M158" s="10" t="str">
        <f>IFERROR(VLOOKUP(J158,PROVEEDORES!$A$3:$G$42,5,0),"")</f>
        <v>56944921093</v>
      </c>
      <c r="N158" s="11">
        <v>1275</v>
      </c>
      <c r="O158" s="64" t="s">
        <v>41</v>
      </c>
      <c r="P158" s="65" t="str">
        <f>IFERROR(VLOOKUP(O158,PROVEEDORES!$A$3:$G$42,2,0),"")</f>
        <v>FRUTAS Y VERDURAS</v>
      </c>
      <c r="Q158" s="66" t="str">
        <f>IFERROR(VLOOKUP(O158,PROVEEDORES!$A$3:$G$42,4,0),"")</f>
        <v>caseritaencasa@gmail.com</v>
      </c>
      <c r="R158" s="10" t="str">
        <f>IFERROR(VLOOKUP(O158,PROVEEDORES!$A$3:$G$42,5,0),"")</f>
        <v>56952069703</v>
      </c>
      <c r="S158" s="11">
        <v>2747</v>
      </c>
      <c r="T158" s="12">
        <f t="shared" si="4"/>
        <v>2607.3333333333335</v>
      </c>
      <c r="U158" s="13">
        <f t="shared" si="5"/>
        <v>2868.0666666666671</v>
      </c>
    </row>
    <row r="159" spans="1:21" ht="15" customHeight="1" x14ac:dyDescent="0.35">
      <c r="A159" s="14" t="s">
        <v>207</v>
      </c>
      <c r="B159" s="15" t="s">
        <v>364</v>
      </c>
      <c r="C159" s="16" t="s">
        <v>219</v>
      </c>
      <c r="D159" s="17">
        <v>0.43049999999999999</v>
      </c>
      <c r="E159" s="67" t="s">
        <v>35</v>
      </c>
      <c r="F159" s="68" t="str">
        <f>IFERROR(VLOOKUP(E159,PROVEEDORES!$A$3:$G$42,2,0),"")</f>
        <v>ABARROTES</v>
      </c>
      <c r="G159" s="69" t="str">
        <f>IFERROR(VLOOKUP(E159,PROVEEDORES!$A$3:$G$42,4,0),"")</f>
        <v>pagos@bidfood.cl,pmolina@bidfood.cl</v>
      </c>
      <c r="H159" s="18" t="str">
        <f>IFERROR(VLOOKUP(E159,PROVEEDORES!$A$3:$G$42,5,0),"")</f>
        <v>56225994444 - 56998038459</v>
      </c>
      <c r="I159" s="19">
        <v>5480</v>
      </c>
      <c r="J159" s="67" t="s">
        <v>105</v>
      </c>
      <c r="K159" s="68" t="str">
        <f>IFERROR(VLOOKUP(J159,PROVEEDORES!$A$3:$G$42,2,0),"")</f>
        <v>ESPECIES</v>
      </c>
      <c r="L159" s="69" t="str">
        <f>IFERROR(VLOOKUP(J159,PROVEEDORES!$A$3:$G$42,4,0),"")</f>
        <v>chef@gourmetselect.cl,contabilidad@gourmetselect.cl,pedidos@gourmetselect.cl,info@gourmetselect.cl</v>
      </c>
      <c r="M159" s="18" t="str">
        <f>IFERROR(VLOOKUP(J159,PROVEEDORES!$A$3:$G$42,5,0),"")</f>
        <v>56944921093</v>
      </c>
      <c r="N159" s="19">
        <v>4091</v>
      </c>
      <c r="O159" s="67" t="s">
        <v>41</v>
      </c>
      <c r="P159" s="68" t="str">
        <f>IFERROR(VLOOKUP(O159,PROVEEDORES!$A$3:$G$42,2,0),"")</f>
        <v>FRUTAS Y VERDURAS</v>
      </c>
      <c r="Q159" s="69" t="str">
        <f>IFERROR(VLOOKUP(O159,PROVEEDORES!$A$3:$G$42,4,0),"")</f>
        <v>caseritaencasa@gmail.com</v>
      </c>
      <c r="R159" s="18" t="str">
        <f>IFERROR(VLOOKUP(O159,PROVEEDORES!$A$3:$G$42,5,0),"")</f>
        <v>56952069703</v>
      </c>
      <c r="S159" s="19">
        <v>10435</v>
      </c>
      <c r="T159" s="20">
        <f t="shared" si="4"/>
        <v>6668.666666666667</v>
      </c>
      <c r="U159" s="21">
        <f t="shared" si="5"/>
        <v>7335.5333333333347</v>
      </c>
    </row>
    <row r="160" spans="1:21" ht="15" customHeight="1" x14ac:dyDescent="0.35">
      <c r="A160" s="6" t="s">
        <v>207</v>
      </c>
      <c r="B160" s="7" t="s">
        <v>365</v>
      </c>
      <c r="C160" s="8" t="s">
        <v>219</v>
      </c>
      <c r="D160" s="9">
        <v>3.7499999999999999E-3</v>
      </c>
      <c r="E160" s="64" t="s">
        <v>35</v>
      </c>
      <c r="F160" s="65" t="str">
        <f>IFERROR(VLOOKUP(E160,PROVEEDORES!$A$3:$G$42,2,0),"")</f>
        <v>ABARROTES</v>
      </c>
      <c r="G160" s="66" t="str">
        <f>IFERROR(VLOOKUP(E160,PROVEEDORES!$A$3:$G$42,4,0),"")</f>
        <v>pagos@bidfood.cl,pmolina@bidfood.cl</v>
      </c>
      <c r="H160" s="10" t="str">
        <f>IFERROR(VLOOKUP(E160,PROVEEDORES!$A$3:$G$42,5,0),"")</f>
        <v>56225994444 - 56998038459</v>
      </c>
      <c r="I160" s="11">
        <v>17129</v>
      </c>
      <c r="J160" s="64" t="s">
        <v>105</v>
      </c>
      <c r="K160" s="65" t="str">
        <f>IFERROR(VLOOKUP(J160,PROVEEDORES!$A$3:$G$42,2,0),"")</f>
        <v>ESPECIES</v>
      </c>
      <c r="L160" s="66" t="str">
        <f>IFERROR(VLOOKUP(J160,PROVEEDORES!$A$3:$G$42,4,0),"")</f>
        <v>chef@gourmetselect.cl,contabilidad@gourmetselect.cl,pedidos@gourmetselect.cl,info@gourmetselect.cl</v>
      </c>
      <c r="M160" s="10" t="str">
        <f>IFERROR(VLOOKUP(J160,PROVEEDORES!$A$3:$G$42,5,0),"")</f>
        <v>56944921093</v>
      </c>
      <c r="N160" s="11">
        <v>14097</v>
      </c>
      <c r="O160" s="64" t="s">
        <v>41</v>
      </c>
      <c r="P160" s="65" t="str">
        <f>IFERROR(VLOOKUP(O160,PROVEEDORES!$A$3:$G$42,2,0),"")</f>
        <v>FRUTAS Y VERDURAS</v>
      </c>
      <c r="Q160" s="66" t="str">
        <f>IFERROR(VLOOKUP(O160,PROVEEDORES!$A$3:$G$42,4,0),"")</f>
        <v>caseritaencasa@gmail.com</v>
      </c>
      <c r="R160" s="10" t="str">
        <f>IFERROR(VLOOKUP(O160,PROVEEDORES!$A$3:$G$42,5,0),"")</f>
        <v>56952069703</v>
      </c>
      <c r="S160" s="11">
        <v>6540</v>
      </c>
      <c r="T160" s="12">
        <f t="shared" si="4"/>
        <v>12588.666666666666</v>
      </c>
      <c r="U160" s="13">
        <f t="shared" si="5"/>
        <v>13847.533333333335</v>
      </c>
    </row>
    <row r="161" spans="1:21" ht="15" customHeight="1" x14ac:dyDescent="0.35">
      <c r="A161" s="14" t="s">
        <v>207</v>
      </c>
      <c r="B161" s="15" t="s">
        <v>366</v>
      </c>
      <c r="C161" s="16" t="s">
        <v>219</v>
      </c>
      <c r="D161" s="17">
        <v>5.0000000000000001E-3</v>
      </c>
      <c r="E161" s="67" t="s">
        <v>35</v>
      </c>
      <c r="F161" s="68" t="str">
        <f>IFERROR(VLOOKUP(E161,PROVEEDORES!$A$3:$G$42,2,0),"")</f>
        <v>ABARROTES</v>
      </c>
      <c r="G161" s="69" t="str">
        <f>IFERROR(VLOOKUP(E161,PROVEEDORES!$A$3:$G$42,4,0),"")</f>
        <v>pagos@bidfood.cl,pmolina@bidfood.cl</v>
      </c>
      <c r="H161" s="18" t="str">
        <f>IFERROR(VLOOKUP(E161,PROVEEDORES!$A$3:$G$42,5,0),"")</f>
        <v>56225994444 - 56998038459</v>
      </c>
      <c r="I161" s="19">
        <v>12900</v>
      </c>
      <c r="J161" s="67" t="s">
        <v>105</v>
      </c>
      <c r="K161" s="68" t="str">
        <f>IFERROR(VLOOKUP(J161,PROVEEDORES!$A$3:$G$42,2,0),"")</f>
        <v>ESPECIES</v>
      </c>
      <c r="L161" s="69" t="str">
        <f>IFERROR(VLOOKUP(J161,PROVEEDORES!$A$3:$G$42,4,0),"")</f>
        <v>chef@gourmetselect.cl,contabilidad@gourmetselect.cl,pedidos@gourmetselect.cl,info@gourmetselect.cl</v>
      </c>
      <c r="M161" s="18" t="str">
        <f>IFERROR(VLOOKUP(J161,PROVEEDORES!$A$3:$G$42,5,0),"")</f>
        <v>56944921093</v>
      </c>
      <c r="N161" s="19">
        <v>17486</v>
      </c>
      <c r="O161" s="67" t="s">
        <v>41</v>
      </c>
      <c r="P161" s="68" t="str">
        <f>IFERROR(VLOOKUP(O161,PROVEEDORES!$A$3:$G$42,2,0),"")</f>
        <v>FRUTAS Y VERDURAS</v>
      </c>
      <c r="Q161" s="69" t="str">
        <f>IFERROR(VLOOKUP(O161,PROVEEDORES!$A$3:$G$42,4,0),"")</f>
        <v>caseritaencasa@gmail.com</v>
      </c>
      <c r="R161" s="18" t="str">
        <f>IFERROR(VLOOKUP(O161,PROVEEDORES!$A$3:$G$42,5,0),"")</f>
        <v>56952069703</v>
      </c>
      <c r="S161" s="19">
        <v>21755</v>
      </c>
      <c r="T161" s="20">
        <f t="shared" si="4"/>
        <v>17380.333333333332</v>
      </c>
      <c r="U161" s="21">
        <f t="shared" si="5"/>
        <v>19118.366666666669</v>
      </c>
    </row>
    <row r="162" spans="1:21" ht="15" customHeight="1" x14ac:dyDescent="0.35">
      <c r="A162" s="6" t="s">
        <v>207</v>
      </c>
      <c r="B162" s="7" t="s">
        <v>367</v>
      </c>
      <c r="C162" s="8" t="s">
        <v>219</v>
      </c>
      <c r="D162" s="9">
        <v>5.0000000000000001E-3</v>
      </c>
      <c r="E162" s="64" t="s">
        <v>35</v>
      </c>
      <c r="F162" s="65" t="str">
        <f>IFERROR(VLOOKUP(E162,PROVEEDORES!$A$3:$G$42,2,0),"")</f>
        <v>ABARROTES</v>
      </c>
      <c r="G162" s="66" t="str">
        <f>IFERROR(VLOOKUP(E162,PROVEEDORES!$A$3:$G$42,4,0),"")</f>
        <v>pagos@bidfood.cl,pmolina@bidfood.cl</v>
      </c>
      <c r="H162" s="10" t="str">
        <f>IFERROR(VLOOKUP(E162,PROVEEDORES!$A$3:$G$42,5,0),"")</f>
        <v>56225994444 - 56998038459</v>
      </c>
      <c r="I162" s="11">
        <v>7036</v>
      </c>
      <c r="J162" s="64" t="s">
        <v>105</v>
      </c>
      <c r="K162" s="65" t="str">
        <f>IFERROR(VLOOKUP(J162,PROVEEDORES!$A$3:$G$42,2,0),"")</f>
        <v>ESPECIES</v>
      </c>
      <c r="L162" s="66" t="str">
        <f>IFERROR(VLOOKUP(J162,PROVEEDORES!$A$3:$G$42,4,0),"")</f>
        <v>chef@gourmetselect.cl,contabilidad@gourmetselect.cl,pedidos@gourmetselect.cl,info@gourmetselect.cl</v>
      </c>
      <c r="M162" s="10" t="str">
        <f>IFERROR(VLOOKUP(J162,PROVEEDORES!$A$3:$G$42,5,0),"")</f>
        <v>56944921093</v>
      </c>
      <c r="N162" s="11">
        <v>7627</v>
      </c>
      <c r="O162" s="64" t="s">
        <v>41</v>
      </c>
      <c r="P162" s="65" t="str">
        <f>IFERROR(VLOOKUP(O162,PROVEEDORES!$A$3:$G$42,2,0),"")</f>
        <v>FRUTAS Y VERDURAS</v>
      </c>
      <c r="Q162" s="66" t="str">
        <f>IFERROR(VLOOKUP(O162,PROVEEDORES!$A$3:$G$42,4,0),"")</f>
        <v>caseritaencasa@gmail.com</v>
      </c>
      <c r="R162" s="10" t="str">
        <f>IFERROR(VLOOKUP(O162,PROVEEDORES!$A$3:$G$42,5,0),"")</f>
        <v>56952069703</v>
      </c>
      <c r="S162" s="11">
        <v>8847</v>
      </c>
      <c r="T162" s="12">
        <f t="shared" si="4"/>
        <v>7836.666666666667</v>
      </c>
      <c r="U162" s="13">
        <f t="shared" si="5"/>
        <v>8620.3333333333339</v>
      </c>
    </row>
    <row r="163" spans="1:21" ht="15" customHeight="1" x14ac:dyDescent="0.35">
      <c r="A163" s="14" t="s">
        <v>207</v>
      </c>
      <c r="B163" s="15" t="s">
        <v>368</v>
      </c>
      <c r="C163" s="16" t="s">
        <v>219</v>
      </c>
      <c r="D163" s="17">
        <v>0.105625</v>
      </c>
      <c r="E163" s="67" t="s">
        <v>35</v>
      </c>
      <c r="F163" s="68" t="str">
        <f>IFERROR(VLOOKUP(E163,PROVEEDORES!$A$3:$G$42,2,0),"")</f>
        <v>ABARROTES</v>
      </c>
      <c r="G163" s="69" t="str">
        <f>IFERROR(VLOOKUP(E163,PROVEEDORES!$A$3:$G$42,4,0),"")</f>
        <v>pagos@bidfood.cl,pmolina@bidfood.cl</v>
      </c>
      <c r="H163" s="18" t="str">
        <f>IFERROR(VLOOKUP(E163,PROVEEDORES!$A$3:$G$42,5,0),"")</f>
        <v>56225994444 - 56998038459</v>
      </c>
      <c r="I163" s="19">
        <v>1541</v>
      </c>
      <c r="J163" s="67" t="s">
        <v>105</v>
      </c>
      <c r="K163" s="68" t="str">
        <f>IFERROR(VLOOKUP(J163,PROVEEDORES!$A$3:$G$42,2,0),"")</f>
        <v>ESPECIES</v>
      </c>
      <c r="L163" s="69" t="str">
        <f>IFERROR(VLOOKUP(J163,PROVEEDORES!$A$3:$G$42,4,0),"")</f>
        <v>chef@gourmetselect.cl,contabilidad@gourmetselect.cl,pedidos@gourmetselect.cl,info@gourmetselect.cl</v>
      </c>
      <c r="M163" s="18" t="str">
        <f>IFERROR(VLOOKUP(J163,PROVEEDORES!$A$3:$G$42,5,0),"")</f>
        <v>56944921093</v>
      </c>
      <c r="N163" s="19">
        <v>1317</v>
      </c>
      <c r="O163" s="67" t="s">
        <v>41</v>
      </c>
      <c r="P163" s="68" t="str">
        <f>IFERROR(VLOOKUP(O163,PROVEEDORES!$A$3:$G$42,2,0),"")</f>
        <v>FRUTAS Y VERDURAS</v>
      </c>
      <c r="Q163" s="69" t="str">
        <f>IFERROR(VLOOKUP(O163,PROVEEDORES!$A$3:$G$42,4,0),"")</f>
        <v>caseritaencasa@gmail.com</v>
      </c>
      <c r="R163" s="18" t="str">
        <f>IFERROR(VLOOKUP(O163,PROVEEDORES!$A$3:$G$42,5,0),"")</f>
        <v>56952069703</v>
      </c>
      <c r="S163" s="19">
        <v>2073</v>
      </c>
      <c r="T163" s="20">
        <f t="shared" si="4"/>
        <v>1643.6666666666667</v>
      </c>
      <c r="U163" s="21">
        <f t="shared" si="5"/>
        <v>1808.0333333333335</v>
      </c>
    </row>
    <row r="164" spans="1:21" ht="15" customHeight="1" x14ac:dyDescent="0.35">
      <c r="A164" s="6" t="s">
        <v>207</v>
      </c>
      <c r="B164" s="7" t="s">
        <v>369</v>
      </c>
      <c r="C164" s="8" t="s">
        <v>219</v>
      </c>
      <c r="D164" s="9">
        <v>4.2062500000000003E-2</v>
      </c>
      <c r="E164" s="64" t="s">
        <v>35</v>
      </c>
      <c r="F164" s="65" t="str">
        <f>IFERROR(VLOOKUP(E164,PROVEEDORES!$A$3:$G$42,2,0),"")</f>
        <v>ABARROTES</v>
      </c>
      <c r="G164" s="66" t="str">
        <f>IFERROR(VLOOKUP(E164,PROVEEDORES!$A$3:$G$42,4,0),"")</f>
        <v>pagos@bidfood.cl,pmolina@bidfood.cl</v>
      </c>
      <c r="H164" s="10" t="str">
        <f>IFERROR(VLOOKUP(E164,PROVEEDORES!$A$3:$G$42,5,0),"")</f>
        <v>56225994444 - 56998038459</v>
      </c>
      <c r="I164" s="11">
        <v>11551</v>
      </c>
      <c r="J164" s="64" t="s">
        <v>105</v>
      </c>
      <c r="K164" s="65" t="str">
        <f>IFERROR(VLOOKUP(J164,PROVEEDORES!$A$3:$G$42,2,0),"")</f>
        <v>ESPECIES</v>
      </c>
      <c r="L164" s="66" t="str">
        <f>IFERROR(VLOOKUP(J164,PROVEEDORES!$A$3:$G$42,4,0),"")</f>
        <v>chef@gourmetselect.cl,contabilidad@gourmetselect.cl,pedidos@gourmetselect.cl,info@gourmetselect.cl</v>
      </c>
      <c r="M164" s="10" t="str">
        <f>IFERROR(VLOOKUP(J164,PROVEEDORES!$A$3:$G$42,5,0),"")</f>
        <v>56944921093</v>
      </c>
      <c r="N164" s="11">
        <v>18949</v>
      </c>
      <c r="O164" s="64" t="s">
        <v>41</v>
      </c>
      <c r="P164" s="65" t="str">
        <f>IFERROR(VLOOKUP(O164,PROVEEDORES!$A$3:$G$42,2,0),"")</f>
        <v>FRUTAS Y VERDURAS</v>
      </c>
      <c r="Q164" s="66" t="str">
        <f>IFERROR(VLOOKUP(O164,PROVEEDORES!$A$3:$G$42,4,0),"")</f>
        <v>caseritaencasa@gmail.com</v>
      </c>
      <c r="R164" s="10" t="str">
        <f>IFERROR(VLOOKUP(O164,PROVEEDORES!$A$3:$G$42,5,0),"")</f>
        <v>56952069703</v>
      </c>
      <c r="S164" s="11">
        <v>24181</v>
      </c>
      <c r="T164" s="12">
        <f t="shared" si="4"/>
        <v>18227</v>
      </c>
      <c r="U164" s="13">
        <f t="shared" si="5"/>
        <v>20049.7</v>
      </c>
    </row>
    <row r="165" spans="1:21" ht="15" customHeight="1" x14ac:dyDescent="0.35">
      <c r="A165" s="14" t="s">
        <v>207</v>
      </c>
      <c r="B165" s="15" t="s">
        <v>370</v>
      </c>
      <c r="C165" s="16" t="s">
        <v>219</v>
      </c>
      <c r="D165" s="17">
        <v>1.55E-2</v>
      </c>
      <c r="E165" s="67" t="s">
        <v>35</v>
      </c>
      <c r="F165" s="68" t="str">
        <f>IFERROR(VLOOKUP(E165,PROVEEDORES!$A$3:$G$42,2,0),"")</f>
        <v>ABARROTES</v>
      </c>
      <c r="G165" s="69" t="str">
        <f>IFERROR(VLOOKUP(E165,PROVEEDORES!$A$3:$G$42,4,0),"")</f>
        <v>pagos@bidfood.cl,pmolina@bidfood.cl</v>
      </c>
      <c r="H165" s="18" t="str">
        <f>IFERROR(VLOOKUP(E165,PROVEEDORES!$A$3:$G$42,5,0),"")</f>
        <v>56225994444 - 56998038459</v>
      </c>
      <c r="I165" s="19">
        <v>17275</v>
      </c>
      <c r="J165" s="67" t="s">
        <v>105</v>
      </c>
      <c r="K165" s="68" t="str">
        <f>IFERROR(VLOOKUP(J165,PROVEEDORES!$A$3:$G$42,2,0),"")</f>
        <v>ESPECIES</v>
      </c>
      <c r="L165" s="69" t="str">
        <f>IFERROR(VLOOKUP(J165,PROVEEDORES!$A$3:$G$42,4,0),"")</f>
        <v>chef@gourmetselect.cl,contabilidad@gourmetselect.cl,pedidos@gourmetselect.cl,info@gourmetselect.cl</v>
      </c>
      <c r="M165" s="18" t="str">
        <f>IFERROR(VLOOKUP(J165,PROVEEDORES!$A$3:$G$42,5,0),"")</f>
        <v>56944921093</v>
      </c>
      <c r="N165" s="19">
        <v>29195</v>
      </c>
      <c r="O165" s="67" t="s">
        <v>41</v>
      </c>
      <c r="P165" s="68" t="str">
        <f>IFERROR(VLOOKUP(O165,PROVEEDORES!$A$3:$G$42,2,0),"")</f>
        <v>FRUTAS Y VERDURAS</v>
      </c>
      <c r="Q165" s="69" t="str">
        <f>IFERROR(VLOOKUP(O165,PROVEEDORES!$A$3:$G$42,4,0),"")</f>
        <v>caseritaencasa@gmail.com</v>
      </c>
      <c r="R165" s="18" t="str">
        <f>IFERROR(VLOOKUP(O165,PROVEEDORES!$A$3:$G$42,5,0),"")</f>
        <v>56952069703</v>
      </c>
      <c r="S165" s="19">
        <v>19251</v>
      </c>
      <c r="T165" s="20">
        <f t="shared" si="4"/>
        <v>21907</v>
      </c>
      <c r="U165" s="21">
        <f t="shared" si="5"/>
        <v>24097.7</v>
      </c>
    </row>
    <row r="166" spans="1:21" ht="15" customHeight="1" x14ac:dyDescent="0.35">
      <c r="A166" s="6" t="s">
        <v>207</v>
      </c>
      <c r="B166" s="7" t="s">
        <v>371</v>
      </c>
      <c r="C166" s="8" t="s">
        <v>219</v>
      </c>
      <c r="D166" s="9">
        <v>0.05</v>
      </c>
      <c r="E166" s="64" t="s">
        <v>35</v>
      </c>
      <c r="F166" s="65" t="str">
        <f>IFERROR(VLOOKUP(E166,PROVEEDORES!$A$3:$G$42,2,0),"")</f>
        <v>ABARROTES</v>
      </c>
      <c r="G166" s="66" t="str">
        <f>IFERROR(VLOOKUP(E166,PROVEEDORES!$A$3:$G$42,4,0),"")</f>
        <v>pagos@bidfood.cl,pmolina@bidfood.cl</v>
      </c>
      <c r="H166" s="10" t="str">
        <f>IFERROR(VLOOKUP(E166,PROVEEDORES!$A$3:$G$42,5,0),"")</f>
        <v>56225994444 - 56998038459</v>
      </c>
      <c r="I166" s="11">
        <v>2787</v>
      </c>
      <c r="J166" s="64" t="s">
        <v>105</v>
      </c>
      <c r="K166" s="65" t="str">
        <f>IFERROR(VLOOKUP(J166,PROVEEDORES!$A$3:$G$42,2,0),"")</f>
        <v>ESPECIES</v>
      </c>
      <c r="L166" s="66" t="str">
        <f>IFERROR(VLOOKUP(J166,PROVEEDORES!$A$3:$G$42,4,0),"")</f>
        <v>chef@gourmetselect.cl,contabilidad@gourmetselect.cl,pedidos@gourmetselect.cl,info@gourmetselect.cl</v>
      </c>
      <c r="M166" s="10" t="str">
        <f>IFERROR(VLOOKUP(J166,PROVEEDORES!$A$3:$G$42,5,0),"")</f>
        <v>56944921093</v>
      </c>
      <c r="N166" s="11">
        <v>1023</v>
      </c>
      <c r="O166" s="64" t="s">
        <v>41</v>
      </c>
      <c r="P166" s="65" t="str">
        <f>IFERROR(VLOOKUP(O166,PROVEEDORES!$A$3:$G$42,2,0),"")</f>
        <v>FRUTAS Y VERDURAS</v>
      </c>
      <c r="Q166" s="66" t="str">
        <f>IFERROR(VLOOKUP(O166,PROVEEDORES!$A$3:$G$42,4,0),"")</f>
        <v>caseritaencasa@gmail.com</v>
      </c>
      <c r="R166" s="10" t="str">
        <f>IFERROR(VLOOKUP(O166,PROVEEDORES!$A$3:$G$42,5,0),"")</f>
        <v>56952069703</v>
      </c>
      <c r="S166" s="11">
        <v>5338</v>
      </c>
      <c r="T166" s="12">
        <f t="shared" si="4"/>
        <v>3049.3333333333335</v>
      </c>
      <c r="U166" s="13">
        <f t="shared" si="5"/>
        <v>3354.2666666666669</v>
      </c>
    </row>
    <row r="167" spans="1:21" ht="15" customHeight="1" x14ac:dyDescent="0.35">
      <c r="A167" s="14" t="s">
        <v>207</v>
      </c>
      <c r="B167" s="15" t="s">
        <v>372</v>
      </c>
      <c r="C167" s="16" t="s">
        <v>219</v>
      </c>
      <c r="D167" s="17">
        <v>0.22800000000000001</v>
      </c>
      <c r="E167" s="67" t="s">
        <v>35</v>
      </c>
      <c r="F167" s="68" t="str">
        <f>IFERROR(VLOOKUP(E167,PROVEEDORES!$A$3:$G$42,2,0),"")</f>
        <v>ABARROTES</v>
      </c>
      <c r="G167" s="69" t="str">
        <f>IFERROR(VLOOKUP(E167,PROVEEDORES!$A$3:$G$42,4,0),"")</f>
        <v>pagos@bidfood.cl,pmolina@bidfood.cl</v>
      </c>
      <c r="H167" s="18" t="str">
        <f>IFERROR(VLOOKUP(E167,PROVEEDORES!$A$3:$G$42,5,0),"")</f>
        <v>56225994444 - 56998038459</v>
      </c>
      <c r="I167" s="19">
        <v>12400</v>
      </c>
      <c r="J167" s="67" t="s">
        <v>105</v>
      </c>
      <c r="K167" s="68" t="str">
        <f>IFERROR(VLOOKUP(J167,PROVEEDORES!$A$3:$G$42,2,0),"")</f>
        <v>ESPECIES</v>
      </c>
      <c r="L167" s="69" t="str">
        <f>IFERROR(VLOOKUP(J167,PROVEEDORES!$A$3:$G$42,4,0),"")</f>
        <v>chef@gourmetselect.cl,contabilidad@gourmetselect.cl,pedidos@gourmetselect.cl,info@gourmetselect.cl</v>
      </c>
      <c r="M167" s="18" t="str">
        <f>IFERROR(VLOOKUP(J167,PROVEEDORES!$A$3:$G$42,5,0),"")</f>
        <v>56944921093</v>
      </c>
      <c r="N167" s="19">
        <v>4979</v>
      </c>
      <c r="O167" s="67" t="s">
        <v>41</v>
      </c>
      <c r="P167" s="68" t="str">
        <f>IFERROR(VLOOKUP(O167,PROVEEDORES!$A$3:$G$42,2,0),"")</f>
        <v>FRUTAS Y VERDURAS</v>
      </c>
      <c r="Q167" s="69" t="str">
        <f>IFERROR(VLOOKUP(O167,PROVEEDORES!$A$3:$G$42,4,0),"")</f>
        <v>caseritaencasa@gmail.com</v>
      </c>
      <c r="R167" s="18" t="str">
        <f>IFERROR(VLOOKUP(O167,PROVEEDORES!$A$3:$G$42,5,0),"")</f>
        <v>56952069703</v>
      </c>
      <c r="S167" s="19">
        <v>9045</v>
      </c>
      <c r="T167" s="20">
        <f t="shared" si="4"/>
        <v>8808</v>
      </c>
      <c r="U167" s="21">
        <f t="shared" si="5"/>
        <v>9688.8000000000011</v>
      </c>
    </row>
    <row r="168" spans="1:21" ht="15" customHeight="1" x14ac:dyDescent="0.35">
      <c r="A168" s="6" t="s">
        <v>207</v>
      </c>
      <c r="B168" s="7" t="s">
        <v>373</v>
      </c>
      <c r="C168" s="8" t="s">
        <v>219</v>
      </c>
      <c r="D168" s="9">
        <v>3.125E-2</v>
      </c>
      <c r="E168" s="64" t="s">
        <v>35</v>
      </c>
      <c r="F168" s="65" t="str">
        <f>IFERROR(VLOOKUP(E168,PROVEEDORES!$A$3:$G$42,2,0),"")</f>
        <v>ABARROTES</v>
      </c>
      <c r="G168" s="66" t="str">
        <f>IFERROR(VLOOKUP(E168,PROVEEDORES!$A$3:$G$42,4,0),"")</f>
        <v>pagos@bidfood.cl,pmolina@bidfood.cl</v>
      </c>
      <c r="H168" s="10" t="str">
        <f>IFERROR(VLOOKUP(E168,PROVEEDORES!$A$3:$G$42,5,0),"")</f>
        <v>56225994444 - 56998038459</v>
      </c>
      <c r="I168" s="11">
        <v>14811</v>
      </c>
      <c r="J168" s="64" t="s">
        <v>105</v>
      </c>
      <c r="K168" s="65" t="str">
        <f>IFERROR(VLOOKUP(J168,PROVEEDORES!$A$3:$G$42,2,0),"")</f>
        <v>ESPECIES</v>
      </c>
      <c r="L168" s="66" t="str">
        <f>IFERROR(VLOOKUP(J168,PROVEEDORES!$A$3:$G$42,4,0),"")</f>
        <v>chef@gourmetselect.cl,contabilidad@gourmetselect.cl,pedidos@gourmetselect.cl,info@gourmetselect.cl</v>
      </c>
      <c r="M168" s="10" t="str">
        <f>IFERROR(VLOOKUP(J168,PROVEEDORES!$A$3:$G$42,5,0),"")</f>
        <v>56944921093</v>
      </c>
      <c r="N168" s="11">
        <v>12101</v>
      </c>
      <c r="O168" s="64" t="s">
        <v>41</v>
      </c>
      <c r="P168" s="65" t="str">
        <f>IFERROR(VLOOKUP(O168,PROVEEDORES!$A$3:$G$42,2,0),"")</f>
        <v>FRUTAS Y VERDURAS</v>
      </c>
      <c r="Q168" s="66" t="str">
        <f>IFERROR(VLOOKUP(O168,PROVEEDORES!$A$3:$G$42,4,0),"")</f>
        <v>caseritaencasa@gmail.com</v>
      </c>
      <c r="R168" s="10" t="str">
        <f>IFERROR(VLOOKUP(O168,PROVEEDORES!$A$3:$G$42,5,0),"")</f>
        <v>56952069703</v>
      </c>
      <c r="S168" s="11">
        <v>27975</v>
      </c>
      <c r="T168" s="12">
        <f t="shared" si="4"/>
        <v>18295.666666666668</v>
      </c>
      <c r="U168" s="13">
        <f t="shared" si="5"/>
        <v>20125.233333333337</v>
      </c>
    </row>
    <row r="169" spans="1:21" ht="15" customHeight="1" x14ac:dyDescent="0.35">
      <c r="A169" s="14" t="s">
        <v>207</v>
      </c>
      <c r="B169" s="15" t="s">
        <v>374</v>
      </c>
      <c r="C169" s="16" t="s">
        <v>219</v>
      </c>
      <c r="D169" s="17">
        <v>1.60625E-2</v>
      </c>
      <c r="E169" s="67" t="s">
        <v>35</v>
      </c>
      <c r="F169" s="68" t="str">
        <f>IFERROR(VLOOKUP(E169,PROVEEDORES!$A$3:$G$42,2,0),"")</f>
        <v>ABARROTES</v>
      </c>
      <c r="G169" s="69" t="str">
        <f>IFERROR(VLOOKUP(E169,PROVEEDORES!$A$3:$G$42,4,0),"")</f>
        <v>pagos@bidfood.cl,pmolina@bidfood.cl</v>
      </c>
      <c r="H169" s="18" t="str">
        <f>IFERROR(VLOOKUP(E169,PROVEEDORES!$A$3:$G$42,5,0),"")</f>
        <v>56225994444 - 56998038459</v>
      </c>
      <c r="I169" s="19">
        <v>17500</v>
      </c>
      <c r="J169" s="67" t="s">
        <v>105</v>
      </c>
      <c r="K169" s="68" t="str">
        <f>IFERROR(VLOOKUP(J169,PROVEEDORES!$A$3:$G$42,2,0),"")</f>
        <v>ESPECIES</v>
      </c>
      <c r="L169" s="69" t="str">
        <f>IFERROR(VLOOKUP(J169,PROVEEDORES!$A$3:$G$42,4,0),"")</f>
        <v>chef@gourmetselect.cl,contabilidad@gourmetselect.cl,pedidos@gourmetselect.cl,info@gourmetselect.cl</v>
      </c>
      <c r="M169" s="18" t="str">
        <f>IFERROR(VLOOKUP(J169,PROVEEDORES!$A$3:$G$42,5,0),"")</f>
        <v>56944921093</v>
      </c>
      <c r="N169" s="19">
        <v>17762</v>
      </c>
      <c r="O169" s="67" t="s">
        <v>41</v>
      </c>
      <c r="P169" s="68" t="str">
        <f>IFERROR(VLOOKUP(O169,PROVEEDORES!$A$3:$G$42,2,0),"")</f>
        <v>FRUTAS Y VERDURAS</v>
      </c>
      <c r="Q169" s="69" t="str">
        <f>IFERROR(VLOOKUP(O169,PROVEEDORES!$A$3:$G$42,4,0),"")</f>
        <v>caseritaencasa@gmail.com</v>
      </c>
      <c r="R169" s="18" t="str">
        <f>IFERROR(VLOOKUP(O169,PROVEEDORES!$A$3:$G$42,5,0),"")</f>
        <v>56952069703</v>
      </c>
      <c r="S169" s="19">
        <v>22043</v>
      </c>
      <c r="T169" s="20">
        <f t="shared" si="4"/>
        <v>19101.666666666668</v>
      </c>
      <c r="U169" s="21">
        <f t="shared" si="5"/>
        <v>21011.833333333336</v>
      </c>
    </row>
    <row r="170" spans="1:21" ht="15" customHeight="1" x14ac:dyDescent="0.35">
      <c r="A170" s="6" t="s">
        <v>207</v>
      </c>
      <c r="B170" s="7" t="s">
        <v>375</v>
      </c>
      <c r="C170" s="8" t="s">
        <v>219</v>
      </c>
      <c r="D170" s="9">
        <v>1.51875E-2</v>
      </c>
      <c r="E170" s="64" t="s">
        <v>35</v>
      </c>
      <c r="F170" s="65" t="str">
        <f>IFERROR(VLOOKUP(E170,PROVEEDORES!$A$3:$G$42,2,0),"")</f>
        <v>ABARROTES</v>
      </c>
      <c r="G170" s="66" t="str">
        <f>IFERROR(VLOOKUP(E170,PROVEEDORES!$A$3:$G$42,4,0),"")</f>
        <v>pagos@bidfood.cl,pmolina@bidfood.cl</v>
      </c>
      <c r="H170" s="10" t="str">
        <f>IFERROR(VLOOKUP(E170,PROVEEDORES!$A$3:$G$42,5,0),"")</f>
        <v>56225994444 - 56998038459</v>
      </c>
      <c r="I170" s="11">
        <v>30140</v>
      </c>
      <c r="J170" s="64" t="s">
        <v>105</v>
      </c>
      <c r="K170" s="65" t="str">
        <f>IFERROR(VLOOKUP(J170,PROVEEDORES!$A$3:$G$42,2,0),"")</f>
        <v>ESPECIES</v>
      </c>
      <c r="L170" s="66" t="str">
        <f>IFERROR(VLOOKUP(J170,PROVEEDORES!$A$3:$G$42,4,0),"")</f>
        <v>chef@gourmetselect.cl,contabilidad@gourmetselect.cl,pedidos@gourmetselect.cl,info@gourmetselect.cl</v>
      </c>
      <c r="M170" s="10" t="str">
        <f>IFERROR(VLOOKUP(J170,PROVEEDORES!$A$3:$G$42,5,0),"")</f>
        <v>56944921093</v>
      </c>
      <c r="N170" s="11">
        <v>35294</v>
      </c>
      <c r="O170" s="64" t="s">
        <v>41</v>
      </c>
      <c r="P170" s="65" t="str">
        <f>IFERROR(VLOOKUP(O170,PROVEEDORES!$A$3:$G$42,2,0),"")</f>
        <v>FRUTAS Y VERDURAS</v>
      </c>
      <c r="Q170" s="66" t="str">
        <f>IFERROR(VLOOKUP(O170,PROVEEDORES!$A$3:$G$42,4,0),"")</f>
        <v>caseritaencasa@gmail.com</v>
      </c>
      <c r="R170" s="10" t="str">
        <f>IFERROR(VLOOKUP(O170,PROVEEDORES!$A$3:$G$42,5,0),"")</f>
        <v>56952069703</v>
      </c>
      <c r="S170" s="11">
        <v>52022</v>
      </c>
      <c r="T170" s="12">
        <f t="shared" si="4"/>
        <v>39152</v>
      </c>
      <c r="U170" s="13">
        <f t="shared" si="5"/>
        <v>43067.200000000004</v>
      </c>
    </row>
    <row r="171" spans="1:21" ht="15" customHeight="1" x14ac:dyDescent="0.35">
      <c r="A171" s="14" t="s">
        <v>207</v>
      </c>
      <c r="B171" s="15" t="s">
        <v>376</v>
      </c>
      <c r="C171" s="16" t="s">
        <v>219</v>
      </c>
      <c r="D171" s="17">
        <v>4.1875000000000002E-2</v>
      </c>
      <c r="E171" s="67" t="s">
        <v>35</v>
      </c>
      <c r="F171" s="68" t="str">
        <f>IFERROR(VLOOKUP(E171,PROVEEDORES!$A$3:$G$42,2,0),"")</f>
        <v>ABARROTES</v>
      </c>
      <c r="G171" s="69" t="str">
        <f>IFERROR(VLOOKUP(E171,PROVEEDORES!$A$3:$G$42,4,0),"")</f>
        <v>pagos@bidfood.cl,pmolina@bidfood.cl</v>
      </c>
      <c r="H171" s="18" t="str">
        <f>IFERROR(VLOOKUP(E171,PROVEEDORES!$A$3:$G$42,5,0),"")</f>
        <v>56225994444 - 56998038459</v>
      </c>
      <c r="I171" s="19">
        <v>5900</v>
      </c>
      <c r="J171" s="67" t="s">
        <v>105</v>
      </c>
      <c r="K171" s="68" t="str">
        <f>IFERROR(VLOOKUP(J171,PROVEEDORES!$A$3:$G$42,2,0),"")</f>
        <v>ESPECIES</v>
      </c>
      <c r="L171" s="69" t="str">
        <f>IFERROR(VLOOKUP(J171,PROVEEDORES!$A$3:$G$42,4,0),"")</f>
        <v>chef@gourmetselect.cl,contabilidad@gourmetselect.cl,pedidos@gourmetselect.cl,info@gourmetselect.cl</v>
      </c>
      <c r="M171" s="18" t="str">
        <f>IFERROR(VLOOKUP(J171,PROVEEDORES!$A$3:$G$42,5,0),"")</f>
        <v>56944921093</v>
      </c>
      <c r="N171" s="19">
        <v>8059</v>
      </c>
      <c r="O171" s="67" t="s">
        <v>41</v>
      </c>
      <c r="P171" s="68" t="str">
        <f>IFERROR(VLOOKUP(O171,PROVEEDORES!$A$3:$G$42,2,0),"")</f>
        <v>FRUTAS Y VERDURAS</v>
      </c>
      <c r="Q171" s="69" t="str">
        <f>IFERROR(VLOOKUP(O171,PROVEEDORES!$A$3:$G$42,4,0),"")</f>
        <v>caseritaencasa@gmail.com</v>
      </c>
      <c r="R171" s="18" t="str">
        <f>IFERROR(VLOOKUP(O171,PROVEEDORES!$A$3:$G$42,5,0),"")</f>
        <v>56952069703</v>
      </c>
      <c r="S171" s="19">
        <v>7471</v>
      </c>
      <c r="T171" s="20">
        <f t="shared" si="4"/>
        <v>7143.333333333333</v>
      </c>
      <c r="U171" s="21">
        <f t="shared" si="5"/>
        <v>7857.666666666667</v>
      </c>
    </row>
    <row r="172" spans="1:21" ht="15" customHeight="1" x14ac:dyDescent="0.35">
      <c r="A172" s="6" t="s">
        <v>207</v>
      </c>
      <c r="B172" s="7" t="s">
        <v>377</v>
      </c>
      <c r="C172" s="8" t="s">
        <v>219</v>
      </c>
      <c r="D172" s="9">
        <v>2.5437499999999998E-2</v>
      </c>
      <c r="E172" s="64" t="s">
        <v>35</v>
      </c>
      <c r="F172" s="65" t="str">
        <f>IFERROR(VLOOKUP(E172,PROVEEDORES!$A$3:$G$42,2,0),"")</f>
        <v>ABARROTES</v>
      </c>
      <c r="G172" s="66" t="str">
        <f>IFERROR(VLOOKUP(E172,PROVEEDORES!$A$3:$G$42,4,0),"")</f>
        <v>pagos@bidfood.cl,pmolina@bidfood.cl</v>
      </c>
      <c r="H172" s="10" t="str">
        <f>IFERROR(VLOOKUP(E172,PROVEEDORES!$A$3:$G$42,5,0),"")</f>
        <v>56225994444 - 56998038459</v>
      </c>
      <c r="I172" s="11">
        <v>89764</v>
      </c>
      <c r="J172" s="64" t="s">
        <v>105</v>
      </c>
      <c r="K172" s="65" t="str">
        <f>IFERROR(VLOOKUP(J172,PROVEEDORES!$A$3:$G$42,2,0),"")</f>
        <v>ESPECIES</v>
      </c>
      <c r="L172" s="66" t="str">
        <f>IFERROR(VLOOKUP(J172,PROVEEDORES!$A$3:$G$42,4,0),"")</f>
        <v>chef@gourmetselect.cl,contabilidad@gourmetselect.cl,pedidos@gourmetselect.cl,info@gourmetselect.cl</v>
      </c>
      <c r="M172" s="10" t="str">
        <f>IFERROR(VLOOKUP(J172,PROVEEDORES!$A$3:$G$42,5,0),"")</f>
        <v>56944921093</v>
      </c>
      <c r="N172" s="11">
        <v>64720</v>
      </c>
      <c r="O172" s="64" t="s">
        <v>41</v>
      </c>
      <c r="P172" s="65" t="str">
        <f>IFERROR(VLOOKUP(O172,PROVEEDORES!$A$3:$G$42,2,0),"")</f>
        <v>FRUTAS Y VERDURAS</v>
      </c>
      <c r="Q172" s="66" t="str">
        <f>IFERROR(VLOOKUP(O172,PROVEEDORES!$A$3:$G$42,4,0),"")</f>
        <v>caseritaencasa@gmail.com</v>
      </c>
      <c r="R172" s="10" t="str">
        <f>IFERROR(VLOOKUP(O172,PROVEEDORES!$A$3:$G$42,5,0),"")</f>
        <v>56952069703</v>
      </c>
      <c r="S172" s="11">
        <v>21238</v>
      </c>
      <c r="T172" s="12">
        <f t="shared" si="4"/>
        <v>58574</v>
      </c>
      <c r="U172" s="13">
        <f t="shared" si="5"/>
        <v>64431.400000000009</v>
      </c>
    </row>
    <row r="173" spans="1:21" ht="15" customHeight="1" x14ac:dyDescent="0.35">
      <c r="A173" s="14" t="s">
        <v>207</v>
      </c>
      <c r="B173" s="15" t="s">
        <v>378</v>
      </c>
      <c r="C173" s="16" t="s">
        <v>239</v>
      </c>
      <c r="D173" s="17">
        <v>1</v>
      </c>
      <c r="E173" s="67" t="s">
        <v>35</v>
      </c>
      <c r="F173" s="68" t="str">
        <f>IFERROR(VLOOKUP(E173,PROVEEDORES!$A$3:$G$42,2,0),"")</f>
        <v>ABARROTES</v>
      </c>
      <c r="G173" s="69" t="str">
        <f>IFERROR(VLOOKUP(E173,PROVEEDORES!$A$3:$G$42,4,0),"")</f>
        <v>pagos@bidfood.cl,pmolina@bidfood.cl</v>
      </c>
      <c r="H173" s="18" t="str">
        <f>IFERROR(VLOOKUP(E173,PROVEEDORES!$A$3:$G$42,5,0),"")</f>
        <v>56225994444 - 56998038459</v>
      </c>
      <c r="I173" s="19">
        <v>338</v>
      </c>
      <c r="J173" s="67" t="s">
        <v>105</v>
      </c>
      <c r="K173" s="68" t="str">
        <f>IFERROR(VLOOKUP(J173,PROVEEDORES!$A$3:$G$42,2,0),"")</f>
        <v>ESPECIES</v>
      </c>
      <c r="L173" s="69" t="str">
        <f>IFERROR(VLOOKUP(J173,PROVEEDORES!$A$3:$G$42,4,0),"")</f>
        <v>chef@gourmetselect.cl,contabilidad@gourmetselect.cl,pedidos@gourmetselect.cl,info@gourmetselect.cl</v>
      </c>
      <c r="M173" s="18" t="str">
        <f>IFERROR(VLOOKUP(J173,PROVEEDORES!$A$3:$G$42,5,0),"")</f>
        <v>56944921093</v>
      </c>
      <c r="N173" s="19">
        <v>496</v>
      </c>
      <c r="O173" s="67" t="s">
        <v>41</v>
      </c>
      <c r="P173" s="68" t="str">
        <f>IFERROR(VLOOKUP(O173,PROVEEDORES!$A$3:$G$42,2,0),"")</f>
        <v>FRUTAS Y VERDURAS</v>
      </c>
      <c r="Q173" s="69" t="str">
        <f>IFERROR(VLOOKUP(O173,PROVEEDORES!$A$3:$G$42,4,0),"")</f>
        <v>caseritaencasa@gmail.com</v>
      </c>
      <c r="R173" s="18" t="str">
        <f>IFERROR(VLOOKUP(O173,PROVEEDORES!$A$3:$G$42,5,0),"")</f>
        <v>56952069703</v>
      </c>
      <c r="S173" s="19">
        <v>333</v>
      </c>
      <c r="T173" s="20">
        <f t="shared" si="4"/>
        <v>389</v>
      </c>
      <c r="U173" s="21">
        <f t="shared" si="5"/>
        <v>427.90000000000003</v>
      </c>
    </row>
    <row r="174" spans="1:21" ht="15" customHeight="1" x14ac:dyDescent="0.35">
      <c r="A174" s="6" t="s">
        <v>207</v>
      </c>
      <c r="B174" s="7" t="s">
        <v>379</v>
      </c>
      <c r="C174" s="8" t="s">
        <v>219</v>
      </c>
      <c r="D174" s="9">
        <v>0.44700000000000001</v>
      </c>
      <c r="E174" s="64" t="s">
        <v>35</v>
      </c>
      <c r="F174" s="65" t="str">
        <f>IFERROR(VLOOKUP(E174,PROVEEDORES!$A$3:$G$42,2,0),"")</f>
        <v>ABARROTES</v>
      </c>
      <c r="G174" s="66" t="str">
        <f>IFERROR(VLOOKUP(E174,PROVEEDORES!$A$3:$G$42,4,0),"")</f>
        <v>pagos@bidfood.cl,pmolina@bidfood.cl</v>
      </c>
      <c r="H174" s="10" t="str">
        <f>IFERROR(VLOOKUP(E174,PROVEEDORES!$A$3:$G$42,5,0),"")</f>
        <v>56225994444 - 56998038459</v>
      </c>
      <c r="I174" s="11">
        <v>5560</v>
      </c>
      <c r="J174" s="64" t="s">
        <v>105</v>
      </c>
      <c r="K174" s="65" t="str">
        <f>IFERROR(VLOOKUP(J174,PROVEEDORES!$A$3:$G$42,2,0),"")</f>
        <v>ESPECIES</v>
      </c>
      <c r="L174" s="66" t="str">
        <f>IFERROR(VLOOKUP(J174,PROVEEDORES!$A$3:$G$42,4,0),"")</f>
        <v>chef@gourmetselect.cl,contabilidad@gourmetselect.cl,pedidos@gourmetselect.cl,info@gourmetselect.cl</v>
      </c>
      <c r="M174" s="10" t="str">
        <f>IFERROR(VLOOKUP(J174,PROVEEDORES!$A$3:$G$42,5,0),"")</f>
        <v>56944921093</v>
      </c>
      <c r="N174" s="11">
        <v>8154</v>
      </c>
      <c r="O174" s="64" t="s">
        <v>41</v>
      </c>
      <c r="P174" s="65" t="str">
        <f>IFERROR(VLOOKUP(O174,PROVEEDORES!$A$3:$G$42,2,0),"")</f>
        <v>FRUTAS Y VERDURAS</v>
      </c>
      <c r="Q174" s="66" t="str">
        <f>IFERROR(VLOOKUP(O174,PROVEEDORES!$A$3:$G$42,4,0),"")</f>
        <v>caseritaencasa@gmail.com</v>
      </c>
      <c r="R174" s="10" t="str">
        <f>IFERROR(VLOOKUP(O174,PROVEEDORES!$A$3:$G$42,5,0),"")</f>
        <v>56952069703</v>
      </c>
      <c r="S174" s="11">
        <v>7517</v>
      </c>
      <c r="T174" s="12">
        <f t="shared" si="4"/>
        <v>7077</v>
      </c>
      <c r="U174" s="13">
        <f t="shared" si="5"/>
        <v>7784.7000000000007</v>
      </c>
    </row>
    <row r="175" spans="1:21" ht="15" customHeight="1" x14ac:dyDescent="0.35">
      <c r="A175" s="14" t="s">
        <v>207</v>
      </c>
      <c r="B175" s="15" t="s">
        <v>380</v>
      </c>
      <c r="C175" s="16" t="s">
        <v>219</v>
      </c>
      <c r="D175" s="17">
        <v>0.02</v>
      </c>
      <c r="E175" s="67" t="s">
        <v>35</v>
      </c>
      <c r="F175" s="68" t="str">
        <f>IFERROR(VLOOKUP(E175,PROVEEDORES!$A$3:$G$42,2,0),"")</f>
        <v>ABARROTES</v>
      </c>
      <c r="G175" s="69" t="str">
        <f>IFERROR(VLOOKUP(E175,PROVEEDORES!$A$3:$G$42,4,0),"")</f>
        <v>pagos@bidfood.cl,pmolina@bidfood.cl</v>
      </c>
      <c r="H175" s="18" t="str">
        <f>IFERROR(VLOOKUP(E175,PROVEEDORES!$A$3:$G$42,5,0),"")</f>
        <v>56225994444 - 56998038459</v>
      </c>
      <c r="I175" s="19">
        <v>2533</v>
      </c>
      <c r="J175" s="67" t="s">
        <v>105</v>
      </c>
      <c r="K175" s="68" t="str">
        <f>IFERROR(VLOOKUP(J175,PROVEEDORES!$A$3:$G$42,2,0),"")</f>
        <v>ESPECIES</v>
      </c>
      <c r="L175" s="69" t="str">
        <f>IFERROR(VLOOKUP(J175,PROVEEDORES!$A$3:$G$42,4,0),"")</f>
        <v>chef@gourmetselect.cl,contabilidad@gourmetselect.cl,pedidos@gourmetselect.cl,info@gourmetselect.cl</v>
      </c>
      <c r="M175" s="18" t="str">
        <f>IFERROR(VLOOKUP(J175,PROVEEDORES!$A$3:$G$42,5,0),"")</f>
        <v>56944921093</v>
      </c>
      <c r="N175" s="19">
        <v>1826</v>
      </c>
      <c r="O175" s="67" t="s">
        <v>41</v>
      </c>
      <c r="P175" s="68" t="str">
        <f>IFERROR(VLOOKUP(O175,PROVEEDORES!$A$3:$G$42,2,0),"")</f>
        <v>FRUTAS Y VERDURAS</v>
      </c>
      <c r="Q175" s="69" t="str">
        <f>IFERROR(VLOOKUP(O175,PROVEEDORES!$A$3:$G$42,4,0),"")</f>
        <v>caseritaencasa@gmail.com</v>
      </c>
      <c r="R175" s="18" t="str">
        <f>IFERROR(VLOOKUP(O175,PROVEEDORES!$A$3:$G$42,5,0),"")</f>
        <v>56952069703</v>
      </c>
      <c r="S175" s="19">
        <v>956</v>
      </c>
      <c r="T175" s="20">
        <f t="shared" si="4"/>
        <v>1771.6666666666667</v>
      </c>
      <c r="U175" s="21">
        <f t="shared" si="5"/>
        <v>1948.8333333333335</v>
      </c>
    </row>
    <row r="176" spans="1:21" ht="15" customHeight="1" x14ac:dyDescent="0.35">
      <c r="A176" s="6" t="s">
        <v>207</v>
      </c>
      <c r="B176" s="7" t="s">
        <v>381</v>
      </c>
      <c r="C176" s="8" t="s">
        <v>209</v>
      </c>
      <c r="D176" s="9">
        <v>7.0000000000000007E-2</v>
      </c>
      <c r="E176" s="64" t="s">
        <v>35</v>
      </c>
      <c r="F176" s="65" t="str">
        <f>IFERROR(VLOOKUP(E176,PROVEEDORES!$A$3:$G$42,2,0),"")</f>
        <v>ABARROTES</v>
      </c>
      <c r="G176" s="66" t="str">
        <f>IFERROR(VLOOKUP(E176,PROVEEDORES!$A$3:$G$42,4,0),"")</f>
        <v>pagos@bidfood.cl,pmolina@bidfood.cl</v>
      </c>
      <c r="H176" s="10" t="str">
        <f>IFERROR(VLOOKUP(E176,PROVEEDORES!$A$3:$G$42,5,0),"")</f>
        <v>56225994444 - 56998038459</v>
      </c>
      <c r="I176" s="11">
        <v>936</v>
      </c>
      <c r="J176" s="64" t="s">
        <v>105</v>
      </c>
      <c r="K176" s="65" t="str">
        <f>IFERROR(VLOOKUP(J176,PROVEEDORES!$A$3:$G$42,2,0),"")</f>
        <v>ESPECIES</v>
      </c>
      <c r="L176" s="66" t="str">
        <f>IFERROR(VLOOKUP(J176,PROVEEDORES!$A$3:$G$42,4,0),"")</f>
        <v>chef@gourmetselect.cl,contabilidad@gourmetselect.cl,pedidos@gourmetselect.cl,info@gourmetselect.cl</v>
      </c>
      <c r="M176" s="10" t="str">
        <f>IFERROR(VLOOKUP(J176,PROVEEDORES!$A$3:$G$42,5,0),"")</f>
        <v>56944921093</v>
      </c>
      <c r="N176" s="11">
        <v>1454</v>
      </c>
      <c r="O176" s="64" t="s">
        <v>41</v>
      </c>
      <c r="P176" s="65" t="str">
        <f>IFERROR(VLOOKUP(O176,PROVEEDORES!$A$3:$G$42,2,0),"")</f>
        <v>FRUTAS Y VERDURAS</v>
      </c>
      <c r="Q176" s="66" t="str">
        <f>IFERROR(VLOOKUP(O176,PROVEEDORES!$A$3:$G$42,4,0),"")</f>
        <v>caseritaencasa@gmail.com</v>
      </c>
      <c r="R176" s="10" t="str">
        <f>IFERROR(VLOOKUP(O176,PROVEEDORES!$A$3:$G$42,5,0),"")</f>
        <v>56952069703</v>
      </c>
      <c r="S176" s="11">
        <v>1799</v>
      </c>
      <c r="T176" s="12">
        <f t="shared" si="4"/>
        <v>1396.3333333333333</v>
      </c>
      <c r="U176" s="13">
        <f t="shared" si="5"/>
        <v>1535.9666666666667</v>
      </c>
    </row>
    <row r="177" spans="1:21" ht="15" customHeight="1" x14ac:dyDescent="0.35">
      <c r="A177" s="14" t="s">
        <v>207</v>
      </c>
      <c r="B177" s="15" t="s">
        <v>382</v>
      </c>
      <c r="C177" s="16" t="s">
        <v>239</v>
      </c>
      <c r="D177" s="17">
        <v>3.2</v>
      </c>
      <c r="E177" s="67" t="s">
        <v>35</v>
      </c>
      <c r="F177" s="68" t="str">
        <f>IFERROR(VLOOKUP(E177,PROVEEDORES!$A$3:$G$42,2,0),"")</f>
        <v>ABARROTES</v>
      </c>
      <c r="G177" s="69" t="str">
        <f>IFERROR(VLOOKUP(E177,PROVEEDORES!$A$3:$G$42,4,0),"")</f>
        <v>pagos@bidfood.cl,pmolina@bidfood.cl</v>
      </c>
      <c r="H177" s="18" t="str">
        <f>IFERROR(VLOOKUP(E177,PROVEEDORES!$A$3:$G$42,5,0),"")</f>
        <v>56225994444 - 56998038459</v>
      </c>
      <c r="I177" s="19">
        <v>35</v>
      </c>
      <c r="J177" s="67" t="s">
        <v>105</v>
      </c>
      <c r="K177" s="68" t="str">
        <f>IFERROR(VLOOKUP(J177,PROVEEDORES!$A$3:$G$42,2,0),"")</f>
        <v>ESPECIES</v>
      </c>
      <c r="L177" s="69" t="str">
        <f>IFERROR(VLOOKUP(J177,PROVEEDORES!$A$3:$G$42,4,0),"")</f>
        <v>chef@gourmetselect.cl,contabilidad@gourmetselect.cl,pedidos@gourmetselect.cl,info@gourmetselect.cl</v>
      </c>
      <c r="M177" s="18" t="str">
        <f>IFERROR(VLOOKUP(J177,PROVEEDORES!$A$3:$G$42,5,0),"")</f>
        <v>56944921093</v>
      </c>
      <c r="N177" s="19">
        <v>33</v>
      </c>
      <c r="O177" s="67" t="s">
        <v>41</v>
      </c>
      <c r="P177" s="68" t="str">
        <f>IFERROR(VLOOKUP(O177,PROVEEDORES!$A$3:$G$42,2,0),"")</f>
        <v>FRUTAS Y VERDURAS</v>
      </c>
      <c r="Q177" s="69" t="str">
        <f>IFERROR(VLOOKUP(O177,PROVEEDORES!$A$3:$G$42,4,0),"")</f>
        <v>caseritaencasa@gmail.com</v>
      </c>
      <c r="R177" s="18" t="str">
        <f>IFERROR(VLOOKUP(O177,PROVEEDORES!$A$3:$G$42,5,0),"")</f>
        <v>56952069703</v>
      </c>
      <c r="S177" s="19">
        <v>23</v>
      </c>
      <c r="T177" s="20">
        <f t="shared" si="4"/>
        <v>30.333333333333332</v>
      </c>
      <c r="U177" s="21">
        <f t="shared" si="5"/>
        <v>33.366666666666667</v>
      </c>
    </row>
    <row r="178" spans="1:21" ht="15" customHeight="1" x14ac:dyDescent="0.35">
      <c r="A178" s="6" t="s">
        <v>207</v>
      </c>
      <c r="B178" s="7" t="s">
        <v>383</v>
      </c>
      <c r="C178" s="8" t="s">
        <v>219</v>
      </c>
      <c r="D178" s="9">
        <v>1.35625E-2</v>
      </c>
      <c r="E178" s="64" t="s">
        <v>35</v>
      </c>
      <c r="F178" s="65" t="str">
        <f>IFERROR(VLOOKUP(E178,PROVEEDORES!$A$3:$G$42,2,0),"")</f>
        <v>ABARROTES</v>
      </c>
      <c r="G178" s="66" t="str">
        <f>IFERROR(VLOOKUP(E178,PROVEEDORES!$A$3:$G$42,4,0),"")</f>
        <v>pagos@bidfood.cl,pmolina@bidfood.cl</v>
      </c>
      <c r="H178" s="10" t="str">
        <f>IFERROR(VLOOKUP(E178,PROVEEDORES!$A$3:$G$42,5,0),"")</f>
        <v>56225994444 - 56998038459</v>
      </c>
      <c r="I178" s="11">
        <v>2600</v>
      </c>
      <c r="J178" s="64" t="s">
        <v>105</v>
      </c>
      <c r="K178" s="65" t="str">
        <f>IFERROR(VLOOKUP(J178,PROVEEDORES!$A$3:$G$42,2,0),"")</f>
        <v>ESPECIES</v>
      </c>
      <c r="L178" s="66" t="str">
        <f>IFERROR(VLOOKUP(J178,PROVEEDORES!$A$3:$G$42,4,0),"")</f>
        <v>chef@gourmetselect.cl,contabilidad@gourmetselect.cl,pedidos@gourmetselect.cl,info@gourmetselect.cl</v>
      </c>
      <c r="M178" s="10" t="str">
        <f>IFERROR(VLOOKUP(J178,PROVEEDORES!$A$3:$G$42,5,0),"")</f>
        <v>56944921093</v>
      </c>
      <c r="N178" s="11">
        <v>4180</v>
      </c>
      <c r="O178" s="64" t="s">
        <v>41</v>
      </c>
      <c r="P178" s="65" t="str">
        <f>IFERROR(VLOOKUP(O178,PROVEEDORES!$A$3:$G$42,2,0),"")</f>
        <v>FRUTAS Y VERDURAS</v>
      </c>
      <c r="Q178" s="66" t="str">
        <f>IFERROR(VLOOKUP(O178,PROVEEDORES!$A$3:$G$42,4,0),"")</f>
        <v>caseritaencasa@gmail.com</v>
      </c>
      <c r="R178" s="10" t="str">
        <f>IFERROR(VLOOKUP(O178,PROVEEDORES!$A$3:$G$42,5,0),"")</f>
        <v>56952069703</v>
      </c>
      <c r="S178" s="11">
        <v>1954</v>
      </c>
      <c r="T178" s="12">
        <f t="shared" si="4"/>
        <v>2911.3333333333335</v>
      </c>
      <c r="U178" s="13">
        <f t="shared" si="5"/>
        <v>3202.4666666666672</v>
      </c>
    </row>
    <row r="179" spans="1:21" ht="15" customHeight="1" x14ac:dyDescent="0.35">
      <c r="A179" s="14" t="s">
        <v>207</v>
      </c>
      <c r="B179" s="15" t="s">
        <v>384</v>
      </c>
      <c r="C179" s="16" t="s">
        <v>219</v>
      </c>
      <c r="D179" s="17">
        <v>1.0999999999999999E-2</v>
      </c>
      <c r="E179" s="67" t="s">
        <v>35</v>
      </c>
      <c r="F179" s="68" t="str">
        <f>IFERROR(VLOOKUP(E179,PROVEEDORES!$A$3:$G$42,2,0),"")</f>
        <v>ABARROTES</v>
      </c>
      <c r="G179" s="69" t="str">
        <f>IFERROR(VLOOKUP(E179,PROVEEDORES!$A$3:$G$42,4,0),"")</f>
        <v>pagos@bidfood.cl,pmolina@bidfood.cl</v>
      </c>
      <c r="H179" s="18" t="str">
        <f>IFERROR(VLOOKUP(E179,PROVEEDORES!$A$3:$G$42,5,0),"")</f>
        <v>56225994444 - 56998038459</v>
      </c>
      <c r="I179" s="19">
        <v>2745</v>
      </c>
      <c r="J179" s="67" t="s">
        <v>105</v>
      </c>
      <c r="K179" s="68" t="str">
        <f>IFERROR(VLOOKUP(J179,PROVEEDORES!$A$3:$G$42,2,0),"")</f>
        <v>ESPECIES</v>
      </c>
      <c r="L179" s="69" t="str">
        <f>IFERROR(VLOOKUP(J179,PROVEEDORES!$A$3:$G$42,4,0),"")</f>
        <v>chef@gourmetselect.cl,contabilidad@gourmetselect.cl,pedidos@gourmetselect.cl,info@gourmetselect.cl</v>
      </c>
      <c r="M179" s="18" t="str">
        <f>IFERROR(VLOOKUP(J179,PROVEEDORES!$A$3:$G$42,5,0),"")</f>
        <v>56944921093</v>
      </c>
      <c r="N179" s="19">
        <v>1769</v>
      </c>
      <c r="O179" s="67" t="s">
        <v>41</v>
      </c>
      <c r="P179" s="68" t="str">
        <f>IFERROR(VLOOKUP(O179,PROVEEDORES!$A$3:$G$42,2,0),"")</f>
        <v>FRUTAS Y VERDURAS</v>
      </c>
      <c r="Q179" s="69" t="str">
        <f>IFERROR(VLOOKUP(O179,PROVEEDORES!$A$3:$G$42,4,0),"")</f>
        <v>caseritaencasa@gmail.com</v>
      </c>
      <c r="R179" s="18" t="str">
        <f>IFERROR(VLOOKUP(O179,PROVEEDORES!$A$3:$G$42,5,0),"")</f>
        <v>56952069703</v>
      </c>
      <c r="S179" s="19">
        <v>2226</v>
      </c>
      <c r="T179" s="20">
        <f t="shared" si="4"/>
        <v>2246.6666666666665</v>
      </c>
      <c r="U179" s="21">
        <f t="shared" si="5"/>
        <v>2471.3333333333335</v>
      </c>
    </row>
    <row r="180" spans="1:21" ht="15" customHeight="1" x14ac:dyDescent="0.35">
      <c r="A180" s="6" t="s">
        <v>207</v>
      </c>
      <c r="B180" s="7" t="s">
        <v>385</v>
      </c>
      <c r="C180" s="8" t="s">
        <v>219</v>
      </c>
      <c r="D180" s="9">
        <v>1.7000000000000001E-2</v>
      </c>
      <c r="E180" s="64" t="s">
        <v>35</v>
      </c>
      <c r="F180" s="65" t="str">
        <f>IFERROR(VLOOKUP(E180,PROVEEDORES!$A$3:$G$42,2,0),"")</f>
        <v>ABARROTES</v>
      </c>
      <c r="G180" s="66" t="str">
        <f>IFERROR(VLOOKUP(E180,PROVEEDORES!$A$3:$G$42,4,0),"")</f>
        <v>pagos@bidfood.cl,pmolina@bidfood.cl</v>
      </c>
      <c r="H180" s="10" t="str">
        <f>IFERROR(VLOOKUP(E180,PROVEEDORES!$A$3:$G$42,5,0),"")</f>
        <v>56225994444 - 56998038459</v>
      </c>
      <c r="I180" s="11">
        <v>2745</v>
      </c>
      <c r="J180" s="64" t="s">
        <v>105</v>
      </c>
      <c r="K180" s="65" t="str">
        <f>IFERROR(VLOOKUP(J180,PROVEEDORES!$A$3:$G$42,2,0),"")</f>
        <v>ESPECIES</v>
      </c>
      <c r="L180" s="66" t="str">
        <f>IFERROR(VLOOKUP(J180,PROVEEDORES!$A$3:$G$42,4,0),"")</f>
        <v>chef@gourmetselect.cl,contabilidad@gourmetselect.cl,pedidos@gourmetselect.cl,info@gourmetselect.cl</v>
      </c>
      <c r="M180" s="10" t="str">
        <f>IFERROR(VLOOKUP(J180,PROVEEDORES!$A$3:$G$42,5,0),"")</f>
        <v>56944921093</v>
      </c>
      <c r="N180" s="11">
        <v>2045</v>
      </c>
      <c r="O180" s="64" t="s">
        <v>41</v>
      </c>
      <c r="P180" s="65" t="str">
        <f>IFERROR(VLOOKUP(O180,PROVEEDORES!$A$3:$G$42,2,0),"")</f>
        <v>FRUTAS Y VERDURAS</v>
      </c>
      <c r="Q180" s="66" t="str">
        <f>IFERROR(VLOOKUP(O180,PROVEEDORES!$A$3:$G$42,4,0),"")</f>
        <v>caseritaencasa@gmail.com</v>
      </c>
      <c r="R180" s="10" t="str">
        <f>IFERROR(VLOOKUP(O180,PROVEEDORES!$A$3:$G$42,5,0),"")</f>
        <v>56952069703</v>
      </c>
      <c r="S180" s="11">
        <v>529</v>
      </c>
      <c r="T180" s="12">
        <f t="shared" si="4"/>
        <v>1773</v>
      </c>
      <c r="U180" s="13">
        <f t="shared" si="5"/>
        <v>1950.3000000000002</v>
      </c>
    </row>
    <row r="181" spans="1:21" ht="15" customHeight="1" x14ac:dyDescent="0.35">
      <c r="A181" s="14" t="s">
        <v>207</v>
      </c>
      <c r="B181" s="15" t="s">
        <v>386</v>
      </c>
      <c r="C181" s="16" t="s">
        <v>219</v>
      </c>
      <c r="D181" s="17">
        <v>2.2499999999999999E-2</v>
      </c>
      <c r="E181" s="67" t="s">
        <v>35</v>
      </c>
      <c r="F181" s="68" t="str">
        <f>IFERROR(VLOOKUP(E181,PROVEEDORES!$A$3:$G$42,2,0),"")</f>
        <v>ABARROTES</v>
      </c>
      <c r="G181" s="69" t="str">
        <f>IFERROR(VLOOKUP(E181,PROVEEDORES!$A$3:$G$42,4,0),"")</f>
        <v>pagos@bidfood.cl,pmolina@bidfood.cl</v>
      </c>
      <c r="H181" s="18" t="str">
        <f>IFERROR(VLOOKUP(E181,PROVEEDORES!$A$3:$G$42,5,0),"")</f>
        <v>56225994444 - 56998038459</v>
      </c>
      <c r="I181" s="19">
        <v>10500</v>
      </c>
      <c r="J181" s="67" t="s">
        <v>105</v>
      </c>
      <c r="K181" s="68" t="str">
        <f>IFERROR(VLOOKUP(J181,PROVEEDORES!$A$3:$G$42,2,0),"")</f>
        <v>ESPECIES</v>
      </c>
      <c r="L181" s="69" t="str">
        <f>IFERROR(VLOOKUP(J181,PROVEEDORES!$A$3:$G$42,4,0),"")</f>
        <v>chef@gourmetselect.cl,contabilidad@gourmetselect.cl,pedidos@gourmetselect.cl,info@gourmetselect.cl</v>
      </c>
      <c r="M181" s="18" t="str">
        <f>IFERROR(VLOOKUP(J181,PROVEEDORES!$A$3:$G$42,5,0),"")</f>
        <v>56944921093</v>
      </c>
      <c r="N181" s="19">
        <v>7523</v>
      </c>
      <c r="O181" s="67" t="s">
        <v>41</v>
      </c>
      <c r="P181" s="68" t="str">
        <f>IFERROR(VLOOKUP(O181,PROVEEDORES!$A$3:$G$42,2,0),"")</f>
        <v>FRUTAS Y VERDURAS</v>
      </c>
      <c r="Q181" s="69" t="str">
        <f>IFERROR(VLOOKUP(O181,PROVEEDORES!$A$3:$G$42,4,0),"")</f>
        <v>caseritaencasa@gmail.com</v>
      </c>
      <c r="R181" s="18" t="str">
        <f>IFERROR(VLOOKUP(O181,PROVEEDORES!$A$3:$G$42,5,0),"")</f>
        <v>56952069703</v>
      </c>
      <c r="S181" s="19">
        <v>-1050</v>
      </c>
      <c r="T181" s="20">
        <f t="shared" si="4"/>
        <v>5657.666666666667</v>
      </c>
      <c r="U181" s="21">
        <f t="shared" si="5"/>
        <v>6223.4333333333343</v>
      </c>
    </row>
    <row r="182" spans="1:21" ht="15" customHeight="1" x14ac:dyDescent="0.35">
      <c r="A182" s="6" t="s">
        <v>207</v>
      </c>
      <c r="B182" s="7" t="s">
        <v>387</v>
      </c>
      <c r="C182" s="8" t="s">
        <v>219</v>
      </c>
      <c r="D182" s="9">
        <v>0.01</v>
      </c>
      <c r="E182" s="64" t="s">
        <v>35</v>
      </c>
      <c r="F182" s="65" t="str">
        <f>IFERROR(VLOOKUP(E182,PROVEEDORES!$A$3:$G$42,2,0),"")</f>
        <v>ABARROTES</v>
      </c>
      <c r="G182" s="66" t="str">
        <f>IFERROR(VLOOKUP(E182,PROVEEDORES!$A$3:$G$42,4,0),"")</f>
        <v>pagos@bidfood.cl,pmolina@bidfood.cl</v>
      </c>
      <c r="H182" s="10" t="str">
        <f>IFERROR(VLOOKUP(E182,PROVEEDORES!$A$3:$G$42,5,0),"")</f>
        <v>56225994444 - 56998038459</v>
      </c>
      <c r="I182" s="11">
        <v>9225</v>
      </c>
      <c r="J182" s="64" t="s">
        <v>105</v>
      </c>
      <c r="K182" s="65" t="str">
        <f>IFERROR(VLOOKUP(J182,PROVEEDORES!$A$3:$G$42,2,0),"")</f>
        <v>ESPECIES</v>
      </c>
      <c r="L182" s="66" t="str">
        <f>IFERROR(VLOOKUP(J182,PROVEEDORES!$A$3:$G$42,4,0),"")</f>
        <v>chef@gourmetselect.cl,contabilidad@gourmetselect.cl,pedidos@gourmetselect.cl,info@gourmetselect.cl</v>
      </c>
      <c r="M182" s="10" t="str">
        <f>IFERROR(VLOOKUP(J182,PROVEEDORES!$A$3:$G$42,5,0),"")</f>
        <v>56944921093</v>
      </c>
      <c r="N182" s="11">
        <v>15147</v>
      </c>
      <c r="O182" s="64" t="s">
        <v>41</v>
      </c>
      <c r="P182" s="65" t="str">
        <f>IFERROR(VLOOKUP(O182,PROVEEDORES!$A$3:$G$42,2,0),"")</f>
        <v>FRUTAS Y VERDURAS</v>
      </c>
      <c r="Q182" s="66" t="str">
        <f>IFERROR(VLOOKUP(O182,PROVEEDORES!$A$3:$G$42,4,0),"")</f>
        <v>caseritaencasa@gmail.com</v>
      </c>
      <c r="R182" s="10" t="str">
        <f>IFERROR(VLOOKUP(O182,PROVEEDORES!$A$3:$G$42,5,0),"")</f>
        <v>56952069703</v>
      </c>
      <c r="S182" s="11">
        <v>19109</v>
      </c>
      <c r="T182" s="12">
        <f t="shared" si="4"/>
        <v>14493.666666666666</v>
      </c>
      <c r="U182" s="13">
        <f t="shared" si="5"/>
        <v>15943.033333333335</v>
      </c>
    </row>
    <row r="183" spans="1:21" ht="15" customHeight="1" x14ac:dyDescent="0.35">
      <c r="A183" s="14" t="s">
        <v>207</v>
      </c>
      <c r="B183" s="15" t="s">
        <v>388</v>
      </c>
      <c r="C183" s="16" t="s">
        <v>219</v>
      </c>
      <c r="D183" s="17">
        <v>6.2500000000000003E-3</v>
      </c>
      <c r="E183" s="67" t="s">
        <v>35</v>
      </c>
      <c r="F183" s="68" t="str">
        <f>IFERROR(VLOOKUP(E183,PROVEEDORES!$A$3:$G$42,2,0),"")</f>
        <v>ABARROTES</v>
      </c>
      <c r="G183" s="69" t="str">
        <f>IFERROR(VLOOKUP(E183,PROVEEDORES!$A$3:$G$42,4,0),"")</f>
        <v>pagos@bidfood.cl,pmolina@bidfood.cl</v>
      </c>
      <c r="H183" s="18" t="str">
        <f>IFERROR(VLOOKUP(E183,PROVEEDORES!$A$3:$G$42,5,0),"")</f>
        <v>56225994444 - 56998038459</v>
      </c>
      <c r="I183" s="19">
        <v>49770</v>
      </c>
      <c r="J183" s="67" t="s">
        <v>105</v>
      </c>
      <c r="K183" s="68" t="str">
        <f>IFERROR(VLOOKUP(J183,PROVEEDORES!$A$3:$G$42,2,0),"")</f>
        <v>ESPECIES</v>
      </c>
      <c r="L183" s="69" t="str">
        <f>IFERROR(VLOOKUP(J183,PROVEEDORES!$A$3:$G$42,4,0),"")</f>
        <v>chef@gourmetselect.cl,contabilidad@gourmetselect.cl,pedidos@gourmetselect.cl,info@gourmetselect.cl</v>
      </c>
      <c r="M183" s="18" t="str">
        <f>IFERROR(VLOOKUP(J183,PROVEEDORES!$A$3:$G$42,5,0),"")</f>
        <v>56944921093</v>
      </c>
      <c r="N183" s="19">
        <v>74406</v>
      </c>
      <c r="O183" s="67" t="s">
        <v>41</v>
      </c>
      <c r="P183" s="68" t="str">
        <f>IFERROR(VLOOKUP(O183,PROVEEDORES!$A$3:$G$42,2,0),"")</f>
        <v>FRUTAS Y VERDURAS</v>
      </c>
      <c r="Q183" s="69" t="str">
        <f>IFERROR(VLOOKUP(O183,PROVEEDORES!$A$3:$G$42,4,0),"")</f>
        <v>caseritaencasa@gmail.com</v>
      </c>
      <c r="R183" s="18" t="str">
        <f>IFERROR(VLOOKUP(O183,PROVEEDORES!$A$3:$G$42,5,0),"")</f>
        <v>56952069703</v>
      </c>
      <c r="S183" s="19">
        <v>86888</v>
      </c>
      <c r="T183" s="20">
        <f t="shared" si="4"/>
        <v>70354.666666666672</v>
      </c>
      <c r="U183" s="21">
        <f t="shared" si="5"/>
        <v>77390.133333333346</v>
      </c>
    </row>
    <row r="184" spans="1:21" ht="15" customHeight="1" x14ac:dyDescent="0.35">
      <c r="A184" s="6" t="s">
        <v>207</v>
      </c>
      <c r="B184" s="7" t="s">
        <v>389</v>
      </c>
      <c r="C184" s="8" t="s">
        <v>219</v>
      </c>
      <c r="D184" s="9">
        <v>2.1000000000000001E-2</v>
      </c>
      <c r="E184" s="64" t="s">
        <v>35</v>
      </c>
      <c r="F184" s="65" t="str">
        <f>IFERROR(VLOOKUP(E184,PROVEEDORES!$A$3:$G$42,2,0),"")</f>
        <v>ABARROTES</v>
      </c>
      <c r="G184" s="66" t="str">
        <f>IFERROR(VLOOKUP(E184,PROVEEDORES!$A$3:$G$42,4,0),"")</f>
        <v>pagos@bidfood.cl,pmolina@bidfood.cl</v>
      </c>
      <c r="H184" s="10" t="str">
        <f>IFERROR(VLOOKUP(E184,PROVEEDORES!$A$3:$G$42,5,0),"")</f>
        <v>56225994444 - 56998038459</v>
      </c>
      <c r="I184" s="11">
        <v>12801</v>
      </c>
      <c r="J184" s="64" t="s">
        <v>105</v>
      </c>
      <c r="K184" s="65" t="str">
        <f>IFERROR(VLOOKUP(J184,PROVEEDORES!$A$3:$G$42,2,0),"")</f>
        <v>ESPECIES</v>
      </c>
      <c r="L184" s="66" t="str">
        <f>IFERROR(VLOOKUP(J184,PROVEEDORES!$A$3:$G$42,4,0),"")</f>
        <v>chef@gourmetselect.cl,contabilidad@gourmetselect.cl,pedidos@gourmetselect.cl,info@gourmetselect.cl</v>
      </c>
      <c r="M184" s="10" t="str">
        <f>IFERROR(VLOOKUP(J184,PROVEEDORES!$A$3:$G$42,5,0),"")</f>
        <v>56944921093</v>
      </c>
      <c r="N184" s="11">
        <v>15892</v>
      </c>
      <c r="O184" s="64" t="s">
        <v>41</v>
      </c>
      <c r="P184" s="65" t="str">
        <f>IFERROR(VLOOKUP(O184,PROVEEDORES!$A$3:$G$42,2,0),"")</f>
        <v>FRUTAS Y VERDURAS</v>
      </c>
      <c r="Q184" s="66" t="str">
        <f>IFERROR(VLOOKUP(O184,PROVEEDORES!$A$3:$G$42,4,0),"")</f>
        <v>caseritaencasa@gmail.com</v>
      </c>
      <c r="R184" s="10" t="str">
        <f>IFERROR(VLOOKUP(O184,PROVEEDORES!$A$3:$G$42,5,0),"")</f>
        <v>56952069703</v>
      </c>
      <c r="S184" s="11">
        <v>2719</v>
      </c>
      <c r="T184" s="12">
        <f t="shared" si="4"/>
        <v>10470.666666666666</v>
      </c>
      <c r="U184" s="13">
        <f t="shared" si="5"/>
        <v>11517.733333333334</v>
      </c>
    </row>
    <row r="185" spans="1:21" ht="15" customHeight="1" x14ac:dyDescent="0.35">
      <c r="A185" s="14" t="s">
        <v>207</v>
      </c>
      <c r="B185" s="15" t="s">
        <v>390</v>
      </c>
      <c r="C185" s="16" t="s">
        <v>219</v>
      </c>
      <c r="D185" s="17">
        <v>3.7650000000000003E-2</v>
      </c>
      <c r="E185" s="67" t="s">
        <v>35</v>
      </c>
      <c r="F185" s="68" t="str">
        <f>IFERROR(VLOOKUP(E185,PROVEEDORES!$A$3:$G$42,2,0),"")</f>
        <v>ABARROTES</v>
      </c>
      <c r="G185" s="69" t="str">
        <f>IFERROR(VLOOKUP(E185,PROVEEDORES!$A$3:$G$42,4,0),"")</f>
        <v>pagos@bidfood.cl,pmolina@bidfood.cl</v>
      </c>
      <c r="H185" s="18" t="str">
        <f>IFERROR(VLOOKUP(E185,PROVEEDORES!$A$3:$G$42,5,0),"")</f>
        <v>56225994444 - 56998038459</v>
      </c>
      <c r="I185" s="19">
        <v>53000</v>
      </c>
      <c r="J185" s="67" t="s">
        <v>105</v>
      </c>
      <c r="K185" s="68" t="str">
        <f>IFERROR(VLOOKUP(J185,PROVEEDORES!$A$3:$G$42,2,0),"")</f>
        <v>ESPECIES</v>
      </c>
      <c r="L185" s="69" t="str">
        <f>IFERROR(VLOOKUP(J185,PROVEEDORES!$A$3:$G$42,4,0),"")</f>
        <v>chef@gourmetselect.cl,contabilidad@gourmetselect.cl,pedidos@gourmetselect.cl,info@gourmetselect.cl</v>
      </c>
      <c r="M185" s="18" t="str">
        <f>IFERROR(VLOOKUP(J185,PROVEEDORES!$A$3:$G$42,5,0),"")</f>
        <v>56944921093</v>
      </c>
      <c r="N185" s="19">
        <v>68264</v>
      </c>
      <c r="O185" s="67" t="s">
        <v>41</v>
      </c>
      <c r="P185" s="68" t="str">
        <f>IFERROR(VLOOKUP(O185,PROVEEDORES!$A$3:$G$42,2,0),"")</f>
        <v>FRUTAS Y VERDURAS</v>
      </c>
      <c r="Q185" s="69" t="str">
        <f>IFERROR(VLOOKUP(O185,PROVEEDORES!$A$3:$G$42,4,0),"")</f>
        <v>caseritaencasa@gmail.com</v>
      </c>
      <c r="R185" s="18" t="str">
        <f>IFERROR(VLOOKUP(O185,PROVEEDORES!$A$3:$G$42,5,0),"")</f>
        <v>56952069703</v>
      </c>
      <c r="S185" s="19">
        <v>72356</v>
      </c>
      <c r="T185" s="20">
        <f t="shared" si="4"/>
        <v>64540</v>
      </c>
      <c r="U185" s="21">
        <f t="shared" si="5"/>
        <v>70994</v>
      </c>
    </row>
    <row r="186" spans="1:21" ht="15" customHeight="1" x14ac:dyDescent="0.35">
      <c r="A186" s="6" t="s">
        <v>207</v>
      </c>
      <c r="B186" s="7" t="s">
        <v>391</v>
      </c>
      <c r="C186" s="8" t="s">
        <v>219</v>
      </c>
      <c r="D186" s="9">
        <v>6.0000000000000001E-3</v>
      </c>
      <c r="E186" s="64" t="s">
        <v>35</v>
      </c>
      <c r="F186" s="65" t="str">
        <f>IFERROR(VLOOKUP(E186,PROVEEDORES!$A$3:$G$42,2,0),"")</f>
        <v>ABARROTES</v>
      </c>
      <c r="G186" s="66" t="str">
        <f>IFERROR(VLOOKUP(E186,PROVEEDORES!$A$3:$G$42,4,0),"")</f>
        <v>pagos@bidfood.cl,pmolina@bidfood.cl</v>
      </c>
      <c r="H186" s="10" t="str">
        <f>IFERROR(VLOOKUP(E186,PROVEEDORES!$A$3:$G$42,5,0),"")</f>
        <v>56225994444 - 56998038459</v>
      </c>
      <c r="I186" s="11">
        <v>32939</v>
      </c>
      <c r="J186" s="64" t="s">
        <v>105</v>
      </c>
      <c r="K186" s="65" t="str">
        <f>IFERROR(VLOOKUP(J186,PROVEEDORES!$A$3:$G$42,2,0),"")</f>
        <v>ESPECIES</v>
      </c>
      <c r="L186" s="66" t="str">
        <f>IFERROR(VLOOKUP(J186,PROVEEDORES!$A$3:$G$42,4,0),"")</f>
        <v>chef@gourmetselect.cl,contabilidad@gourmetselect.cl,pedidos@gourmetselect.cl,info@gourmetselect.cl</v>
      </c>
      <c r="M186" s="10" t="str">
        <f>IFERROR(VLOOKUP(J186,PROVEEDORES!$A$3:$G$42,5,0),"")</f>
        <v>56944921093</v>
      </c>
      <c r="N186" s="11">
        <v>45291</v>
      </c>
      <c r="O186" s="64" t="s">
        <v>41</v>
      </c>
      <c r="P186" s="65" t="str">
        <f>IFERROR(VLOOKUP(O186,PROVEEDORES!$A$3:$G$42,2,0),"")</f>
        <v>FRUTAS Y VERDURAS</v>
      </c>
      <c r="Q186" s="66" t="str">
        <f>IFERROR(VLOOKUP(O186,PROVEEDORES!$A$3:$G$42,4,0),"")</f>
        <v>caseritaencasa@gmail.com</v>
      </c>
      <c r="R186" s="10" t="str">
        <f>IFERROR(VLOOKUP(O186,PROVEEDORES!$A$3:$G$42,5,0),"")</f>
        <v>56952069703</v>
      </c>
      <c r="S186" s="11">
        <v>49316</v>
      </c>
      <c r="T186" s="12">
        <f t="shared" si="4"/>
        <v>42515.333333333336</v>
      </c>
      <c r="U186" s="13">
        <f t="shared" si="5"/>
        <v>46766.866666666676</v>
      </c>
    </row>
    <row r="187" spans="1:21" ht="15" customHeight="1" x14ac:dyDescent="0.35">
      <c r="A187" s="14" t="s">
        <v>207</v>
      </c>
      <c r="B187" s="15" t="s">
        <v>392</v>
      </c>
      <c r="C187" s="16" t="s">
        <v>219</v>
      </c>
      <c r="D187" s="17">
        <v>5.9375000000000001E-3</v>
      </c>
      <c r="E187" s="67" t="s">
        <v>35</v>
      </c>
      <c r="F187" s="68" t="str">
        <f>IFERROR(VLOOKUP(E187,PROVEEDORES!$A$3:$G$42,2,0),"")</f>
        <v>ABARROTES</v>
      </c>
      <c r="G187" s="69" t="str">
        <f>IFERROR(VLOOKUP(E187,PROVEEDORES!$A$3:$G$42,4,0),"")</f>
        <v>pagos@bidfood.cl,pmolina@bidfood.cl</v>
      </c>
      <c r="H187" s="18" t="str">
        <f>IFERROR(VLOOKUP(E187,PROVEEDORES!$A$3:$G$42,5,0),"")</f>
        <v>56225994444 - 56998038459</v>
      </c>
      <c r="I187" s="19">
        <v>62640</v>
      </c>
      <c r="J187" s="67" t="s">
        <v>105</v>
      </c>
      <c r="K187" s="68" t="str">
        <f>IFERROR(VLOOKUP(J187,PROVEEDORES!$A$3:$G$42,2,0),"")</f>
        <v>ESPECIES</v>
      </c>
      <c r="L187" s="69" t="str">
        <f>IFERROR(VLOOKUP(J187,PROVEEDORES!$A$3:$G$42,4,0),"")</f>
        <v>chef@gourmetselect.cl,contabilidad@gourmetselect.cl,pedidos@gourmetselect.cl,info@gourmetselect.cl</v>
      </c>
      <c r="M187" s="18" t="str">
        <f>IFERROR(VLOOKUP(J187,PROVEEDORES!$A$3:$G$42,5,0),"")</f>
        <v>56944921093</v>
      </c>
      <c r="N187" s="19">
        <v>25432</v>
      </c>
      <c r="O187" s="67" t="s">
        <v>41</v>
      </c>
      <c r="P187" s="68" t="str">
        <f>IFERROR(VLOOKUP(O187,PROVEEDORES!$A$3:$G$42,2,0),"")</f>
        <v>FRUTAS Y VERDURAS</v>
      </c>
      <c r="Q187" s="69" t="str">
        <f>IFERROR(VLOOKUP(O187,PROVEEDORES!$A$3:$G$42,4,0),"")</f>
        <v>caseritaencasa@gmail.com</v>
      </c>
      <c r="R187" s="18" t="str">
        <f>IFERROR(VLOOKUP(O187,PROVEEDORES!$A$3:$G$42,5,0),"")</f>
        <v>56952069703</v>
      </c>
      <c r="S187" s="19">
        <v>121208</v>
      </c>
      <c r="T187" s="20">
        <f t="shared" si="4"/>
        <v>69760</v>
      </c>
      <c r="U187" s="21">
        <f t="shared" si="5"/>
        <v>76736</v>
      </c>
    </row>
    <row r="188" spans="1:21" ht="15" customHeight="1" x14ac:dyDescent="0.35">
      <c r="A188" s="6" t="s">
        <v>207</v>
      </c>
      <c r="B188" s="7" t="s">
        <v>393</v>
      </c>
      <c r="C188" s="8" t="s">
        <v>219</v>
      </c>
      <c r="D188" s="9">
        <v>2E-3</v>
      </c>
      <c r="E188" s="64" t="s">
        <v>35</v>
      </c>
      <c r="F188" s="65" t="str">
        <f>IFERROR(VLOOKUP(E188,PROVEEDORES!$A$3:$G$42,2,0),"")</f>
        <v>ABARROTES</v>
      </c>
      <c r="G188" s="66" t="str">
        <f>IFERROR(VLOOKUP(E188,PROVEEDORES!$A$3:$G$42,4,0),"")</f>
        <v>pagos@bidfood.cl,pmolina@bidfood.cl</v>
      </c>
      <c r="H188" s="10" t="str">
        <f>IFERROR(VLOOKUP(E188,PROVEEDORES!$A$3:$G$42,5,0),"")</f>
        <v>56225994444 - 56998038459</v>
      </c>
      <c r="I188" s="11">
        <v>85575</v>
      </c>
      <c r="J188" s="64" t="s">
        <v>105</v>
      </c>
      <c r="K188" s="65" t="str">
        <f>IFERROR(VLOOKUP(J188,PROVEEDORES!$A$3:$G$42,2,0),"")</f>
        <v>ESPECIES</v>
      </c>
      <c r="L188" s="66" t="str">
        <f>IFERROR(VLOOKUP(J188,PROVEEDORES!$A$3:$G$42,4,0),"")</f>
        <v>chef@gourmetselect.cl,contabilidad@gourmetselect.cl,pedidos@gourmetselect.cl,info@gourmetselect.cl</v>
      </c>
      <c r="M188" s="10" t="str">
        <f>IFERROR(VLOOKUP(J188,PROVEEDORES!$A$3:$G$42,5,0),"")</f>
        <v>56944921093</v>
      </c>
      <c r="N188" s="11">
        <v>116639</v>
      </c>
      <c r="O188" s="64" t="s">
        <v>41</v>
      </c>
      <c r="P188" s="65" t="str">
        <f>IFERROR(VLOOKUP(O188,PROVEEDORES!$A$3:$G$42,2,0),"")</f>
        <v>FRUTAS Y VERDURAS</v>
      </c>
      <c r="Q188" s="66" t="str">
        <f>IFERROR(VLOOKUP(O188,PROVEEDORES!$A$3:$G$42,4,0),"")</f>
        <v>caseritaencasa@gmail.com</v>
      </c>
      <c r="R188" s="10" t="str">
        <f>IFERROR(VLOOKUP(O188,PROVEEDORES!$A$3:$G$42,5,0),"")</f>
        <v>56952069703</v>
      </c>
      <c r="S188" s="11">
        <v>56394</v>
      </c>
      <c r="T188" s="12">
        <f t="shared" si="4"/>
        <v>86202.666666666672</v>
      </c>
      <c r="U188" s="13">
        <f t="shared" si="5"/>
        <v>94822.933333333349</v>
      </c>
    </row>
    <row r="189" spans="1:21" ht="15" customHeight="1" x14ac:dyDescent="0.35">
      <c r="A189" s="14" t="s">
        <v>207</v>
      </c>
      <c r="B189" s="15" t="s">
        <v>394</v>
      </c>
      <c r="C189" s="16" t="s">
        <v>219</v>
      </c>
      <c r="D189" s="17">
        <v>6.2500000000000003E-3</v>
      </c>
      <c r="E189" s="67" t="s">
        <v>35</v>
      </c>
      <c r="F189" s="68" t="str">
        <f>IFERROR(VLOOKUP(E189,PROVEEDORES!$A$3:$G$42,2,0),"")</f>
        <v>ABARROTES</v>
      </c>
      <c r="G189" s="69" t="str">
        <f>IFERROR(VLOOKUP(E189,PROVEEDORES!$A$3:$G$42,4,0),"")</f>
        <v>pagos@bidfood.cl,pmolina@bidfood.cl</v>
      </c>
      <c r="H189" s="18" t="str">
        <f>IFERROR(VLOOKUP(E189,PROVEEDORES!$A$3:$G$42,5,0),"")</f>
        <v>56225994444 - 56998038459</v>
      </c>
      <c r="I189" s="19">
        <v>8990</v>
      </c>
      <c r="J189" s="67" t="s">
        <v>105</v>
      </c>
      <c r="K189" s="68" t="str">
        <f>IFERROR(VLOOKUP(J189,PROVEEDORES!$A$3:$G$42,2,0),"")</f>
        <v>ESPECIES</v>
      </c>
      <c r="L189" s="69" t="str">
        <f>IFERROR(VLOOKUP(J189,PROVEEDORES!$A$3:$G$42,4,0),"")</f>
        <v>chef@gourmetselect.cl,contabilidad@gourmetselect.cl,pedidos@gourmetselect.cl,info@gourmetselect.cl</v>
      </c>
      <c r="M189" s="18" t="str">
        <f>IFERROR(VLOOKUP(J189,PROVEEDORES!$A$3:$G$42,5,0),"")</f>
        <v>56944921093</v>
      </c>
      <c r="N189" s="19">
        <v>4715</v>
      </c>
      <c r="O189" s="67" t="s">
        <v>41</v>
      </c>
      <c r="P189" s="68" t="str">
        <f>IFERROR(VLOOKUP(O189,PROVEEDORES!$A$3:$G$42,2,0),"")</f>
        <v>FRUTAS Y VERDURAS</v>
      </c>
      <c r="Q189" s="69" t="str">
        <f>IFERROR(VLOOKUP(O189,PROVEEDORES!$A$3:$G$42,4,0),"")</f>
        <v>caseritaencasa@gmail.com</v>
      </c>
      <c r="R189" s="18" t="str">
        <f>IFERROR(VLOOKUP(O189,PROVEEDORES!$A$3:$G$42,5,0),"")</f>
        <v>56952069703</v>
      </c>
      <c r="S189" s="19">
        <v>11086</v>
      </c>
      <c r="T189" s="20">
        <f t="shared" si="4"/>
        <v>8263.6666666666661</v>
      </c>
      <c r="U189" s="21">
        <f t="shared" si="5"/>
        <v>9090.0333333333328</v>
      </c>
    </row>
    <row r="190" spans="1:21" ht="15" customHeight="1" x14ac:dyDescent="0.35">
      <c r="A190" s="6" t="s">
        <v>207</v>
      </c>
      <c r="B190" s="7" t="s">
        <v>395</v>
      </c>
      <c r="C190" s="8" t="s">
        <v>219</v>
      </c>
      <c r="D190" s="9">
        <v>1E-3</v>
      </c>
      <c r="E190" s="64" t="s">
        <v>35</v>
      </c>
      <c r="F190" s="65" t="str">
        <f>IFERROR(VLOOKUP(E190,PROVEEDORES!$A$3:$G$42,2,0),"")</f>
        <v>ABARROTES</v>
      </c>
      <c r="G190" s="66" t="str">
        <f>IFERROR(VLOOKUP(E190,PROVEEDORES!$A$3:$G$42,4,0),"")</f>
        <v>pagos@bidfood.cl,pmolina@bidfood.cl</v>
      </c>
      <c r="H190" s="10" t="str">
        <f>IFERROR(VLOOKUP(E190,PROVEEDORES!$A$3:$G$42,5,0),"")</f>
        <v>56225994444 - 56998038459</v>
      </c>
      <c r="I190" s="11">
        <v>25424</v>
      </c>
      <c r="J190" s="64" t="s">
        <v>105</v>
      </c>
      <c r="K190" s="65" t="str">
        <f>IFERROR(VLOOKUP(J190,PROVEEDORES!$A$3:$G$42,2,0),"")</f>
        <v>ESPECIES</v>
      </c>
      <c r="L190" s="66" t="str">
        <f>IFERROR(VLOOKUP(J190,PROVEEDORES!$A$3:$G$42,4,0),"")</f>
        <v>chef@gourmetselect.cl,contabilidad@gourmetselect.cl,pedidos@gourmetselect.cl,info@gourmetselect.cl</v>
      </c>
      <c r="M190" s="10" t="str">
        <f>IFERROR(VLOOKUP(J190,PROVEEDORES!$A$3:$G$42,5,0),"")</f>
        <v>56944921093</v>
      </c>
      <c r="N190" s="11">
        <v>11924</v>
      </c>
      <c r="O190" s="64" t="s">
        <v>41</v>
      </c>
      <c r="P190" s="65" t="str">
        <f>IFERROR(VLOOKUP(O190,PROVEEDORES!$A$3:$G$42,2,0),"")</f>
        <v>FRUTAS Y VERDURAS</v>
      </c>
      <c r="Q190" s="66" t="str">
        <f>IFERROR(VLOOKUP(O190,PROVEEDORES!$A$3:$G$42,4,0),"")</f>
        <v>caseritaencasa@gmail.com</v>
      </c>
      <c r="R190" s="10" t="str">
        <f>IFERROR(VLOOKUP(O190,PROVEEDORES!$A$3:$G$42,5,0),"")</f>
        <v>56952069703</v>
      </c>
      <c r="S190" s="11">
        <v>13846</v>
      </c>
      <c r="T190" s="12">
        <f t="shared" si="4"/>
        <v>17064.666666666668</v>
      </c>
      <c r="U190" s="13">
        <f t="shared" si="5"/>
        <v>18771.133333333335</v>
      </c>
    </row>
    <row r="191" spans="1:21" ht="15" customHeight="1" x14ac:dyDescent="0.35">
      <c r="A191" s="14" t="s">
        <v>207</v>
      </c>
      <c r="B191" s="15" t="s">
        <v>396</v>
      </c>
      <c r="C191" s="16" t="s">
        <v>219</v>
      </c>
      <c r="D191" s="17">
        <v>5.1250000000000002E-3</v>
      </c>
      <c r="E191" s="67" t="s">
        <v>35</v>
      </c>
      <c r="F191" s="68" t="str">
        <f>IFERROR(VLOOKUP(E191,PROVEEDORES!$A$3:$G$42,2,0),"")</f>
        <v>ABARROTES</v>
      </c>
      <c r="G191" s="69" t="str">
        <f>IFERROR(VLOOKUP(E191,PROVEEDORES!$A$3:$G$42,4,0),"")</f>
        <v>pagos@bidfood.cl,pmolina@bidfood.cl</v>
      </c>
      <c r="H191" s="18" t="str">
        <f>IFERROR(VLOOKUP(E191,PROVEEDORES!$A$3:$G$42,5,0),"")</f>
        <v>56225994444 - 56998038459</v>
      </c>
      <c r="I191" s="19">
        <v>14875</v>
      </c>
      <c r="J191" s="67" t="s">
        <v>105</v>
      </c>
      <c r="K191" s="68" t="str">
        <f>IFERROR(VLOOKUP(J191,PROVEEDORES!$A$3:$G$42,2,0),"")</f>
        <v>ESPECIES</v>
      </c>
      <c r="L191" s="69" t="str">
        <f>IFERROR(VLOOKUP(J191,PROVEEDORES!$A$3:$G$42,4,0),"")</f>
        <v>chef@gourmetselect.cl,contabilidad@gourmetselect.cl,pedidos@gourmetselect.cl,info@gourmetselect.cl</v>
      </c>
      <c r="M191" s="18" t="str">
        <f>IFERROR(VLOOKUP(J191,PROVEEDORES!$A$3:$G$42,5,0),"")</f>
        <v>56944921093</v>
      </c>
      <c r="N191" s="19">
        <v>7579</v>
      </c>
      <c r="O191" s="67" t="s">
        <v>41</v>
      </c>
      <c r="P191" s="68" t="str">
        <f>IFERROR(VLOOKUP(O191,PROVEEDORES!$A$3:$G$42,2,0),"")</f>
        <v>FRUTAS Y VERDURAS</v>
      </c>
      <c r="Q191" s="69" t="str">
        <f>IFERROR(VLOOKUP(O191,PROVEEDORES!$A$3:$G$42,4,0),"")</f>
        <v>caseritaencasa@gmail.com</v>
      </c>
      <c r="R191" s="18" t="str">
        <f>IFERROR(VLOOKUP(O191,PROVEEDORES!$A$3:$G$42,5,0),"")</f>
        <v>56952069703</v>
      </c>
      <c r="S191" s="19">
        <v>3552</v>
      </c>
      <c r="T191" s="20">
        <f t="shared" si="4"/>
        <v>8668.6666666666661</v>
      </c>
      <c r="U191" s="21">
        <f t="shared" si="5"/>
        <v>9535.5333333333328</v>
      </c>
    </row>
    <row r="192" spans="1:21" ht="15" customHeight="1" x14ac:dyDescent="0.35">
      <c r="A192" s="6" t="s">
        <v>207</v>
      </c>
      <c r="B192" s="7" t="s">
        <v>397</v>
      </c>
      <c r="C192" s="8" t="s">
        <v>219</v>
      </c>
      <c r="D192" s="9">
        <v>3.9125E-2</v>
      </c>
      <c r="E192" s="64" t="s">
        <v>35</v>
      </c>
      <c r="F192" s="65" t="str">
        <f>IFERROR(VLOOKUP(E192,PROVEEDORES!$A$3:$G$42,2,0),"")</f>
        <v>ABARROTES</v>
      </c>
      <c r="G192" s="66" t="str">
        <f>IFERROR(VLOOKUP(E192,PROVEEDORES!$A$3:$G$42,4,0),"")</f>
        <v>pagos@bidfood.cl,pmolina@bidfood.cl</v>
      </c>
      <c r="H192" s="10" t="str">
        <f>IFERROR(VLOOKUP(E192,PROVEEDORES!$A$3:$G$42,5,0),"")</f>
        <v>56225994444 - 56998038459</v>
      </c>
      <c r="I192" s="11">
        <v>20060</v>
      </c>
      <c r="J192" s="64" t="s">
        <v>105</v>
      </c>
      <c r="K192" s="65" t="str">
        <f>IFERROR(VLOOKUP(J192,PROVEEDORES!$A$3:$G$42,2,0),"")</f>
        <v>ESPECIES</v>
      </c>
      <c r="L192" s="66" t="str">
        <f>IFERROR(VLOOKUP(J192,PROVEEDORES!$A$3:$G$42,4,0),"")</f>
        <v>chef@gourmetselect.cl,contabilidad@gourmetselect.cl,pedidos@gourmetselect.cl,info@gourmetselect.cl</v>
      </c>
      <c r="M192" s="10" t="str">
        <f>IFERROR(VLOOKUP(J192,PROVEEDORES!$A$3:$G$42,5,0),"")</f>
        <v>56944921093</v>
      </c>
      <c r="N192" s="11">
        <v>19217</v>
      </c>
      <c r="O192" s="64" t="s">
        <v>41</v>
      </c>
      <c r="P192" s="65" t="str">
        <f>IFERROR(VLOOKUP(O192,PROVEEDORES!$A$3:$G$42,2,0),"")</f>
        <v>FRUTAS Y VERDURAS</v>
      </c>
      <c r="Q192" s="66" t="str">
        <f>IFERROR(VLOOKUP(O192,PROVEEDORES!$A$3:$G$42,4,0),"")</f>
        <v>caseritaencasa@gmail.com</v>
      </c>
      <c r="R192" s="10" t="str">
        <f>IFERROR(VLOOKUP(O192,PROVEEDORES!$A$3:$G$42,5,0),"")</f>
        <v>56952069703</v>
      </c>
      <c r="S192" s="11">
        <v>4658</v>
      </c>
      <c r="T192" s="12">
        <f t="shared" si="4"/>
        <v>14645</v>
      </c>
      <c r="U192" s="13">
        <f t="shared" si="5"/>
        <v>16109.500000000002</v>
      </c>
    </row>
    <row r="193" spans="1:21" ht="15" customHeight="1" x14ac:dyDescent="0.35">
      <c r="A193" s="14" t="s">
        <v>207</v>
      </c>
      <c r="B193" s="15" t="s">
        <v>398</v>
      </c>
      <c r="C193" s="16" t="s">
        <v>219</v>
      </c>
      <c r="D193" s="17">
        <v>8.1900000000000001E-2</v>
      </c>
      <c r="E193" s="67" t="s">
        <v>35</v>
      </c>
      <c r="F193" s="68" t="str">
        <f>IFERROR(VLOOKUP(E193,PROVEEDORES!$A$3:$G$42,2,0),"")</f>
        <v>ABARROTES</v>
      </c>
      <c r="G193" s="69" t="str">
        <f>IFERROR(VLOOKUP(E193,PROVEEDORES!$A$3:$G$42,4,0),"")</f>
        <v>pagos@bidfood.cl,pmolina@bidfood.cl</v>
      </c>
      <c r="H193" s="18" t="str">
        <f>IFERROR(VLOOKUP(E193,PROVEEDORES!$A$3:$G$42,5,0),"")</f>
        <v>56225994444 - 56998038459</v>
      </c>
      <c r="I193" s="19">
        <v>21084</v>
      </c>
      <c r="J193" s="67" t="s">
        <v>105</v>
      </c>
      <c r="K193" s="68" t="str">
        <f>IFERROR(VLOOKUP(J193,PROVEEDORES!$A$3:$G$42,2,0),"")</f>
        <v>ESPECIES</v>
      </c>
      <c r="L193" s="69" t="str">
        <f>IFERROR(VLOOKUP(J193,PROVEEDORES!$A$3:$G$42,4,0),"")</f>
        <v>chef@gourmetselect.cl,contabilidad@gourmetselect.cl,pedidos@gourmetselect.cl,info@gourmetselect.cl</v>
      </c>
      <c r="M193" s="18" t="str">
        <f>IFERROR(VLOOKUP(J193,PROVEEDORES!$A$3:$G$42,5,0),"")</f>
        <v>56944921093</v>
      </c>
      <c r="N193" s="19">
        <v>5271</v>
      </c>
      <c r="O193" s="67" t="s">
        <v>41</v>
      </c>
      <c r="P193" s="68" t="str">
        <f>IFERROR(VLOOKUP(O193,PROVEEDORES!$A$3:$G$42,2,0),"")</f>
        <v>FRUTAS Y VERDURAS</v>
      </c>
      <c r="Q193" s="69" t="str">
        <f>IFERROR(VLOOKUP(O193,PROVEEDORES!$A$3:$G$42,4,0),"")</f>
        <v>caseritaencasa@gmail.com</v>
      </c>
      <c r="R193" s="18" t="str">
        <f>IFERROR(VLOOKUP(O193,PROVEEDORES!$A$3:$G$42,5,0),"")</f>
        <v>56952069703</v>
      </c>
      <c r="S193" s="19">
        <v>23542</v>
      </c>
      <c r="T193" s="20">
        <f t="shared" si="4"/>
        <v>16632.333333333332</v>
      </c>
      <c r="U193" s="21">
        <f t="shared" si="5"/>
        <v>18295.566666666666</v>
      </c>
    </row>
    <row r="194" spans="1:21" ht="15" customHeight="1" x14ac:dyDescent="0.35">
      <c r="A194" s="6" t="s">
        <v>207</v>
      </c>
      <c r="B194" s="7" t="s">
        <v>399</v>
      </c>
      <c r="C194" s="8" t="s">
        <v>219</v>
      </c>
      <c r="D194" s="9">
        <v>0.25</v>
      </c>
      <c r="E194" s="64" t="s">
        <v>35</v>
      </c>
      <c r="F194" s="65" t="str">
        <f>IFERROR(VLOOKUP(E194,PROVEEDORES!$A$3:$G$42,2,0),"")</f>
        <v>ABARROTES</v>
      </c>
      <c r="G194" s="66" t="str">
        <f>IFERROR(VLOOKUP(E194,PROVEEDORES!$A$3:$G$42,4,0),"")</f>
        <v>pagos@bidfood.cl,pmolina@bidfood.cl</v>
      </c>
      <c r="H194" s="10" t="str">
        <f>IFERROR(VLOOKUP(E194,PROVEEDORES!$A$3:$G$42,5,0),"")</f>
        <v>56225994444 - 56998038459</v>
      </c>
      <c r="I194" s="11">
        <v>2729</v>
      </c>
      <c r="J194" s="64" t="s">
        <v>105</v>
      </c>
      <c r="K194" s="65" t="str">
        <f>IFERROR(VLOOKUP(J194,PROVEEDORES!$A$3:$G$42,2,0),"")</f>
        <v>ESPECIES</v>
      </c>
      <c r="L194" s="66" t="str">
        <f>IFERROR(VLOOKUP(J194,PROVEEDORES!$A$3:$G$42,4,0),"")</f>
        <v>chef@gourmetselect.cl,contabilidad@gourmetselect.cl,pedidos@gourmetselect.cl,info@gourmetselect.cl</v>
      </c>
      <c r="M194" s="10" t="str">
        <f>IFERROR(VLOOKUP(J194,PROVEEDORES!$A$3:$G$42,5,0),"")</f>
        <v>56944921093</v>
      </c>
      <c r="N194" s="11">
        <v>3097</v>
      </c>
      <c r="O194" s="64" t="s">
        <v>41</v>
      </c>
      <c r="P194" s="65" t="str">
        <f>IFERROR(VLOOKUP(O194,PROVEEDORES!$A$3:$G$42,2,0),"")</f>
        <v>FRUTAS Y VERDURAS</v>
      </c>
      <c r="Q194" s="66" t="str">
        <f>IFERROR(VLOOKUP(O194,PROVEEDORES!$A$3:$G$42,4,0),"")</f>
        <v>caseritaencasa@gmail.com</v>
      </c>
      <c r="R194" s="10" t="str">
        <f>IFERROR(VLOOKUP(O194,PROVEEDORES!$A$3:$G$42,5,0),"")</f>
        <v>56952069703</v>
      </c>
      <c r="S194" s="11">
        <v>3353</v>
      </c>
      <c r="T194" s="12">
        <f t="shared" si="4"/>
        <v>3059.6666666666665</v>
      </c>
      <c r="U194" s="13">
        <f t="shared" si="5"/>
        <v>3365.6333333333332</v>
      </c>
    </row>
    <row r="195" spans="1:21" ht="15" customHeight="1" x14ac:dyDescent="0.35">
      <c r="A195" s="14" t="s">
        <v>207</v>
      </c>
      <c r="B195" s="15" t="s">
        <v>400</v>
      </c>
      <c r="C195" s="16" t="s">
        <v>219</v>
      </c>
      <c r="D195" s="17">
        <v>0.01</v>
      </c>
      <c r="E195" s="67" t="s">
        <v>35</v>
      </c>
      <c r="F195" s="68" t="str">
        <f>IFERROR(VLOOKUP(E195,PROVEEDORES!$A$3:$G$42,2,0),"")</f>
        <v>ABARROTES</v>
      </c>
      <c r="G195" s="69" t="str">
        <f>IFERROR(VLOOKUP(E195,PROVEEDORES!$A$3:$G$42,4,0),"")</f>
        <v>pagos@bidfood.cl,pmolina@bidfood.cl</v>
      </c>
      <c r="H195" s="18" t="str">
        <f>IFERROR(VLOOKUP(E195,PROVEEDORES!$A$3:$G$42,5,0),"")</f>
        <v>56225994444 - 56998038459</v>
      </c>
      <c r="I195" s="19">
        <v>73880</v>
      </c>
      <c r="J195" s="67" t="s">
        <v>105</v>
      </c>
      <c r="K195" s="68" t="str">
        <f>IFERROR(VLOOKUP(J195,PROVEEDORES!$A$3:$G$42,2,0),"")</f>
        <v>ESPECIES</v>
      </c>
      <c r="L195" s="69" t="str">
        <f>IFERROR(VLOOKUP(J195,PROVEEDORES!$A$3:$G$42,4,0),"")</f>
        <v>chef@gourmetselect.cl,contabilidad@gourmetselect.cl,pedidos@gourmetselect.cl,info@gourmetselect.cl</v>
      </c>
      <c r="M195" s="18" t="str">
        <f>IFERROR(VLOOKUP(J195,PROVEEDORES!$A$3:$G$42,5,0),"")</f>
        <v>56944921093</v>
      </c>
      <c r="N195" s="19">
        <v>60803</v>
      </c>
      <c r="O195" s="67" t="s">
        <v>41</v>
      </c>
      <c r="P195" s="68" t="str">
        <f>IFERROR(VLOOKUP(O195,PROVEEDORES!$A$3:$G$42,2,0),"")</f>
        <v>FRUTAS Y VERDURAS</v>
      </c>
      <c r="Q195" s="69" t="str">
        <f>IFERROR(VLOOKUP(O195,PROVEEDORES!$A$3:$G$42,4,0),"")</f>
        <v>caseritaencasa@gmail.com</v>
      </c>
      <c r="R195" s="18" t="str">
        <f>IFERROR(VLOOKUP(O195,PROVEEDORES!$A$3:$G$42,5,0),"")</f>
        <v>56952069703</v>
      </c>
      <c r="S195" s="19">
        <v>78431</v>
      </c>
      <c r="T195" s="20">
        <f t="shared" si="4"/>
        <v>71038</v>
      </c>
      <c r="U195" s="21">
        <f t="shared" si="5"/>
        <v>78141.8</v>
      </c>
    </row>
    <row r="196" spans="1:21" ht="15" customHeight="1" x14ac:dyDescent="0.35">
      <c r="A196" s="6" t="s">
        <v>207</v>
      </c>
      <c r="B196" s="7" t="s">
        <v>401</v>
      </c>
      <c r="C196" s="8" t="s">
        <v>219</v>
      </c>
      <c r="D196" s="9">
        <v>7.0000000000000007E-2</v>
      </c>
      <c r="E196" s="64" t="s">
        <v>35</v>
      </c>
      <c r="F196" s="65" t="str">
        <f>IFERROR(VLOOKUP(E196,PROVEEDORES!$A$3:$G$42,2,0),"")</f>
        <v>ABARROTES</v>
      </c>
      <c r="G196" s="66" t="str">
        <f>IFERROR(VLOOKUP(E196,PROVEEDORES!$A$3:$G$42,4,0),"")</f>
        <v>pagos@bidfood.cl,pmolina@bidfood.cl</v>
      </c>
      <c r="H196" s="10" t="str">
        <f>IFERROR(VLOOKUP(E196,PROVEEDORES!$A$3:$G$42,5,0),"")</f>
        <v>56225994444 - 56998038459</v>
      </c>
      <c r="I196" s="11">
        <v>2147</v>
      </c>
      <c r="J196" s="64" t="s">
        <v>105</v>
      </c>
      <c r="K196" s="65" t="str">
        <f>IFERROR(VLOOKUP(J196,PROVEEDORES!$A$3:$G$42,2,0),"")</f>
        <v>ESPECIES</v>
      </c>
      <c r="L196" s="66" t="str">
        <f>IFERROR(VLOOKUP(J196,PROVEEDORES!$A$3:$G$42,4,0),"")</f>
        <v>chef@gourmetselect.cl,contabilidad@gourmetselect.cl,pedidos@gourmetselect.cl,info@gourmetselect.cl</v>
      </c>
      <c r="M196" s="10" t="str">
        <f>IFERROR(VLOOKUP(J196,PROVEEDORES!$A$3:$G$42,5,0),"")</f>
        <v>56944921093</v>
      </c>
      <c r="N196" s="11">
        <v>2124</v>
      </c>
      <c r="O196" s="64" t="s">
        <v>41</v>
      </c>
      <c r="P196" s="65" t="str">
        <f>IFERROR(VLOOKUP(O196,PROVEEDORES!$A$3:$G$42,2,0),"")</f>
        <v>FRUTAS Y VERDURAS</v>
      </c>
      <c r="Q196" s="66" t="str">
        <f>IFERROR(VLOOKUP(O196,PROVEEDORES!$A$3:$G$42,4,0),"")</f>
        <v>caseritaencasa@gmail.com</v>
      </c>
      <c r="R196" s="10" t="str">
        <f>IFERROR(VLOOKUP(O196,PROVEEDORES!$A$3:$G$42,5,0),"")</f>
        <v>56952069703</v>
      </c>
      <c r="S196" s="11">
        <v>4301</v>
      </c>
      <c r="T196" s="12">
        <f t="shared" si="4"/>
        <v>2857.3333333333335</v>
      </c>
      <c r="U196" s="13">
        <f t="shared" si="5"/>
        <v>3143.0666666666671</v>
      </c>
    </row>
    <row r="197" spans="1:21" ht="15" customHeight="1" x14ac:dyDescent="0.35">
      <c r="A197" s="14" t="s">
        <v>207</v>
      </c>
      <c r="B197" s="15" t="s">
        <v>402</v>
      </c>
      <c r="C197" s="16" t="s">
        <v>219</v>
      </c>
      <c r="D197" s="17">
        <v>8.2812499999999997E-2</v>
      </c>
      <c r="E197" s="67" t="s">
        <v>35</v>
      </c>
      <c r="F197" s="68" t="str">
        <f>IFERROR(VLOOKUP(E197,PROVEEDORES!$A$3:$G$42,2,0),"")</f>
        <v>ABARROTES</v>
      </c>
      <c r="G197" s="69" t="str">
        <f>IFERROR(VLOOKUP(E197,PROVEEDORES!$A$3:$G$42,4,0),"")</f>
        <v>pagos@bidfood.cl,pmolina@bidfood.cl</v>
      </c>
      <c r="H197" s="18" t="str">
        <f>IFERROR(VLOOKUP(E197,PROVEEDORES!$A$3:$G$42,5,0),"")</f>
        <v>56225994444 - 56998038459</v>
      </c>
      <c r="I197" s="19">
        <v>1397</v>
      </c>
      <c r="J197" s="67" t="s">
        <v>105</v>
      </c>
      <c r="K197" s="68" t="str">
        <f>IFERROR(VLOOKUP(J197,PROVEEDORES!$A$3:$G$42,2,0),"")</f>
        <v>ESPECIES</v>
      </c>
      <c r="L197" s="69" t="str">
        <f>IFERROR(VLOOKUP(J197,PROVEEDORES!$A$3:$G$42,4,0),"")</f>
        <v>chef@gourmetselect.cl,contabilidad@gourmetselect.cl,pedidos@gourmetselect.cl,info@gourmetselect.cl</v>
      </c>
      <c r="M197" s="18" t="str">
        <f>IFERROR(VLOOKUP(J197,PROVEEDORES!$A$3:$G$42,5,0),"")</f>
        <v>56944921093</v>
      </c>
      <c r="N197" s="19">
        <v>997</v>
      </c>
      <c r="O197" s="67" t="s">
        <v>41</v>
      </c>
      <c r="P197" s="68" t="str">
        <f>IFERROR(VLOOKUP(O197,PROVEEDORES!$A$3:$G$42,2,0),"")</f>
        <v>FRUTAS Y VERDURAS</v>
      </c>
      <c r="Q197" s="69" t="str">
        <f>IFERROR(VLOOKUP(O197,PROVEEDORES!$A$3:$G$42,4,0),"")</f>
        <v>caseritaencasa@gmail.com</v>
      </c>
      <c r="R197" s="18" t="str">
        <f>IFERROR(VLOOKUP(O197,PROVEEDORES!$A$3:$G$42,5,0),"")</f>
        <v>56952069703</v>
      </c>
      <c r="S197" s="19">
        <v>1422</v>
      </c>
      <c r="T197" s="20">
        <f t="shared" si="4"/>
        <v>1272</v>
      </c>
      <c r="U197" s="21">
        <f t="shared" si="5"/>
        <v>1399.2</v>
      </c>
    </row>
    <row r="198" spans="1:21" ht="15" customHeight="1" x14ac:dyDescent="0.35">
      <c r="A198" s="6" t="s">
        <v>207</v>
      </c>
      <c r="B198" s="7" t="s">
        <v>403</v>
      </c>
      <c r="C198" s="8" t="s">
        <v>219</v>
      </c>
      <c r="D198" s="9">
        <v>2.2499999999999998E-3</v>
      </c>
      <c r="E198" s="64" t="s">
        <v>35</v>
      </c>
      <c r="F198" s="65" t="str">
        <f>IFERROR(VLOOKUP(E198,PROVEEDORES!$A$3:$G$42,2,0),"")</f>
        <v>ABARROTES</v>
      </c>
      <c r="G198" s="66" t="str">
        <f>IFERROR(VLOOKUP(E198,PROVEEDORES!$A$3:$G$42,4,0),"")</f>
        <v>pagos@bidfood.cl,pmolina@bidfood.cl</v>
      </c>
      <c r="H198" s="10" t="str">
        <f>IFERROR(VLOOKUP(E198,PROVEEDORES!$A$3:$G$42,5,0),"")</f>
        <v>56225994444 - 56998038459</v>
      </c>
      <c r="I198" s="11">
        <v>108160</v>
      </c>
      <c r="J198" s="64" t="s">
        <v>105</v>
      </c>
      <c r="K198" s="65" t="str">
        <f>IFERROR(VLOOKUP(J198,PROVEEDORES!$A$3:$G$42,2,0),"")</f>
        <v>ESPECIES</v>
      </c>
      <c r="L198" s="66" t="str">
        <f>IFERROR(VLOOKUP(J198,PROVEEDORES!$A$3:$G$42,4,0),"")</f>
        <v>chef@gourmetselect.cl,contabilidad@gourmetselect.cl,pedidos@gourmetselect.cl,info@gourmetselect.cl</v>
      </c>
      <c r="M198" s="10" t="str">
        <f>IFERROR(VLOOKUP(J198,PROVEEDORES!$A$3:$G$42,5,0),"")</f>
        <v>56944921093</v>
      </c>
      <c r="N198" s="11">
        <v>114325</v>
      </c>
      <c r="O198" s="64" t="s">
        <v>41</v>
      </c>
      <c r="P198" s="65" t="str">
        <f>IFERROR(VLOOKUP(O198,PROVEEDORES!$A$3:$G$42,2,0),"")</f>
        <v>FRUTAS Y VERDURAS</v>
      </c>
      <c r="Q198" s="66" t="str">
        <f>IFERROR(VLOOKUP(O198,PROVEEDORES!$A$3:$G$42,4,0),"")</f>
        <v>caseritaencasa@gmail.com</v>
      </c>
      <c r="R198" s="10" t="str">
        <f>IFERROR(VLOOKUP(O198,PROVEEDORES!$A$3:$G$42,5,0),"")</f>
        <v>56952069703</v>
      </c>
      <c r="S198" s="11">
        <v>208100</v>
      </c>
      <c r="T198" s="12">
        <f t="shared" ref="T198:T244" si="6">AVERAGE(I198,N198,S198)</f>
        <v>143528.33333333334</v>
      </c>
      <c r="U198" s="13">
        <f t="shared" ref="U198:U244" si="7">T198*(1+$B$2)</f>
        <v>157881.16666666669</v>
      </c>
    </row>
    <row r="199" spans="1:21" ht="15" customHeight="1" x14ac:dyDescent="0.35">
      <c r="A199" s="14" t="s">
        <v>207</v>
      </c>
      <c r="B199" s="15" t="s">
        <v>404</v>
      </c>
      <c r="C199" s="16" t="s">
        <v>219</v>
      </c>
      <c r="D199" s="17">
        <v>4.0000000000000001E-3</v>
      </c>
      <c r="E199" s="67" t="s">
        <v>35</v>
      </c>
      <c r="F199" s="68" t="str">
        <f>IFERROR(VLOOKUP(E199,PROVEEDORES!$A$3:$G$42,2,0),"")</f>
        <v>ABARROTES</v>
      </c>
      <c r="G199" s="69" t="str">
        <f>IFERROR(VLOOKUP(E199,PROVEEDORES!$A$3:$G$42,4,0),"")</f>
        <v>pagos@bidfood.cl,pmolina@bidfood.cl</v>
      </c>
      <c r="H199" s="18" t="str">
        <f>IFERROR(VLOOKUP(E199,PROVEEDORES!$A$3:$G$42,5,0),"")</f>
        <v>56225994444 - 56998038459</v>
      </c>
      <c r="I199" s="19">
        <v>45500</v>
      </c>
      <c r="J199" s="67" t="s">
        <v>105</v>
      </c>
      <c r="K199" s="68" t="str">
        <f>IFERROR(VLOOKUP(J199,PROVEEDORES!$A$3:$G$42,2,0),"")</f>
        <v>ESPECIES</v>
      </c>
      <c r="L199" s="69" t="str">
        <f>IFERROR(VLOOKUP(J199,PROVEEDORES!$A$3:$G$42,4,0),"")</f>
        <v>chef@gourmetselect.cl,contabilidad@gourmetselect.cl,pedidos@gourmetselect.cl,info@gourmetselect.cl</v>
      </c>
      <c r="M199" s="18" t="str">
        <f>IFERROR(VLOOKUP(J199,PROVEEDORES!$A$3:$G$42,5,0),"")</f>
        <v>56944921093</v>
      </c>
      <c r="N199" s="19">
        <v>24138</v>
      </c>
      <c r="O199" s="67" t="s">
        <v>41</v>
      </c>
      <c r="P199" s="68" t="str">
        <f>IFERROR(VLOOKUP(O199,PROVEEDORES!$A$3:$G$42,2,0),"")</f>
        <v>FRUTAS Y VERDURAS</v>
      </c>
      <c r="Q199" s="69" t="str">
        <f>IFERROR(VLOOKUP(O199,PROVEEDORES!$A$3:$G$42,4,0),"")</f>
        <v>caseritaencasa@gmail.com</v>
      </c>
      <c r="R199" s="18" t="str">
        <f>IFERROR(VLOOKUP(O199,PROVEEDORES!$A$3:$G$42,5,0),"")</f>
        <v>56952069703</v>
      </c>
      <c r="S199" s="19">
        <v>83938</v>
      </c>
      <c r="T199" s="20">
        <f t="shared" si="6"/>
        <v>51192</v>
      </c>
      <c r="U199" s="21">
        <f t="shared" si="7"/>
        <v>56311.200000000004</v>
      </c>
    </row>
    <row r="200" spans="1:21" ht="15" customHeight="1" x14ac:dyDescent="0.35">
      <c r="A200" s="6" t="s">
        <v>207</v>
      </c>
      <c r="B200" s="7" t="s">
        <v>405</v>
      </c>
      <c r="C200" s="8" t="s">
        <v>219</v>
      </c>
      <c r="D200" s="9">
        <v>0.01</v>
      </c>
      <c r="E200" s="64" t="s">
        <v>35</v>
      </c>
      <c r="F200" s="65" t="str">
        <f>IFERROR(VLOOKUP(E200,PROVEEDORES!$A$3:$G$42,2,0),"")</f>
        <v>ABARROTES</v>
      </c>
      <c r="G200" s="66" t="str">
        <f>IFERROR(VLOOKUP(E200,PROVEEDORES!$A$3:$G$42,4,0),"")</f>
        <v>pagos@bidfood.cl,pmolina@bidfood.cl</v>
      </c>
      <c r="H200" s="10" t="str">
        <f>IFERROR(VLOOKUP(E200,PROVEEDORES!$A$3:$G$42,5,0),"")</f>
        <v>56225994444 - 56998038459</v>
      </c>
      <c r="I200" s="11">
        <v>24333</v>
      </c>
      <c r="J200" s="64" t="s">
        <v>105</v>
      </c>
      <c r="K200" s="65" t="str">
        <f>IFERROR(VLOOKUP(J200,PROVEEDORES!$A$3:$G$42,2,0),"")</f>
        <v>ESPECIES</v>
      </c>
      <c r="L200" s="66" t="str">
        <f>IFERROR(VLOOKUP(J200,PROVEEDORES!$A$3:$G$42,4,0),"")</f>
        <v>chef@gourmetselect.cl,contabilidad@gourmetselect.cl,pedidos@gourmetselect.cl,info@gourmetselect.cl</v>
      </c>
      <c r="M200" s="10" t="str">
        <f>IFERROR(VLOOKUP(J200,PROVEEDORES!$A$3:$G$42,5,0),"")</f>
        <v>56944921093</v>
      </c>
      <c r="N200" s="11">
        <v>25099</v>
      </c>
      <c r="O200" s="64" t="s">
        <v>41</v>
      </c>
      <c r="P200" s="65" t="str">
        <f>IFERROR(VLOOKUP(O200,PROVEEDORES!$A$3:$G$42,2,0),"")</f>
        <v>FRUTAS Y VERDURAS</v>
      </c>
      <c r="Q200" s="66" t="str">
        <f>IFERROR(VLOOKUP(O200,PROVEEDORES!$A$3:$G$42,4,0),"")</f>
        <v>caseritaencasa@gmail.com</v>
      </c>
      <c r="R200" s="10" t="str">
        <f>IFERROR(VLOOKUP(O200,PROVEEDORES!$A$3:$G$42,5,0),"")</f>
        <v>56952069703</v>
      </c>
      <c r="S200" s="11">
        <v>3027</v>
      </c>
      <c r="T200" s="12">
        <f t="shared" si="6"/>
        <v>17486.333333333332</v>
      </c>
      <c r="U200" s="13">
        <f t="shared" si="7"/>
        <v>19234.966666666667</v>
      </c>
    </row>
    <row r="201" spans="1:21" ht="15" customHeight="1" x14ac:dyDescent="0.35">
      <c r="A201" s="14" t="s">
        <v>207</v>
      </c>
      <c r="B201" s="15" t="s">
        <v>406</v>
      </c>
      <c r="C201" s="16" t="s">
        <v>219</v>
      </c>
      <c r="D201" s="17">
        <v>1.7299999999999999E-2</v>
      </c>
      <c r="E201" s="67" t="s">
        <v>35</v>
      </c>
      <c r="F201" s="68" t="str">
        <f>IFERROR(VLOOKUP(E201,PROVEEDORES!$A$3:$G$42,2,0),"")</f>
        <v>ABARROTES</v>
      </c>
      <c r="G201" s="69" t="str">
        <f>IFERROR(VLOOKUP(E201,PROVEEDORES!$A$3:$G$42,4,0),"")</f>
        <v>pagos@bidfood.cl,pmolina@bidfood.cl</v>
      </c>
      <c r="H201" s="18" t="str">
        <f>IFERROR(VLOOKUP(E201,PROVEEDORES!$A$3:$G$42,5,0),"")</f>
        <v>56225994444 - 56998038459</v>
      </c>
      <c r="I201" s="19">
        <v>123600</v>
      </c>
      <c r="J201" s="67" t="s">
        <v>105</v>
      </c>
      <c r="K201" s="68" t="str">
        <f>IFERROR(VLOOKUP(J201,PROVEEDORES!$A$3:$G$42,2,0),"")</f>
        <v>ESPECIES</v>
      </c>
      <c r="L201" s="69" t="str">
        <f>IFERROR(VLOOKUP(J201,PROVEEDORES!$A$3:$G$42,4,0),"")</f>
        <v>chef@gourmetselect.cl,contabilidad@gourmetselect.cl,pedidos@gourmetselect.cl,info@gourmetselect.cl</v>
      </c>
      <c r="M201" s="18" t="str">
        <f>IFERROR(VLOOKUP(J201,PROVEEDORES!$A$3:$G$42,5,0),"")</f>
        <v>56944921093</v>
      </c>
      <c r="N201" s="19">
        <v>135651</v>
      </c>
      <c r="O201" s="67" t="s">
        <v>41</v>
      </c>
      <c r="P201" s="68" t="str">
        <f>IFERROR(VLOOKUP(O201,PROVEEDORES!$A$3:$G$42,2,0),"")</f>
        <v>FRUTAS Y VERDURAS</v>
      </c>
      <c r="Q201" s="69" t="str">
        <f>IFERROR(VLOOKUP(O201,PROVEEDORES!$A$3:$G$42,4,0),"")</f>
        <v>caseritaencasa@gmail.com</v>
      </c>
      <c r="R201" s="18" t="str">
        <f>IFERROR(VLOOKUP(O201,PROVEEDORES!$A$3:$G$42,5,0),"")</f>
        <v>56952069703</v>
      </c>
      <c r="S201" s="19">
        <v>-7194</v>
      </c>
      <c r="T201" s="20">
        <f t="shared" si="6"/>
        <v>84019</v>
      </c>
      <c r="U201" s="21">
        <f t="shared" si="7"/>
        <v>92420.900000000009</v>
      </c>
    </row>
    <row r="202" spans="1:21" ht="15" customHeight="1" x14ac:dyDescent="0.35">
      <c r="A202" s="6" t="s">
        <v>207</v>
      </c>
      <c r="B202" s="7" t="s">
        <v>407</v>
      </c>
      <c r="C202" s="8" t="s">
        <v>219</v>
      </c>
      <c r="D202" s="9">
        <v>8.0750000000000002E-2</v>
      </c>
      <c r="E202" s="64" t="s">
        <v>35</v>
      </c>
      <c r="F202" s="65" t="str">
        <f>IFERROR(VLOOKUP(E202,PROVEEDORES!$A$3:$G$42,2,0),"")</f>
        <v>ABARROTES</v>
      </c>
      <c r="G202" s="66" t="str">
        <f>IFERROR(VLOOKUP(E202,PROVEEDORES!$A$3:$G$42,4,0),"")</f>
        <v>pagos@bidfood.cl,pmolina@bidfood.cl</v>
      </c>
      <c r="H202" s="10" t="str">
        <f>IFERROR(VLOOKUP(E202,PROVEEDORES!$A$3:$G$42,5,0),"")</f>
        <v>56225994444 - 56998038459</v>
      </c>
      <c r="I202" s="11">
        <v>6061</v>
      </c>
      <c r="J202" s="64" t="s">
        <v>105</v>
      </c>
      <c r="K202" s="65" t="str">
        <f>IFERROR(VLOOKUP(J202,PROVEEDORES!$A$3:$G$42,2,0),"")</f>
        <v>ESPECIES</v>
      </c>
      <c r="L202" s="66" t="str">
        <f>IFERROR(VLOOKUP(J202,PROVEEDORES!$A$3:$G$42,4,0),"")</f>
        <v>chef@gourmetselect.cl,contabilidad@gourmetselect.cl,pedidos@gourmetselect.cl,info@gourmetselect.cl</v>
      </c>
      <c r="M202" s="10" t="str">
        <f>IFERROR(VLOOKUP(J202,PROVEEDORES!$A$3:$G$42,5,0),"")</f>
        <v>56944921093</v>
      </c>
      <c r="N202" s="11">
        <v>7661</v>
      </c>
      <c r="O202" s="64" t="s">
        <v>41</v>
      </c>
      <c r="P202" s="65" t="str">
        <f>IFERROR(VLOOKUP(O202,PROVEEDORES!$A$3:$G$42,2,0),"")</f>
        <v>FRUTAS Y VERDURAS</v>
      </c>
      <c r="Q202" s="66" t="str">
        <f>IFERROR(VLOOKUP(O202,PROVEEDORES!$A$3:$G$42,4,0),"")</f>
        <v>caseritaencasa@gmail.com</v>
      </c>
      <c r="R202" s="10" t="str">
        <f>IFERROR(VLOOKUP(O202,PROVEEDORES!$A$3:$G$42,5,0),"")</f>
        <v>56952069703</v>
      </c>
      <c r="S202" s="11">
        <v>12275</v>
      </c>
      <c r="T202" s="12">
        <f t="shared" si="6"/>
        <v>8665.6666666666661</v>
      </c>
      <c r="U202" s="13">
        <f t="shared" si="7"/>
        <v>9532.2333333333336</v>
      </c>
    </row>
    <row r="203" spans="1:21" ht="15" customHeight="1" x14ac:dyDescent="0.35">
      <c r="A203" s="14" t="s">
        <v>207</v>
      </c>
      <c r="B203" s="15" t="s">
        <v>408</v>
      </c>
      <c r="C203" s="16" t="s">
        <v>219</v>
      </c>
      <c r="D203" s="17">
        <v>0.105</v>
      </c>
      <c r="E203" s="67" t="s">
        <v>35</v>
      </c>
      <c r="F203" s="68" t="str">
        <f>IFERROR(VLOOKUP(E203,PROVEEDORES!$A$3:$G$42,2,0),"")</f>
        <v>ABARROTES</v>
      </c>
      <c r="G203" s="69" t="str">
        <f>IFERROR(VLOOKUP(E203,PROVEEDORES!$A$3:$G$42,4,0),"")</f>
        <v>pagos@bidfood.cl,pmolina@bidfood.cl</v>
      </c>
      <c r="H203" s="18" t="str">
        <f>IFERROR(VLOOKUP(E203,PROVEEDORES!$A$3:$G$42,5,0),"")</f>
        <v>56225994444 - 56998038459</v>
      </c>
      <c r="I203" s="19">
        <v>10500</v>
      </c>
      <c r="J203" s="67" t="s">
        <v>105</v>
      </c>
      <c r="K203" s="68" t="str">
        <f>IFERROR(VLOOKUP(J203,PROVEEDORES!$A$3:$G$42,2,0),"")</f>
        <v>ESPECIES</v>
      </c>
      <c r="L203" s="69" t="str">
        <f>IFERROR(VLOOKUP(J203,PROVEEDORES!$A$3:$G$42,4,0),"")</f>
        <v>chef@gourmetselect.cl,contabilidad@gourmetselect.cl,pedidos@gourmetselect.cl,info@gourmetselect.cl</v>
      </c>
      <c r="M203" s="18" t="str">
        <f>IFERROR(VLOOKUP(J203,PROVEEDORES!$A$3:$G$42,5,0),"")</f>
        <v>56944921093</v>
      </c>
      <c r="N203" s="19">
        <v>4751</v>
      </c>
      <c r="O203" s="67" t="s">
        <v>41</v>
      </c>
      <c r="P203" s="68" t="str">
        <f>IFERROR(VLOOKUP(O203,PROVEEDORES!$A$3:$G$42,2,0),"")</f>
        <v>FRUTAS Y VERDURAS</v>
      </c>
      <c r="Q203" s="69" t="str">
        <f>IFERROR(VLOOKUP(O203,PROVEEDORES!$A$3:$G$42,4,0),"")</f>
        <v>caseritaencasa@gmail.com</v>
      </c>
      <c r="R203" s="18" t="str">
        <f>IFERROR(VLOOKUP(O203,PROVEEDORES!$A$3:$G$42,5,0),"")</f>
        <v>56952069703</v>
      </c>
      <c r="S203" s="19">
        <v>16899</v>
      </c>
      <c r="T203" s="20">
        <f t="shared" si="6"/>
        <v>10716.666666666666</v>
      </c>
      <c r="U203" s="21">
        <f t="shared" si="7"/>
        <v>11788.333333333334</v>
      </c>
    </row>
    <row r="204" spans="1:21" ht="15" customHeight="1" x14ac:dyDescent="0.35">
      <c r="A204" s="6" t="s">
        <v>207</v>
      </c>
      <c r="B204" s="7" t="s">
        <v>409</v>
      </c>
      <c r="C204" s="8" t="s">
        <v>219</v>
      </c>
      <c r="D204" s="9">
        <v>1.2E-2</v>
      </c>
      <c r="E204" s="64" t="s">
        <v>35</v>
      </c>
      <c r="F204" s="65" t="str">
        <f>IFERROR(VLOOKUP(E204,PROVEEDORES!$A$3:$G$42,2,0),"")</f>
        <v>ABARROTES</v>
      </c>
      <c r="G204" s="66" t="str">
        <f>IFERROR(VLOOKUP(E204,PROVEEDORES!$A$3:$G$42,4,0),"")</f>
        <v>pagos@bidfood.cl,pmolina@bidfood.cl</v>
      </c>
      <c r="H204" s="10" t="str">
        <f>IFERROR(VLOOKUP(E204,PROVEEDORES!$A$3:$G$42,5,0),"")</f>
        <v>56225994444 - 56998038459</v>
      </c>
      <c r="I204" s="11">
        <v>4900</v>
      </c>
      <c r="J204" s="64" t="s">
        <v>105</v>
      </c>
      <c r="K204" s="65" t="str">
        <f>IFERROR(VLOOKUP(J204,PROVEEDORES!$A$3:$G$42,2,0),"")</f>
        <v>ESPECIES</v>
      </c>
      <c r="L204" s="66" t="str">
        <f>IFERROR(VLOOKUP(J204,PROVEEDORES!$A$3:$G$42,4,0),"")</f>
        <v>chef@gourmetselect.cl,contabilidad@gourmetselect.cl,pedidos@gourmetselect.cl,info@gourmetselect.cl</v>
      </c>
      <c r="M204" s="10" t="str">
        <f>IFERROR(VLOOKUP(J204,PROVEEDORES!$A$3:$G$42,5,0),"")</f>
        <v>56944921093</v>
      </c>
      <c r="N204" s="11">
        <v>7355</v>
      </c>
      <c r="O204" s="64" t="s">
        <v>41</v>
      </c>
      <c r="P204" s="65" t="str">
        <f>IFERROR(VLOOKUP(O204,PROVEEDORES!$A$3:$G$42,2,0),"")</f>
        <v>FRUTAS Y VERDURAS</v>
      </c>
      <c r="Q204" s="66" t="str">
        <f>IFERROR(VLOOKUP(O204,PROVEEDORES!$A$3:$G$42,4,0),"")</f>
        <v>caseritaencasa@gmail.com</v>
      </c>
      <c r="R204" s="10" t="str">
        <f>IFERROR(VLOOKUP(O204,PROVEEDORES!$A$3:$G$42,5,0),"")</f>
        <v>56952069703</v>
      </c>
      <c r="S204" s="11">
        <v>9632</v>
      </c>
      <c r="T204" s="12">
        <f t="shared" si="6"/>
        <v>7295.666666666667</v>
      </c>
      <c r="U204" s="13">
        <f t="shared" si="7"/>
        <v>8025.2333333333345</v>
      </c>
    </row>
    <row r="205" spans="1:21" ht="15" customHeight="1" x14ac:dyDescent="0.35">
      <c r="A205" s="14" t="s">
        <v>207</v>
      </c>
      <c r="B205" s="15" t="s">
        <v>410</v>
      </c>
      <c r="C205" s="16" t="s">
        <v>219</v>
      </c>
      <c r="D205" s="17">
        <v>1.2E-2</v>
      </c>
      <c r="E205" s="67" t="s">
        <v>35</v>
      </c>
      <c r="F205" s="68" t="str">
        <f>IFERROR(VLOOKUP(E205,PROVEEDORES!$A$3:$G$42,2,0),"")</f>
        <v>ABARROTES</v>
      </c>
      <c r="G205" s="69" t="str">
        <f>IFERROR(VLOOKUP(E205,PROVEEDORES!$A$3:$G$42,4,0),"")</f>
        <v>pagos@bidfood.cl,pmolina@bidfood.cl</v>
      </c>
      <c r="H205" s="18" t="str">
        <f>IFERROR(VLOOKUP(E205,PROVEEDORES!$A$3:$G$42,5,0),"")</f>
        <v>56225994444 - 56998038459</v>
      </c>
      <c r="I205" s="19">
        <v>4900</v>
      </c>
      <c r="J205" s="67" t="s">
        <v>105</v>
      </c>
      <c r="K205" s="68" t="str">
        <f>IFERROR(VLOOKUP(J205,PROVEEDORES!$A$3:$G$42,2,0),"")</f>
        <v>ESPECIES</v>
      </c>
      <c r="L205" s="69" t="str">
        <f>IFERROR(VLOOKUP(J205,PROVEEDORES!$A$3:$G$42,4,0),"")</f>
        <v>chef@gourmetselect.cl,contabilidad@gourmetselect.cl,pedidos@gourmetselect.cl,info@gourmetselect.cl</v>
      </c>
      <c r="M205" s="18" t="str">
        <f>IFERROR(VLOOKUP(J205,PROVEEDORES!$A$3:$G$42,5,0),"")</f>
        <v>56944921093</v>
      </c>
      <c r="N205" s="19">
        <v>2739</v>
      </c>
      <c r="O205" s="67" t="s">
        <v>41</v>
      </c>
      <c r="P205" s="68" t="str">
        <f>IFERROR(VLOOKUP(O205,PROVEEDORES!$A$3:$G$42,2,0),"")</f>
        <v>FRUTAS Y VERDURAS</v>
      </c>
      <c r="Q205" s="69" t="str">
        <f>IFERROR(VLOOKUP(O205,PROVEEDORES!$A$3:$G$42,4,0),"")</f>
        <v>caseritaencasa@gmail.com</v>
      </c>
      <c r="R205" s="18" t="str">
        <f>IFERROR(VLOOKUP(O205,PROVEEDORES!$A$3:$G$42,5,0),"")</f>
        <v>56952069703</v>
      </c>
      <c r="S205" s="19">
        <v>534</v>
      </c>
      <c r="T205" s="20">
        <f t="shared" si="6"/>
        <v>2724.3333333333335</v>
      </c>
      <c r="U205" s="21">
        <f t="shared" si="7"/>
        <v>2996.7666666666669</v>
      </c>
    </row>
    <row r="206" spans="1:21" ht="15" customHeight="1" x14ac:dyDescent="0.35">
      <c r="A206" s="6" t="s">
        <v>207</v>
      </c>
      <c r="B206" s="7" t="s">
        <v>411</v>
      </c>
      <c r="C206" s="8" t="s">
        <v>219</v>
      </c>
      <c r="D206" s="9">
        <v>1.2E-2</v>
      </c>
      <c r="E206" s="64" t="s">
        <v>35</v>
      </c>
      <c r="F206" s="65" t="str">
        <f>IFERROR(VLOOKUP(E206,PROVEEDORES!$A$3:$G$42,2,0),"")</f>
        <v>ABARROTES</v>
      </c>
      <c r="G206" s="66" t="str">
        <f>IFERROR(VLOOKUP(E206,PROVEEDORES!$A$3:$G$42,4,0),"")</f>
        <v>pagos@bidfood.cl,pmolina@bidfood.cl</v>
      </c>
      <c r="H206" s="10" t="str">
        <f>IFERROR(VLOOKUP(E206,PROVEEDORES!$A$3:$G$42,5,0),"")</f>
        <v>56225994444 - 56998038459</v>
      </c>
      <c r="I206" s="11">
        <v>35230</v>
      </c>
      <c r="J206" s="64" t="s">
        <v>105</v>
      </c>
      <c r="K206" s="65" t="str">
        <f>IFERROR(VLOOKUP(J206,PROVEEDORES!$A$3:$G$42,2,0),"")</f>
        <v>ESPECIES</v>
      </c>
      <c r="L206" s="66" t="str">
        <f>IFERROR(VLOOKUP(J206,PROVEEDORES!$A$3:$G$42,4,0),"")</f>
        <v>chef@gourmetselect.cl,contabilidad@gourmetselect.cl,pedidos@gourmetselect.cl,info@gourmetselect.cl</v>
      </c>
      <c r="M206" s="10" t="str">
        <f>IFERROR(VLOOKUP(J206,PROVEEDORES!$A$3:$G$42,5,0),"")</f>
        <v>56944921093</v>
      </c>
      <c r="N206" s="11">
        <v>25242</v>
      </c>
      <c r="O206" s="64" t="s">
        <v>41</v>
      </c>
      <c r="P206" s="65" t="str">
        <f>IFERROR(VLOOKUP(O206,PROVEEDORES!$A$3:$G$42,2,0),"")</f>
        <v>FRUTAS Y VERDURAS</v>
      </c>
      <c r="Q206" s="66" t="str">
        <f>IFERROR(VLOOKUP(O206,PROVEEDORES!$A$3:$G$42,4,0),"")</f>
        <v>caseritaencasa@gmail.com</v>
      </c>
      <c r="R206" s="10" t="str">
        <f>IFERROR(VLOOKUP(O206,PROVEEDORES!$A$3:$G$42,5,0),"")</f>
        <v>56952069703</v>
      </c>
      <c r="S206" s="11">
        <v>7948</v>
      </c>
      <c r="T206" s="12">
        <f t="shared" si="6"/>
        <v>22806.666666666668</v>
      </c>
      <c r="U206" s="13">
        <f t="shared" si="7"/>
        <v>25087.333333333336</v>
      </c>
    </row>
    <row r="207" spans="1:21" ht="15" customHeight="1" x14ac:dyDescent="0.35">
      <c r="A207" s="14" t="s">
        <v>207</v>
      </c>
      <c r="B207" s="15" t="s">
        <v>412</v>
      </c>
      <c r="C207" s="16" t="s">
        <v>219</v>
      </c>
      <c r="D207" s="17">
        <v>7.5000000000000002E-4</v>
      </c>
      <c r="E207" s="67" t="s">
        <v>35</v>
      </c>
      <c r="F207" s="68" t="str">
        <f>IFERROR(VLOOKUP(E207,PROVEEDORES!$A$3:$G$42,2,0),"")</f>
        <v>ABARROTES</v>
      </c>
      <c r="G207" s="69" t="str">
        <f>IFERROR(VLOOKUP(E207,PROVEEDORES!$A$3:$G$42,4,0),"")</f>
        <v>pagos@bidfood.cl,pmolina@bidfood.cl</v>
      </c>
      <c r="H207" s="18" t="str">
        <f>IFERROR(VLOOKUP(E207,PROVEEDORES!$A$3:$G$42,5,0),"")</f>
        <v>56225994444 - 56998038459</v>
      </c>
      <c r="I207" s="19">
        <v>5690</v>
      </c>
      <c r="J207" s="67" t="s">
        <v>105</v>
      </c>
      <c r="K207" s="68" t="str">
        <f>IFERROR(VLOOKUP(J207,PROVEEDORES!$A$3:$G$42,2,0),"")</f>
        <v>ESPECIES</v>
      </c>
      <c r="L207" s="69" t="str">
        <f>IFERROR(VLOOKUP(J207,PROVEEDORES!$A$3:$G$42,4,0),"")</f>
        <v>chef@gourmetselect.cl,contabilidad@gourmetselect.cl,pedidos@gourmetselect.cl,info@gourmetselect.cl</v>
      </c>
      <c r="M207" s="18" t="str">
        <f>IFERROR(VLOOKUP(J207,PROVEEDORES!$A$3:$G$42,5,0),"")</f>
        <v>56944921093</v>
      </c>
      <c r="N207" s="19">
        <v>2165</v>
      </c>
      <c r="O207" s="67" t="s">
        <v>41</v>
      </c>
      <c r="P207" s="68" t="str">
        <f>IFERROR(VLOOKUP(O207,PROVEEDORES!$A$3:$G$42,2,0),"")</f>
        <v>FRUTAS Y VERDURAS</v>
      </c>
      <c r="Q207" s="69" t="str">
        <f>IFERROR(VLOOKUP(O207,PROVEEDORES!$A$3:$G$42,4,0),"")</f>
        <v>caseritaencasa@gmail.com</v>
      </c>
      <c r="R207" s="18" t="str">
        <f>IFERROR(VLOOKUP(O207,PROVEEDORES!$A$3:$G$42,5,0),"")</f>
        <v>56952069703</v>
      </c>
      <c r="S207" s="19">
        <v>608</v>
      </c>
      <c r="T207" s="20">
        <f t="shared" si="6"/>
        <v>2821</v>
      </c>
      <c r="U207" s="21">
        <f t="shared" si="7"/>
        <v>3103.1000000000004</v>
      </c>
    </row>
    <row r="208" spans="1:21" ht="15" customHeight="1" x14ac:dyDescent="0.35">
      <c r="A208" s="6" t="s">
        <v>207</v>
      </c>
      <c r="B208" s="7" t="s">
        <v>413</v>
      </c>
      <c r="C208" s="8" t="s">
        <v>219</v>
      </c>
      <c r="D208" s="9">
        <v>0.14399999999999999</v>
      </c>
      <c r="E208" s="64" t="s">
        <v>35</v>
      </c>
      <c r="F208" s="65" t="str">
        <f>IFERROR(VLOOKUP(E208,PROVEEDORES!$A$3:$G$42,2,0),"")</f>
        <v>ABARROTES</v>
      </c>
      <c r="G208" s="66" t="str">
        <f>IFERROR(VLOOKUP(E208,PROVEEDORES!$A$3:$G$42,4,0),"")</f>
        <v>pagos@bidfood.cl,pmolina@bidfood.cl</v>
      </c>
      <c r="H208" s="10" t="str">
        <f>IFERROR(VLOOKUP(E208,PROVEEDORES!$A$3:$G$42,5,0),"")</f>
        <v>56225994444 - 56998038459</v>
      </c>
      <c r="I208" s="11">
        <v>1900</v>
      </c>
      <c r="J208" s="64" t="s">
        <v>105</v>
      </c>
      <c r="K208" s="65" t="str">
        <f>IFERROR(VLOOKUP(J208,PROVEEDORES!$A$3:$G$42,2,0),"")</f>
        <v>ESPECIES</v>
      </c>
      <c r="L208" s="66" t="str">
        <f>IFERROR(VLOOKUP(J208,PROVEEDORES!$A$3:$G$42,4,0),"")</f>
        <v>chef@gourmetselect.cl,contabilidad@gourmetselect.cl,pedidos@gourmetselect.cl,info@gourmetselect.cl</v>
      </c>
      <c r="M208" s="10" t="str">
        <f>IFERROR(VLOOKUP(J208,PROVEEDORES!$A$3:$G$42,5,0),"")</f>
        <v>56944921093</v>
      </c>
      <c r="N208" s="11">
        <v>937</v>
      </c>
      <c r="O208" s="64" t="s">
        <v>41</v>
      </c>
      <c r="P208" s="65" t="str">
        <f>IFERROR(VLOOKUP(O208,PROVEEDORES!$A$3:$G$42,2,0),"")</f>
        <v>FRUTAS Y VERDURAS</v>
      </c>
      <c r="Q208" s="66" t="str">
        <f>IFERROR(VLOOKUP(O208,PROVEEDORES!$A$3:$G$42,4,0),"")</f>
        <v>caseritaencasa@gmail.com</v>
      </c>
      <c r="R208" s="10" t="str">
        <f>IFERROR(VLOOKUP(O208,PROVEEDORES!$A$3:$G$42,5,0),"")</f>
        <v>56952069703</v>
      </c>
      <c r="S208" s="11">
        <v>2799</v>
      </c>
      <c r="T208" s="12">
        <f t="shared" si="6"/>
        <v>1878.6666666666667</v>
      </c>
      <c r="U208" s="13">
        <f t="shared" si="7"/>
        <v>2066.5333333333338</v>
      </c>
    </row>
    <row r="209" spans="1:21" ht="15" customHeight="1" x14ac:dyDescent="0.35">
      <c r="A209" s="14" t="s">
        <v>207</v>
      </c>
      <c r="B209" s="15" t="s">
        <v>414</v>
      </c>
      <c r="C209" s="16" t="s">
        <v>219</v>
      </c>
      <c r="D209" s="17">
        <v>0.30562499999999998</v>
      </c>
      <c r="E209" s="67" t="s">
        <v>35</v>
      </c>
      <c r="F209" s="68" t="str">
        <f>IFERROR(VLOOKUP(E209,PROVEEDORES!$A$3:$G$42,2,0),"")</f>
        <v>ABARROTES</v>
      </c>
      <c r="G209" s="69" t="str">
        <f>IFERROR(VLOOKUP(E209,PROVEEDORES!$A$3:$G$42,4,0),"")</f>
        <v>pagos@bidfood.cl,pmolina@bidfood.cl</v>
      </c>
      <c r="H209" s="18" t="str">
        <f>IFERROR(VLOOKUP(E209,PROVEEDORES!$A$3:$G$42,5,0),"")</f>
        <v>56225994444 - 56998038459</v>
      </c>
      <c r="I209" s="19">
        <v>1900</v>
      </c>
      <c r="J209" s="67" t="s">
        <v>105</v>
      </c>
      <c r="K209" s="68" t="str">
        <f>IFERROR(VLOOKUP(J209,PROVEEDORES!$A$3:$G$42,2,0),"")</f>
        <v>ESPECIES</v>
      </c>
      <c r="L209" s="69" t="str">
        <f>IFERROR(VLOOKUP(J209,PROVEEDORES!$A$3:$G$42,4,0),"")</f>
        <v>chef@gourmetselect.cl,contabilidad@gourmetselect.cl,pedidos@gourmetselect.cl,info@gourmetselect.cl</v>
      </c>
      <c r="M209" s="18" t="str">
        <f>IFERROR(VLOOKUP(J209,PROVEEDORES!$A$3:$G$42,5,0),"")</f>
        <v>56944921093</v>
      </c>
      <c r="N209" s="19">
        <v>894</v>
      </c>
      <c r="O209" s="67" t="s">
        <v>41</v>
      </c>
      <c r="P209" s="68" t="str">
        <f>IFERROR(VLOOKUP(O209,PROVEEDORES!$A$3:$G$42,2,0),"")</f>
        <v>FRUTAS Y VERDURAS</v>
      </c>
      <c r="Q209" s="69" t="str">
        <f>IFERROR(VLOOKUP(O209,PROVEEDORES!$A$3:$G$42,4,0),"")</f>
        <v>caseritaencasa@gmail.com</v>
      </c>
      <c r="R209" s="18" t="str">
        <f>IFERROR(VLOOKUP(O209,PROVEEDORES!$A$3:$G$42,5,0),"")</f>
        <v>56952069703</v>
      </c>
      <c r="S209" s="19">
        <v>1804</v>
      </c>
      <c r="T209" s="20">
        <f t="shared" si="6"/>
        <v>1532.6666666666667</v>
      </c>
      <c r="U209" s="21">
        <f t="shared" si="7"/>
        <v>1685.9333333333336</v>
      </c>
    </row>
    <row r="210" spans="1:21" ht="15" customHeight="1" x14ac:dyDescent="0.35">
      <c r="A210" s="6" t="s">
        <v>207</v>
      </c>
      <c r="B210" s="7" t="s">
        <v>415</v>
      </c>
      <c r="C210" s="8" t="s">
        <v>219</v>
      </c>
      <c r="D210" s="9">
        <v>0.85950000000000004</v>
      </c>
      <c r="E210" s="64" t="s">
        <v>35</v>
      </c>
      <c r="F210" s="65" t="str">
        <f>IFERROR(VLOOKUP(E210,PROVEEDORES!$A$3:$G$42,2,0),"")</f>
        <v>ABARROTES</v>
      </c>
      <c r="G210" s="66" t="str">
        <f>IFERROR(VLOOKUP(E210,PROVEEDORES!$A$3:$G$42,4,0),"")</f>
        <v>pagos@bidfood.cl,pmolina@bidfood.cl</v>
      </c>
      <c r="H210" s="10" t="str">
        <f>IFERROR(VLOOKUP(E210,PROVEEDORES!$A$3:$G$42,5,0),"")</f>
        <v>56225994444 - 56998038459</v>
      </c>
      <c r="I210" s="11">
        <v>574</v>
      </c>
      <c r="J210" s="64" t="s">
        <v>105</v>
      </c>
      <c r="K210" s="65" t="str">
        <f>IFERROR(VLOOKUP(J210,PROVEEDORES!$A$3:$G$42,2,0),"")</f>
        <v>ESPECIES</v>
      </c>
      <c r="L210" s="66" t="str">
        <f>IFERROR(VLOOKUP(J210,PROVEEDORES!$A$3:$G$42,4,0),"")</f>
        <v>chef@gourmetselect.cl,contabilidad@gourmetselect.cl,pedidos@gourmetselect.cl,info@gourmetselect.cl</v>
      </c>
      <c r="M210" s="10" t="str">
        <f>IFERROR(VLOOKUP(J210,PROVEEDORES!$A$3:$G$42,5,0),"")</f>
        <v>56944921093</v>
      </c>
      <c r="N210" s="11">
        <v>743</v>
      </c>
      <c r="O210" s="64" t="s">
        <v>41</v>
      </c>
      <c r="P210" s="65" t="str">
        <f>IFERROR(VLOOKUP(O210,PROVEEDORES!$A$3:$G$42,2,0),"")</f>
        <v>FRUTAS Y VERDURAS</v>
      </c>
      <c r="Q210" s="66" t="str">
        <f>IFERROR(VLOOKUP(O210,PROVEEDORES!$A$3:$G$42,4,0),"")</f>
        <v>caseritaencasa@gmail.com</v>
      </c>
      <c r="R210" s="10" t="str">
        <f>IFERROR(VLOOKUP(O210,PROVEEDORES!$A$3:$G$42,5,0),"")</f>
        <v>56952069703</v>
      </c>
      <c r="S210" s="11">
        <v>840</v>
      </c>
      <c r="T210" s="12">
        <f t="shared" si="6"/>
        <v>719</v>
      </c>
      <c r="U210" s="13">
        <f t="shared" si="7"/>
        <v>790.90000000000009</v>
      </c>
    </row>
    <row r="211" spans="1:21" ht="15" customHeight="1" x14ac:dyDescent="0.35">
      <c r="A211" s="14" t="s">
        <v>207</v>
      </c>
      <c r="B211" s="15" t="s">
        <v>416</v>
      </c>
      <c r="C211" s="16" t="s">
        <v>219</v>
      </c>
      <c r="D211" s="17">
        <v>7.1249999999999994E-2</v>
      </c>
      <c r="E211" s="67" t="s">
        <v>35</v>
      </c>
      <c r="F211" s="68" t="str">
        <f>IFERROR(VLOOKUP(E211,PROVEEDORES!$A$3:$G$42,2,0),"")</f>
        <v>ABARROTES</v>
      </c>
      <c r="G211" s="69" t="str">
        <f>IFERROR(VLOOKUP(E211,PROVEEDORES!$A$3:$G$42,4,0),"")</f>
        <v>pagos@bidfood.cl,pmolina@bidfood.cl</v>
      </c>
      <c r="H211" s="18" t="str">
        <f>IFERROR(VLOOKUP(E211,PROVEEDORES!$A$3:$G$42,5,0),"")</f>
        <v>56225994444 - 56998038459</v>
      </c>
      <c r="I211" s="19">
        <v>2290</v>
      </c>
      <c r="J211" s="67" t="s">
        <v>105</v>
      </c>
      <c r="K211" s="68" t="str">
        <f>IFERROR(VLOOKUP(J211,PROVEEDORES!$A$3:$G$42,2,0),"")</f>
        <v>ESPECIES</v>
      </c>
      <c r="L211" s="69" t="str">
        <f>IFERROR(VLOOKUP(J211,PROVEEDORES!$A$3:$G$42,4,0),"")</f>
        <v>chef@gourmetselect.cl,contabilidad@gourmetselect.cl,pedidos@gourmetselect.cl,info@gourmetselect.cl</v>
      </c>
      <c r="M211" s="18" t="str">
        <f>IFERROR(VLOOKUP(J211,PROVEEDORES!$A$3:$G$42,5,0),"")</f>
        <v>56944921093</v>
      </c>
      <c r="N211" s="19">
        <v>3647</v>
      </c>
      <c r="O211" s="67" t="s">
        <v>41</v>
      </c>
      <c r="P211" s="68" t="str">
        <f>IFERROR(VLOOKUP(O211,PROVEEDORES!$A$3:$G$42,2,0),"")</f>
        <v>FRUTAS Y VERDURAS</v>
      </c>
      <c r="Q211" s="69" t="str">
        <f>IFERROR(VLOOKUP(O211,PROVEEDORES!$A$3:$G$42,4,0),"")</f>
        <v>caseritaencasa@gmail.com</v>
      </c>
      <c r="R211" s="18" t="str">
        <f>IFERROR(VLOOKUP(O211,PROVEEDORES!$A$3:$G$42,5,0),"")</f>
        <v>56952069703</v>
      </c>
      <c r="S211" s="19">
        <v>330</v>
      </c>
      <c r="T211" s="20">
        <f t="shared" si="6"/>
        <v>2089</v>
      </c>
      <c r="U211" s="21">
        <f t="shared" si="7"/>
        <v>2297.9</v>
      </c>
    </row>
    <row r="212" spans="1:21" ht="15" customHeight="1" x14ac:dyDescent="0.35">
      <c r="A212" s="6" t="s">
        <v>207</v>
      </c>
      <c r="B212" s="7" t="s">
        <v>417</v>
      </c>
      <c r="C212" s="8" t="s">
        <v>209</v>
      </c>
      <c r="D212" s="9">
        <v>1.4999999999999999E-2</v>
      </c>
      <c r="E212" s="64" t="s">
        <v>35</v>
      </c>
      <c r="F212" s="65" t="str">
        <f>IFERROR(VLOOKUP(E212,PROVEEDORES!$A$3:$G$42,2,0),"")</f>
        <v>ABARROTES</v>
      </c>
      <c r="G212" s="66" t="str">
        <f>IFERROR(VLOOKUP(E212,PROVEEDORES!$A$3:$G$42,4,0),"")</f>
        <v>pagos@bidfood.cl,pmolina@bidfood.cl</v>
      </c>
      <c r="H212" s="10" t="str">
        <f>IFERROR(VLOOKUP(E212,PROVEEDORES!$A$3:$G$42,5,0),"")</f>
        <v>56225994444 - 56998038459</v>
      </c>
      <c r="I212" s="11">
        <v>11616</v>
      </c>
      <c r="J212" s="64" t="s">
        <v>105</v>
      </c>
      <c r="K212" s="65" t="str">
        <f>IFERROR(VLOOKUP(J212,PROVEEDORES!$A$3:$G$42,2,0),"")</f>
        <v>ESPECIES</v>
      </c>
      <c r="L212" s="66" t="str">
        <f>IFERROR(VLOOKUP(J212,PROVEEDORES!$A$3:$G$42,4,0),"")</f>
        <v>chef@gourmetselect.cl,contabilidad@gourmetselect.cl,pedidos@gourmetselect.cl,info@gourmetselect.cl</v>
      </c>
      <c r="M212" s="10" t="str">
        <f>IFERROR(VLOOKUP(J212,PROVEEDORES!$A$3:$G$42,5,0),"")</f>
        <v>56944921093</v>
      </c>
      <c r="N212" s="11">
        <v>8549</v>
      </c>
      <c r="O212" s="64" t="s">
        <v>41</v>
      </c>
      <c r="P212" s="65" t="str">
        <f>IFERROR(VLOOKUP(O212,PROVEEDORES!$A$3:$G$42,2,0),"")</f>
        <v>FRUTAS Y VERDURAS</v>
      </c>
      <c r="Q212" s="66" t="str">
        <f>IFERROR(VLOOKUP(O212,PROVEEDORES!$A$3:$G$42,4,0),"")</f>
        <v>caseritaencasa@gmail.com</v>
      </c>
      <c r="R212" s="10" t="str">
        <f>IFERROR(VLOOKUP(O212,PROVEEDORES!$A$3:$G$42,5,0),"")</f>
        <v>56952069703</v>
      </c>
      <c r="S212" s="11">
        <v>20100</v>
      </c>
      <c r="T212" s="12">
        <f t="shared" si="6"/>
        <v>13421.666666666666</v>
      </c>
      <c r="U212" s="13">
        <f t="shared" si="7"/>
        <v>14763.833333333334</v>
      </c>
    </row>
    <row r="213" spans="1:21" ht="15" customHeight="1" x14ac:dyDescent="0.35">
      <c r="A213" s="14" t="s">
        <v>207</v>
      </c>
      <c r="B213" s="15" t="s">
        <v>418</v>
      </c>
      <c r="C213" s="16" t="s">
        <v>209</v>
      </c>
      <c r="D213" s="17">
        <v>1.8749999999999999E-2</v>
      </c>
      <c r="E213" s="67" t="s">
        <v>35</v>
      </c>
      <c r="F213" s="68" t="str">
        <f>IFERROR(VLOOKUP(E213,PROVEEDORES!$A$3:$G$42,2,0),"")</f>
        <v>ABARROTES</v>
      </c>
      <c r="G213" s="69" t="str">
        <f>IFERROR(VLOOKUP(E213,PROVEEDORES!$A$3:$G$42,4,0),"")</f>
        <v>pagos@bidfood.cl,pmolina@bidfood.cl</v>
      </c>
      <c r="H213" s="18" t="str">
        <f>IFERROR(VLOOKUP(E213,PROVEEDORES!$A$3:$G$42,5,0),"")</f>
        <v>56225994444 - 56998038459</v>
      </c>
      <c r="I213" s="19">
        <v>9250</v>
      </c>
      <c r="J213" s="67" t="s">
        <v>105</v>
      </c>
      <c r="K213" s="68" t="str">
        <f>IFERROR(VLOOKUP(J213,PROVEEDORES!$A$3:$G$42,2,0),"")</f>
        <v>ESPECIES</v>
      </c>
      <c r="L213" s="69" t="str">
        <f>IFERROR(VLOOKUP(J213,PROVEEDORES!$A$3:$G$42,4,0),"")</f>
        <v>chef@gourmetselect.cl,contabilidad@gourmetselect.cl,pedidos@gourmetselect.cl,info@gourmetselect.cl</v>
      </c>
      <c r="M213" s="18" t="str">
        <f>IFERROR(VLOOKUP(J213,PROVEEDORES!$A$3:$G$42,5,0),"")</f>
        <v>56944921093</v>
      </c>
      <c r="N213" s="19">
        <v>14855</v>
      </c>
      <c r="O213" s="67" t="s">
        <v>41</v>
      </c>
      <c r="P213" s="68" t="str">
        <f>IFERROR(VLOOKUP(O213,PROVEEDORES!$A$3:$G$42,2,0),"")</f>
        <v>FRUTAS Y VERDURAS</v>
      </c>
      <c r="Q213" s="69" t="str">
        <f>IFERROR(VLOOKUP(O213,PROVEEDORES!$A$3:$G$42,4,0),"")</f>
        <v>caseritaencasa@gmail.com</v>
      </c>
      <c r="R213" s="18" t="str">
        <f>IFERROR(VLOOKUP(O213,PROVEEDORES!$A$3:$G$42,5,0),"")</f>
        <v>56952069703</v>
      </c>
      <c r="S213" s="19">
        <v>113</v>
      </c>
      <c r="T213" s="20">
        <f t="shared" si="6"/>
        <v>8072.666666666667</v>
      </c>
      <c r="U213" s="21">
        <f t="shared" si="7"/>
        <v>8879.9333333333343</v>
      </c>
    </row>
    <row r="214" spans="1:21" ht="15" customHeight="1" x14ac:dyDescent="0.35">
      <c r="A214" s="6" t="s">
        <v>207</v>
      </c>
      <c r="B214" s="7" t="s">
        <v>419</v>
      </c>
      <c r="C214" s="8" t="s">
        <v>209</v>
      </c>
      <c r="D214" s="9">
        <v>0.32800000000000001</v>
      </c>
      <c r="E214" s="64" t="s">
        <v>35</v>
      </c>
      <c r="F214" s="65" t="str">
        <f>IFERROR(VLOOKUP(E214,PROVEEDORES!$A$3:$G$42,2,0),"")</f>
        <v>ABARROTES</v>
      </c>
      <c r="G214" s="66" t="str">
        <f>IFERROR(VLOOKUP(E214,PROVEEDORES!$A$3:$G$42,4,0),"")</f>
        <v>pagos@bidfood.cl,pmolina@bidfood.cl</v>
      </c>
      <c r="H214" s="10" t="str">
        <f>IFERROR(VLOOKUP(E214,PROVEEDORES!$A$3:$G$42,5,0),"")</f>
        <v>56225994444 - 56998038459</v>
      </c>
      <c r="I214" s="11">
        <v>1346</v>
      </c>
      <c r="J214" s="64" t="s">
        <v>105</v>
      </c>
      <c r="K214" s="65" t="str">
        <f>IFERROR(VLOOKUP(J214,PROVEEDORES!$A$3:$G$42,2,0),"")</f>
        <v>ESPECIES</v>
      </c>
      <c r="L214" s="66" t="str">
        <f>IFERROR(VLOOKUP(J214,PROVEEDORES!$A$3:$G$42,4,0),"")</f>
        <v>chef@gourmetselect.cl,contabilidad@gourmetselect.cl,pedidos@gourmetselect.cl,info@gourmetselect.cl</v>
      </c>
      <c r="M214" s="10" t="str">
        <f>IFERROR(VLOOKUP(J214,PROVEEDORES!$A$3:$G$42,5,0),"")</f>
        <v>56944921093</v>
      </c>
      <c r="N214" s="11">
        <v>1059</v>
      </c>
      <c r="O214" s="64" t="s">
        <v>41</v>
      </c>
      <c r="P214" s="65" t="str">
        <f>IFERROR(VLOOKUP(O214,PROVEEDORES!$A$3:$G$42,2,0),"")</f>
        <v>FRUTAS Y VERDURAS</v>
      </c>
      <c r="Q214" s="66" t="str">
        <f>IFERROR(VLOOKUP(O214,PROVEEDORES!$A$3:$G$42,4,0),"")</f>
        <v>caseritaencasa@gmail.com</v>
      </c>
      <c r="R214" s="10" t="str">
        <f>IFERROR(VLOOKUP(O214,PROVEEDORES!$A$3:$G$42,5,0),"")</f>
        <v>56952069703</v>
      </c>
      <c r="S214" s="11">
        <v>2551</v>
      </c>
      <c r="T214" s="12">
        <f t="shared" si="6"/>
        <v>1652</v>
      </c>
      <c r="U214" s="13">
        <f t="shared" si="7"/>
        <v>1817.2</v>
      </c>
    </row>
    <row r="215" spans="1:21" ht="15" customHeight="1" x14ac:dyDescent="0.35">
      <c r="A215" s="14" t="s">
        <v>207</v>
      </c>
      <c r="B215" s="15" t="s">
        <v>420</v>
      </c>
      <c r="C215" s="16" t="s">
        <v>219</v>
      </c>
      <c r="D215" s="17">
        <v>0.1</v>
      </c>
      <c r="E215" s="67" t="s">
        <v>35</v>
      </c>
      <c r="F215" s="68" t="str">
        <f>IFERROR(VLOOKUP(E215,PROVEEDORES!$A$3:$G$42,2,0),"")</f>
        <v>ABARROTES</v>
      </c>
      <c r="G215" s="69" t="str">
        <f>IFERROR(VLOOKUP(E215,PROVEEDORES!$A$3:$G$42,4,0),"")</f>
        <v>pagos@bidfood.cl,pmolina@bidfood.cl</v>
      </c>
      <c r="H215" s="18" t="str">
        <f>IFERROR(VLOOKUP(E215,PROVEEDORES!$A$3:$G$42,5,0),"")</f>
        <v>56225994444 - 56998038459</v>
      </c>
      <c r="I215" s="19">
        <v>1699</v>
      </c>
      <c r="J215" s="67" t="s">
        <v>105</v>
      </c>
      <c r="K215" s="68" t="str">
        <f>IFERROR(VLOOKUP(J215,PROVEEDORES!$A$3:$G$42,2,0),"")</f>
        <v>ESPECIES</v>
      </c>
      <c r="L215" s="69" t="str">
        <f>IFERROR(VLOOKUP(J215,PROVEEDORES!$A$3:$G$42,4,0),"")</f>
        <v>chef@gourmetselect.cl,contabilidad@gourmetselect.cl,pedidos@gourmetselect.cl,info@gourmetselect.cl</v>
      </c>
      <c r="M215" s="18" t="str">
        <f>IFERROR(VLOOKUP(J215,PROVEEDORES!$A$3:$G$42,5,0),"")</f>
        <v>56944921093</v>
      </c>
      <c r="N215" s="19">
        <v>1882</v>
      </c>
      <c r="O215" s="67" t="s">
        <v>41</v>
      </c>
      <c r="P215" s="68" t="str">
        <f>IFERROR(VLOOKUP(O215,PROVEEDORES!$A$3:$G$42,2,0),"")</f>
        <v>FRUTAS Y VERDURAS</v>
      </c>
      <c r="Q215" s="69" t="str">
        <f>IFERROR(VLOOKUP(O215,PROVEEDORES!$A$3:$G$42,4,0),"")</f>
        <v>caseritaencasa@gmail.com</v>
      </c>
      <c r="R215" s="18" t="str">
        <f>IFERROR(VLOOKUP(O215,PROVEEDORES!$A$3:$G$42,5,0),"")</f>
        <v>56952069703</v>
      </c>
      <c r="S215" s="19">
        <v>1826</v>
      </c>
      <c r="T215" s="20">
        <f t="shared" si="6"/>
        <v>1802.3333333333333</v>
      </c>
      <c r="U215" s="21">
        <f t="shared" si="7"/>
        <v>1982.5666666666668</v>
      </c>
    </row>
    <row r="216" spans="1:21" ht="15" customHeight="1" x14ac:dyDescent="0.35">
      <c r="A216" s="6" t="s">
        <v>207</v>
      </c>
      <c r="B216" s="7" t="s">
        <v>421</v>
      </c>
      <c r="C216" s="8" t="s">
        <v>209</v>
      </c>
      <c r="D216" s="9">
        <v>2.33125E-2</v>
      </c>
      <c r="E216" s="64" t="s">
        <v>35</v>
      </c>
      <c r="F216" s="65" t="str">
        <f>IFERROR(VLOOKUP(E216,PROVEEDORES!$A$3:$G$42,2,0),"")</f>
        <v>ABARROTES</v>
      </c>
      <c r="G216" s="66" t="str">
        <f>IFERROR(VLOOKUP(E216,PROVEEDORES!$A$3:$G$42,4,0),"")</f>
        <v>pagos@bidfood.cl,pmolina@bidfood.cl</v>
      </c>
      <c r="H216" s="10" t="str">
        <f>IFERROR(VLOOKUP(E216,PROVEEDORES!$A$3:$G$42,5,0),"")</f>
        <v>56225994444 - 56998038459</v>
      </c>
      <c r="I216" s="11">
        <v>4666</v>
      </c>
      <c r="J216" s="64" t="s">
        <v>105</v>
      </c>
      <c r="K216" s="65" t="str">
        <f>IFERROR(VLOOKUP(J216,PROVEEDORES!$A$3:$G$42,2,0),"")</f>
        <v>ESPECIES</v>
      </c>
      <c r="L216" s="66" t="str">
        <f>IFERROR(VLOOKUP(J216,PROVEEDORES!$A$3:$G$42,4,0),"")</f>
        <v>chef@gourmetselect.cl,contabilidad@gourmetselect.cl,pedidos@gourmetselect.cl,info@gourmetselect.cl</v>
      </c>
      <c r="M216" s="10" t="str">
        <f>IFERROR(VLOOKUP(J216,PROVEEDORES!$A$3:$G$42,5,0),"")</f>
        <v>56944921093</v>
      </c>
      <c r="N216" s="11">
        <v>7256</v>
      </c>
      <c r="O216" s="64" t="s">
        <v>41</v>
      </c>
      <c r="P216" s="65" t="str">
        <f>IFERROR(VLOOKUP(O216,PROVEEDORES!$A$3:$G$42,2,0),"")</f>
        <v>FRUTAS Y VERDURAS</v>
      </c>
      <c r="Q216" s="66" t="str">
        <f>IFERROR(VLOOKUP(O216,PROVEEDORES!$A$3:$G$42,4,0),"")</f>
        <v>caseritaencasa@gmail.com</v>
      </c>
      <c r="R216" s="10" t="str">
        <f>IFERROR(VLOOKUP(O216,PROVEEDORES!$A$3:$G$42,5,0),"")</f>
        <v>56952069703</v>
      </c>
      <c r="S216" s="11">
        <v>9018</v>
      </c>
      <c r="T216" s="12">
        <f t="shared" si="6"/>
        <v>6980</v>
      </c>
      <c r="U216" s="13">
        <f t="shared" si="7"/>
        <v>7678.0000000000009</v>
      </c>
    </row>
    <row r="217" spans="1:21" ht="15" customHeight="1" x14ac:dyDescent="0.35">
      <c r="A217" s="14" t="s">
        <v>207</v>
      </c>
      <c r="B217" s="15" t="s">
        <v>422</v>
      </c>
      <c r="C217" s="16" t="s">
        <v>219</v>
      </c>
      <c r="D217" s="17">
        <v>6.3E-2</v>
      </c>
      <c r="E217" s="67" t="s">
        <v>35</v>
      </c>
      <c r="F217" s="68" t="str">
        <f>IFERROR(VLOOKUP(E217,PROVEEDORES!$A$3:$G$42,2,0),"")</f>
        <v>ABARROTES</v>
      </c>
      <c r="G217" s="69" t="str">
        <f>IFERROR(VLOOKUP(E217,PROVEEDORES!$A$3:$G$42,4,0),"")</f>
        <v>pagos@bidfood.cl,pmolina@bidfood.cl</v>
      </c>
      <c r="H217" s="18" t="str">
        <f>IFERROR(VLOOKUP(E217,PROVEEDORES!$A$3:$G$42,5,0),"")</f>
        <v>56225994444 - 56998038459</v>
      </c>
      <c r="I217" s="19">
        <v>12460</v>
      </c>
      <c r="J217" s="67" t="s">
        <v>105</v>
      </c>
      <c r="K217" s="68" t="str">
        <f>IFERROR(VLOOKUP(J217,PROVEEDORES!$A$3:$G$42,2,0),"")</f>
        <v>ESPECIES</v>
      </c>
      <c r="L217" s="69" t="str">
        <f>IFERROR(VLOOKUP(J217,PROVEEDORES!$A$3:$G$42,4,0),"")</f>
        <v>chef@gourmetselect.cl,contabilidad@gourmetselect.cl,pedidos@gourmetselect.cl,info@gourmetselect.cl</v>
      </c>
      <c r="M217" s="18" t="str">
        <f>IFERROR(VLOOKUP(J217,PROVEEDORES!$A$3:$G$42,5,0),"")</f>
        <v>56944921093</v>
      </c>
      <c r="N217" s="19">
        <v>11133</v>
      </c>
      <c r="O217" s="67" t="s">
        <v>41</v>
      </c>
      <c r="P217" s="68" t="str">
        <f>IFERROR(VLOOKUP(O217,PROVEEDORES!$A$3:$G$42,2,0),"")</f>
        <v>FRUTAS Y VERDURAS</v>
      </c>
      <c r="Q217" s="69" t="str">
        <f>IFERROR(VLOOKUP(O217,PROVEEDORES!$A$3:$G$42,4,0),"")</f>
        <v>caseritaencasa@gmail.com</v>
      </c>
      <c r="R217" s="18" t="str">
        <f>IFERROR(VLOOKUP(O217,PROVEEDORES!$A$3:$G$42,5,0),"")</f>
        <v>56952069703</v>
      </c>
      <c r="S217" s="19">
        <v>2564</v>
      </c>
      <c r="T217" s="20">
        <f t="shared" si="6"/>
        <v>8719</v>
      </c>
      <c r="U217" s="21">
        <f t="shared" si="7"/>
        <v>9590.9000000000015</v>
      </c>
    </row>
    <row r="218" spans="1:21" ht="15" customHeight="1" x14ac:dyDescent="0.35">
      <c r="A218" s="6" t="s">
        <v>207</v>
      </c>
      <c r="B218" s="7" t="s">
        <v>423</v>
      </c>
      <c r="C218" s="8" t="s">
        <v>219</v>
      </c>
      <c r="D218" s="9">
        <v>2.2499999999999999E-2</v>
      </c>
      <c r="E218" s="64" t="s">
        <v>35</v>
      </c>
      <c r="F218" s="65" t="str">
        <f>IFERROR(VLOOKUP(E218,PROVEEDORES!$A$3:$G$42,2,0),"")</f>
        <v>ABARROTES</v>
      </c>
      <c r="G218" s="66" t="str">
        <f>IFERROR(VLOOKUP(E218,PROVEEDORES!$A$3:$G$42,4,0),"")</f>
        <v>pagos@bidfood.cl,pmolina@bidfood.cl</v>
      </c>
      <c r="H218" s="10" t="str">
        <f>IFERROR(VLOOKUP(E218,PROVEEDORES!$A$3:$G$42,5,0),"")</f>
        <v>56225994444 - 56998038459</v>
      </c>
      <c r="I218" s="11">
        <v>5500</v>
      </c>
      <c r="J218" s="64" t="s">
        <v>105</v>
      </c>
      <c r="K218" s="65" t="str">
        <f>IFERROR(VLOOKUP(J218,PROVEEDORES!$A$3:$G$42,2,0),"")</f>
        <v>ESPECIES</v>
      </c>
      <c r="L218" s="66" t="str">
        <f>IFERROR(VLOOKUP(J218,PROVEEDORES!$A$3:$G$42,4,0),"")</f>
        <v>chef@gourmetselect.cl,contabilidad@gourmetselect.cl,pedidos@gourmetselect.cl,info@gourmetselect.cl</v>
      </c>
      <c r="M218" s="10" t="str">
        <f>IFERROR(VLOOKUP(J218,PROVEEDORES!$A$3:$G$42,5,0),"")</f>
        <v>56944921093</v>
      </c>
      <c r="N218" s="11">
        <v>4180</v>
      </c>
      <c r="O218" s="64" t="s">
        <v>41</v>
      </c>
      <c r="P218" s="65" t="str">
        <f>IFERROR(VLOOKUP(O218,PROVEEDORES!$A$3:$G$42,2,0),"")</f>
        <v>FRUTAS Y VERDURAS</v>
      </c>
      <c r="Q218" s="66" t="str">
        <f>IFERROR(VLOOKUP(O218,PROVEEDORES!$A$3:$G$42,4,0),"")</f>
        <v>caseritaencasa@gmail.com</v>
      </c>
      <c r="R218" s="10" t="str">
        <f>IFERROR(VLOOKUP(O218,PROVEEDORES!$A$3:$G$42,5,0),"")</f>
        <v>56952069703</v>
      </c>
      <c r="S218" s="11">
        <v>11405</v>
      </c>
      <c r="T218" s="12">
        <f t="shared" si="6"/>
        <v>7028.333333333333</v>
      </c>
      <c r="U218" s="13">
        <f t="shared" si="7"/>
        <v>7731.166666666667</v>
      </c>
    </row>
    <row r="219" spans="1:21" ht="15" customHeight="1" x14ac:dyDescent="0.35">
      <c r="A219" s="14" t="s">
        <v>207</v>
      </c>
      <c r="B219" s="15" t="s">
        <v>424</v>
      </c>
      <c r="C219" s="16" t="s">
        <v>219</v>
      </c>
      <c r="D219" s="17">
        <v>4.6249999999999999E-2</v>
      </c>
      <c r="E219" s="67" t="s">
        <v>35</v>
      </c>
      <c r="F219" s="68" t="str">
        <f>IFERROR(VLOOKUP(E219,PROVEEDORES!$A$3:$G$42,2,0),"")</f>
        <v>ABARROTES</v>
      </c>
      <c r="G219" s="69" t="str">
        <f>IFERROR(VLOOKUP(E219,PROVEEDORES!$A$3:$G$42,4,0),"")</f>
        <v>pagos@bidfood.cl,pmolina@bidfood.cl</v>
      </c>
      <c r="H219" s="18" t="str">
        <f>IFERROR(VLOOKUP(E219,PROVEEDORES!$A$3:$G$42,5,0),"")</f>
        <v>56225994444 - 56998038459</v>
      </c>
      <c r="I219" s="19">
        <v>5500</v>
      </c>
      <c r="J219" s="67" t="s">
        <v>105</v>
      </c>
      <c r="K219" s="68" t="str">
        <f>IFERROR(VLOOKUP(J219,PROVEEDORES!$A$3:$G$42,2,0),"")</f>
        <v>ESPECIES</v>
      </c>
      <c r="L219" s="69" t="str">
        <f>IFERROR(VLOOKUP(J219,PROVEEDORES!$A$3:$G$42,4,0),"")</f>
        <v>chef@gourmetselect.cl,contabilidad@gourmetselect.cl,pedidos@gourmetselect.cl,info@gourmetselect.cl</v>
      </c>
      <c r="M219" s="18" t="str">
        <f>IFERROR(VLOOKUP(J219,PROVEEDORES!$A$3:$G$42,5,0),"")</f>
        <v>56944921093</v>
      </c>
      <c r="N219" s="19">
        <v>5030</v>
      </c>
      <c r="O219" s="67" t="s">
        <v>41</v>
      </c>
      <c r="P219" s="68" t="str">
        <f>IFERROR(VLOOKUP(O219,PROVEEDORES!$A$3:$G$42,2,0),"")</f>
        <v>FRUTAS Y VERDURAS</v>
      </c>
      <c r="Q219" s="69" t="str">
        <f>IFERROR(VLOOKUP(O219,PROVEEDORES!$A$3:$G$42,4,0),"")</f>
        <v>caseritaencasa@gmail.com</v>
      </c>
      <c r="R219" s="18" t="str">
        <f>IFERROR(VLOOKUP(O219,PROVEEDORES!$A$3:$G$42,5,0),"")</f>
        <v>56952069703</v>
      </c>
      <c r="S219" s="19">
        <v>6625</v>
      </c>
      <c r="T219" s="20">
        <f t="shared" si="6"/>
        <v>5718.333333333333</v>
      </c>
      <c r="U219" s="21">
        <f t="shared" si="7"/>
        <v>6290.166666666667</v>
      </c>
    </row>
    <row r="220" spans="1:21" ht="15" customHeight="1" x14ac:dyDescent="0.35">
      <c r="A220" s="6" t="s">
        <v>207</v>
      </c>
      <c r="B220" s="7" t="s">
        <v>425</v>
      </c>
      <c r="C220" s="8" t="s">
        <v>219</v>
      </c>
      <c r="D220" s="9">
        <v>7.9000000000000008E-3</v>
      </c>
      <c r="E220" s="64" t="s">
        <v>35</v>
      </c>
      <c r="F220" s="65" t="str">
        <f>IFERROR(VLOOKUP(E220,PROVEEDORES!$A$3:$G$42,2,0),"")</f>
        <v>ABARROTES</v>
      </c>
      <c r="G220" s="66" t="str">
        <f>IFERROR(VLOOKUP(E220,PROVEEDORES!$A$3:$G$42,4,0),"")</f>
        <v>pagos@bidfood.cl,pmolina@bidfood.cl</v>
      </c>
      <c r="H220" s="10" t="str">
        <f>IFERROR(VLOOKUP(E220,PROVEEDORES!$A$3:$G$42,5,0),"")</f>
        <v>56225994444 - 56998038459</v>
      </c>
      <c r="I220" s="11">
        <v>7960</v>
      </c>
      <c r="J220" s="64" t="s">
        <v>105</v>
      </c>
      <c r="K220" s="65" t="str">
        <f>IFERROR(VLOOKUP(J220,PROVEEDORES!$A$3:$G$42,2,0),"")</f>
        <v>ESPECIES</v>
      </c>
      <c r="L220" s="66" t="str">
        <f>IFERROR(VLOOKUP(J220,PROVEEDORES!$A$3:$G$42,4,0),"")</f>
        <v>chef@gourmetselect.cl,contabilidad@gourmetselect.cl,pedidos@gourmetselect.cl,info@gourmetselect.cl</v>
      </c>
      <c r="M220" s="10" t="str">
        <f>IFERROR(VLOOKUP(J220,PROVEEDORES!$A$3:$G$42,5,0),"")</f>
        <v>56944921093</v>
      </c>
      <c r="N220" s="11">
        <v>6073</v>
      </c>
      <c r="O220" s="64" t="s">
        <v>41</v>
      </c>
      <c r="P220" s="65" t="str">
        <f>IFERROR(VLOOKUP(O220,PROVEEDORES!$A$3:$G$42,2,0),"")</f>
        <v>FRUTAS Y VERDURAS</v>
      </c>
      <c r="Q220" s="66" t="str">
        <f>IFERROR(VLOOKUP(O220,PROVEEDORES!$A$3:$G$42,4,0),"")</f>
        <v>caseritaencasa@gmail.com</v>
      </c>
      <c r="R220" s="10" t="str">
        <f>IFERROR(VLOOKUP(O220,PROVEEDORES!$A$3:$G$42,5,0),"")</f>
        <v>56952069703</v>
      </c>
      <c r="S220" s="11">
        <v>4072</v>
      </c>
      <c r="T220" s="12">
        <f t="shared" si="6"/>
        <v>6035</v>
      </c>
      <c r="U220" s="13">
        <f t="shared" si="7"/>
        <v>6638.5000000000009</v>
      </c>
    </row>
    <row r="221" spans="1:21" ht="15" customHeight="1" x14ac:dyDescent="0.35">
      <c r="A221" s="14" t="s">
        <v>207</v>
      </c>
      <c r="B221" s="15" t="s">
        <v>426</v>
      </c>
      <c r="C221" s="16" t="s">
        <v>219</v>
      </c>
      <c r="D221" s="17">
        <v>4.4999999999999998E-2</v>
      </c>
      <c r="E221" s="67" t="s">
        <v>35</v>
      </c>
      <c r="F221" s="68" t="str">
        <f>IFERROR(VLOOKUP(E221,PROVEEDORES!$A$3:$G$42,2,0),"")</f>
        <v>ABARROTES</v>
      </c>
      <c r="G221" s="69" t="str">
        <f>IFERROR(VLOOKUP(E221,PROVEEDORES!$A$3:$G$42,4,0),"")</f>
        <v>pagos@bidfood.cl,pmolina@bidfood.cl</v>
      </c>
      <c r="H221" s="18" t="str">
        <f>IFERROR(VLOOKUP(E221,PROVEEDORES!$A$3:$G$42,5,0),"")</f>
        <v>56225994444 - 56998038459</v>
      </c>
      <c r="I221" s="19">
        <v>3700</v>
      </c>
      <c r="J221" s="67" t="s">
        <v>105</v>
      </c>
      <c r="K221" s="68" t="str">
        <f>IFERROR(VLOOKUP(J221,PROVEEDORES!$A$3:$G$42,2,0),"")</f>
        <v>ESPECIES</v>
      </c>
      <c r="L221" s="69" t="str">
        <f>IFERROR(VLOOKUP(J221,PROVEEDORES!$A$3:$G$42,4,0),"")</f>
        <v>chef@gourmetselect.cl,contabilidad@gourmetselect.cl,pedidos@gourmetselect.cl,info@gourmetselect.cl</v>
      </c>
      <c r="M221" s="18" t="str">
        <f>IFERROR(VLOOKUP(J221,PROVEEDORES!$A$3:$G$42,5,0),"")</f>
        <v>56944921093</v>
      </c>
      <c r="N221" s="19">
        <v>2324</v>
      </c>
      <c r="O221" s="67" t="s">
        <v>41</v>
      </c>
      <c r="P221" s="68" t="str">
        <f>IFERROR(VLOOKUP(O221,PROVEEDORES!$A$3:$G$42,2,0),"")</f>
        <v>FRUTAS Y VERDURAS</v>
      </c>
      <c r="Q221" s="69" t="str">
        <f>IFERROR(VLOOKUP(O221,PROVEEDORES!$A$3:$G$42,4,0),"")</f>
        <v>caseritaencasa@gmail.com</v>
      </c>
      <c r="R221" s="18" t="str">
        <f>IFERROR(VLOOKUP(O221,PROVEEDORES!$A$3:$G$42,5,0),"")</f>
        <v>56952069703</v>
      </c>
      <c r="S221" s="19">
        <v>631</v>
      </c>
      <c r="T221" s="20">
        <f t="shared" si="6"/>
        <v>2218.3333333333335</v>
      </c>
      <c r="U221" s="21">
        <f t="shared" si="7"/>
        <v>2440.166666666667</v>
      </c>
    </row>
    <row r="222" spans="1:21" ht="15" customHeight="1" x14ac:dyDescent="0.35">
      <c r="A222" s="6" t="s">
        <v>207</v>
      </c>
      <c r="B222" s="7" t="s">
        <v>427</v>
      </c>
      <c r="C222" s="8" t="s">
        <v>219</v>
      </c>
      <c r="D222" s="9">
        <v>2E-3</v>
      </c>
      <c r="E222" s="64" t="s">
        <v>35</v>
      </c>
      <c r="F222" s="65" t="str">
        <f>IFERROR(VLOOKUP(E222,PROVEEDORES!$A$3:$G$42,2,0),"")</f>
        <v>ABARROTES</v>
      </c>
      <c r="G222" s="66" t="str">
        <f>IFERROR(VLOOKUP(E222,PROVEEDORES!$A$3:$G$42,4,0),"")</f>
        <v>pagos@bidfood.cl,pmolina@bidfood.cl</v>
      </c>
      <c r="H222" s="10" t="str">
        <f>IFERROR(VLOOKUP(E222,PROVEEDORES!$A$3:$G$42,5,0),"")</f>
        <v>56225994444 - 56998038459</v>
      </c>
      <c r="I222" s="11">
        <v>11560</v>
      </c>
      <c r="J222" s="64" t="s">
        <v>105</v>
      </c>
      <c r="K222" s="65" t="str">
        <f>IFERROR(VLOOKUP(J222,PROVEEDORES!$A$3:$G$42,2,0),"")</f>
        <v>ESPECIES</v>
      </c>
      <c r="L222" s="66" t="str">
        <f>IFERROR(VLOOKUP(J222,PROVEEDORES!$A$3:$G$42,4,0),"")</f>
        <v>chef@gourmetselect.cl,contabilidad@gourmetselect.cl,pedidos@gourmetselect.cl,info@gourmetselect.cl</v>
      </c>
      <c r="M222" s="10" t="str">
        <f>IFERROR(VLOOKUP(J222,PROVEEDORES!$A$3:$G$42,5,0),"")</f>
        <v>56944921093</v>
      </c>
      <c r="N222" s="11">
        <v>17612</v>
      </c>
      <c r="O222" s="64" t="s">
        <v>41</v>
      </c>
      <c r="P222" s="65" t="str">
        <f>IFERROR(VLOOKUP(O222,PROVEEDORES!$A$3:$G$42,2,0),"")</f>
        <v>FRUTAS Y VERDURAS</v>
      </c>
      <c r="Q222" s="66" t="str">
        <f>IFERROR(VLOOKUP(O222,PROVEEDORES!$A$3:$G$42,4,0),"")</f>
        <v>caseritaencasa@gmail.com</v>
      </c>
      <c r="R222" s="10" t="str">
        <f>IFERROR(VLOOKUP(O222,PROVEEDORES!$A$3:$G$42,5,0),"")</f>
        <v>56952069703</v>
      </c>
      <c r="S222" s="11">
        <v>20716</v>
      </c>
      <c r="T222" s="12">
        <f t="shared" si="6"/>
        <v>16629.333333333332</v>
      </c>
      <c r="U222" s="13">
        <f t="shared" si="7"/>
        <v>18292.266666666666</v>
      </c>
    </row>
    <row r="223" spans="1:21" ht="15" customHeight="1" x14ac:dyDescent="0.35">
      <c r="A223" s="14" t="s">
        <v>207</v>
      </c>
      <c r="B223" s="15" t="s">
        <v>428</v>
      </c>
      <c r="C223" s="16" t="s">
        <v>219</v>
      </c>
      <c r="D223" s="17">
        <v>5.2600000000000001E-2</v>
      </c>
      <c r="E223" s="67" t="s">
        <v>35</v>
      </c>
      <c r="F223" s="68" t="str">
        <f>IFERROR(VLOOKUP(E223,PROVEEDORES!$A$3:$G$42,2,0),"")</f>
        <v>ABARROTES</v>
      </c>
      <c r="G223" s="69" t="str">
        <f>IFERROR(VLOOKUP(E223,PROVEEDORES!$A$3:$G$42,4,0),"")</f>
        <v>pagos@bidfood.cl,pmolina@bidfood.cl</v>
      </c>
      <c r="H223" s="18" t="str">
        <f>IFERROR(VLOOKUP(E223,PROVEEDORES!$A$3:$G$42,5,0),"")</f>
        <v>56225994444 - 56998038459</v>
      </c>
      <c r="I223" s="19">
        <v>6619</v>
      </c>
      <c r="J223" s="67" t="s">
        <v>105</v>
      </c>
      <c r="K223" s="68" t="str">
        <f>IFERROR(VLOOKUP(J223,PROVEEDORES!$A$3:$G$42,2,0),"")</f>
        <v>ESPECIES</v>
      </c>
      <c r="L223" s="69" t="str">
        <f>IFERROR(VLOOKUP(J223,PROVEEDORES!$A$3:$G$42,4,0),"")</f>
        <v>chef@gourmetselect.cl,contabilidad@gourmetselect.cl,pedidos@gourmetselect.cl,info@gourmetselect.cl</v>
      </c>
      <c r="M223" s="18" t="str">
        <f>IFERROR(VLOOKUP(J223,PROVEEDORES!$A$3:$G$42,5,0),"")</f>
        <v>56944921093</v>
      </c>
      <c r="N223" s="19">
        <v>11305</v>
      </c>
      <c r="O223" s="67" t="s">
        <v>41</v>
      </c>
      <c r="P223" s="68" t="str">
        <f>IFERROR(VLOOKUP(O223,PROVEEDORES!$A$3:$G$42,2,0),"")</f>
        <v>FRUTAS Y VERDURAS</v>
      </c>
      <c r="Q223" s="69" t="str">
        <f>IFERROR(VLOOKUP(O223,PROVEEDORES!$A$3:$G$42,4,0),"")</f>
        <v>caseritaencasa@gmail.com</v>
      </c>
      <c r="R223" s="18" t="str">
        <f>IFERROR(VLOOKUP(O223,PROVEEDORES!$A$3:$G$42,5,0),"")</f>
        <v>56952069703</v>
      </c>
      <c r="S223" s="19">
        <v>1217</v>
      </c>
      <c r="T223" s="20">
        <f t="shared" si="6"/>
        <v>6380.333333333333</v>
      </c>
      <c r="U223" s="21">
        <f t="shared" si="7"/>
        <v>7018.3666666666668</v>
      </c>
    </row>
    <row r="224" spans="1:21" ht="15" customHeight="1" x14ac:dyDescent="0.35">
      <c r="A224" s="6" t="s">
        <v>207</v>
      </c>
      <c r="B224" s="7" t="s">
        <v>429</v>
      </c>
      <c r="C224" s="8" t="s">
        <v>219</v>
      </c>
      <c r="D224" s="9">
        <v>9.1749999999999998E-2</v>
      </c>
      <c r="E224" s="64" t="s">
        <v>35</v>
      </c>
      <c r="F224" s="65" t="str">
        <f>IFERROR(VLOOKUP(E224,PROVEEDORES!$A$3:$G$42,2,0),"")</f>
        <v>ABARROTES</v>
      </c>
      <c r="G224" s="66" t="str">
        <f>IFERROR(VLOOKUP(E224,PROVEEDORES!$A$3:$G$42,4,0),"")</f>
        <v>pagos@bidfood.cl,pmolina@bidfood.cl</v>
      </c>
      <c r="H224" s="10" t="str">
        <f>IFERROR(VLOOKUP(E224,PROVEEDORES!$A$3:$G$42,5,0),"")</f>
        <v>56225994444 - 56998038459</v>
      </c>
      <c r="I224" s="11">
        <v>7197</v>
      </c>
      <c r="J224" s="64" t="s">
        <v>105</v>
      </c>
      <c r="K224" s="65" t="str">
        <f>IFERROR(VLOOKUP(J224,PROVEEDORES!$A$3:$G$42,2,0),"")</f>
        <v>ESPECIES</v>
      </c>
      <c r="L224" s="66" t="str">
        <f>IFERROR(VLOOKUP(J224,PROVEEDORES!$A$3:$G$42,4,0),"")</f>
        <v>chef@gourmetselect.cl,contabilidad@gourmetselect.cl,pedidos@gourmetselect.cl,info@gourmetselect.cl</v>
      </c>
      <c r="M224" s="10" t="str">
        <f>IFERROR(VLOOKUP(J224,PROVEEDORES!$A$3:$G$42,5,0),"")</f>
        <v>56944921093</v>
      </c>
      <c r="N224" s="11">
        <v>4239</v>
      </c>
      <c r="O224" s="64" t="s">
        <v>41</v>
      </c>
      <c r="P224" s="65" t="str">
        <f>IFERROR(VLOOKUP(O224,PROVEEDORES!$A$3:$G$42,2,0),"")</f>
        <v>FRUTAS Y VERDURAS</v>
      </c>
      <c r="Q224" s="66" t="str">
        <f>IFERROR(VLOOKUP(O224,PROVEEDORES!$A$3:$G$42,4,0),"")</f>
        <v>caseritaencasa@gmail.com</v>
      </c>
      <c r="R224" s="10" t="str">
        <f>IFERROR(VLOOKUP(O224,PROVEEDORES!$A$3:$G$42,5,0),"")</f>
        <v>56952069703</v>
      </c>
      <c r="S224" s="11">
        <v>6469</v>
      </c>
      <c r="T224" s="12">
        <f t="shared" si="6"/>
        <v>5968.333333333333</v>
      </c>
      <c r="U224" s="13">
        <f t="shared" si="7"/>
        <v>6565.166666666667</v>
      </c>
    </row>
    <row r="225" spans="1:21" ht="15" customHeight="1" x14ac:dyDescent="0.35">
      <c r="A225" s="14" t="s">
        <v>207</v>
      </c>
      <c r="B225" s="15" t="s">
        <v>430</v>
      </c>
      <c r="C225" s="16" t="s">
        <v>219</v>
      </c>
      <c r="D225" s="17">
        <v>3.5000000000000003E-2</v>
      </c>
      <c r="E225" s="67" t="s">
        <v>35</v>
      </c>
      <c r="F225" s="68" t="str">
        <f>IFERROR(VLOOKUP(E225,PROVEEDORES!$A$3:$G$42,2,0),"")</f>
        <v>ABARROTES</v>
      </c>
      <c r="G225" s="69" t="str">
        <f>IFERROR(VLOOKUP(E225,PROVEEDORES!$A$3:$G$42,4,0),"")</f>
        <v>pagos@bidfood.cl,pmolina@bidfood.cl</v>
      </c>
      <c r="H225" s="18" t="str">
        <f>IFERROR(VLOOKUP(E225,PROVEEDORES!$A$3:$G$42,5,0),"")</f>
        <v>56225994444 - 56998038459</v>
      </c>
      <c r="I225" s="19">
        <v>3050</v>
      </c>
      <c r="J225" s="67" t="s">
        <v>105</v>
      </c>
      <c r="K225" s="68" t="str">
        <f>IFERROR(VLOOKUP(J225,PROVEEDORES!$A$3:$G$42,2,0),"")</f>
        <v>ESPECIES</v>
      </c>
      <c r="L225" s="69" t="str">
        <f>IFERROR(VLOOKUP(J225,PROVEEDORES!$A$3:$G$42,4,0),"")</f>
        <v>chef@gourmetselect.cl,contabilidad@gourmetselect.cl,pedidos@gourmetselect.cl,info@gourmetselect.cl</v>
      </c>
      <c r="M225" s="18" t="str">
        <f>IFERROR(VLOOKUP(J225,PROVEEDORES!$A$3:$G$42,5,0),"")</f>
        <v>56944921093</v>
      </c>
      <c r="N225" s="19">
        <v>2679</v>
      </c>
      <c r="O225" s="67" t="s">
        <v>41</v>
      </c>
      <c r="P225" s="68" t="str">
        <f>IFERROR(VLOOKUP(O225,PROVEEDORES!$A$3:$G$42,2,0),"")</f>
        <v>FRUTAS Y VERDURAS</v>
      </c>
      <c r="Q225" s="69" t="str">
        <f>IFERROR(VLOOKUP(O225,PROVEEDORES!$A$3:$G$42,4,0),"")</f>
        <v>caseritaencasa@gmail.com</v>
      </c>
      <c r="R225" s="18" t="str">
        <f>IFERROR(VLOOKUP(O225,PROVEEDORES!$A$3:$G$42,5,0),"")</f>
        <v>56952069703</v>
      </c>
      <c r="S225" s="19">
        <v>2466</v>
      </c>
      <c r="T225" s="20">
        <f t="shared" si="6"/>
        <v>2731.6666666666665</v>
      </c>
      <c r="U225" s="21">
        <f t="shared" si="7"/>
        <v>3004.8333333333335</v>
      </c>
    </row>
    <row r="226" spans="1:21" ht="15" customHeight="1" x14ac:dyDescent="0.35">
      <c r="A226" s="6" t="s">
        <v>207</v>
      </c>
      <c r="B226" s="7" t="s">
        <v>431</v>
      </c>
      <c r="C226" s="8" t="s">
        <v>219</v>
      </c>
      <c r="D226" s="9">
        <v>1.6E-2</v>
      </c>
      <c r="E226" s="64" t="s">
        <v>35</v>
      </c>
      <c r="F226" s="65" t="str">
        <f>IFERROR(VLOOKUP(E226,PROVEEDORES!$A$3:$G$42,2,0),"")</f>
        <v>ABARROTES</v>
      </c>
      <c r="G226" s="66" t="str">
        <f>IFERROR(VLOOKUP(E226,PROVEEDORES!$A$3:$G$42,4,0),"")</f>
        <v>pagos@bidfood.cl,pmolina@bidfood.cl</v>
      </c>
      <c r="H226" s="10" t="str">
        <f>IFERROR(VLOOKUP(E226,PROVEEDORES!$A$3:$G$42,5,0),"")</f>
        <v>56225994444 - 56998038459</v>
      </c>
      <c r="I226" s="11">
        <v>17125</v>
      </c>
      <c r="J226" s="64" t="s">
        <v>105</v>
      </c>
      <c r="K226" s="65" t="str">
        <f>IFERROR(VLOOKUP(J226,PROVEEDORES!$A$3:$G$42,2,0),"")</f>
        <v>ESPECIES</v>
      </c>
      <c r="L226" s="66" t="str">
        <f>IFERROR(VLOOKUP(J226,PROVEEDORES!$A$3:$G$42,4,0),"")</f>
        <v>chef@gourmetselect.cl,contabilidad@gourmetselect.cl,pedidos@gourmetselect.cl,info@gourmetselect.cl</v>
      </c>
      <c r="M226" s="10" t="str">
        <f>IFERROR(VLOOKUP(J226,PROVEEDORES!$A$3:$G$42,5,0),"")</f>
        <v>56944921093</v>
      </c>
      <c r="N226" s="11">
        <v>27272</v>
      </c>
      <c r="O226" s="64" t="s">
        <v>41</v>
      </c>
      <c r="P226" s="65" t="str">
        <f>IFERROR(VLOOKUP(O226,PROVEEDORES!$A$3:$G$42,2,0),"")</f>
        <v>FRUTAS Y VERDURAS</v>
      </c>
      <c r="Q226" s="66" t="str">
        <f>IFERROR(VLOOKUP(O226,PROVEEDORES!$A$3:$G$42,4,0),"")</f>
        <v>caseritaencasa@gmail.com</v>
      </c>
      <c r="R226" s="10" t="str">
        <f>IFERROR(VLOOKUP(O226,PROVEEDORES!$A$3:$G$42,5,0),"")</f>
        <v>56952069703</v>
      </c>
      <c r="S226" s="11">
        <v>12905</v>
      </c>
      <c r="T226" s="12">
        <f t="shared" si="6"/>
        <v>19100.666666666668</v>
      </c>
      <c r="U226" s="13">
        <f t="shared" si="7"/>
        <v>21010.733333333337</v>
      </c>
    </row>
    <row r="227" spans="1:21" ht="15" customHeight="1" x14ac:dyDescent="0.35">
      <c r="A227" s="14" t="s">
        <v>207</v>
      </c>
      <c r="B227" s="15" t="s">
        <v>432</v>
      </c>
      <c r="C227" s="16" t="s">
        <v>219</v>
      </c>
      <c r="D227" s="17">
        <v>1.875E-4</v>
      </c>
      <c r="E227" s="67" t="s">
        <v>35</v>
      </c>
      <c r="F227" s="68" t="str">
        <f>IFERROR(VLOOKUP(E227,PROVEEDORES!$A$3:$G$42,2,0),"")</f>
        <v>ABARROTES</v>
      </c>
      <c r="G227" s="69" t="str">
        <f>IFERROR(VLOOKUP(E227,PROVEEDORES!$A$3:$G$42,4,0),"")</f>
        <v>pagos@bidfood.cl,pmolina@bidfood.cl</v>
      </c>
      <c r="H227" s="18" t="str">
        <f>IFERROR(VLOOKUP(E227,PROVEEDORES!$A$3:$G$42,5,0),"")</f>
        <v>56225994444 - 56998038459</v>
      </c>
      <c r="I227" s="19">
        <v>37286</v>
      </c>
      <c r="J227" s="67" t="s">
        <v>105</v>
      </c>
      <c r="K227" s="68" t="str">
        <f>IFERROR(VLOOKUP(J227,PROVEEDORES!$A$3:$G$42,2,0),"")</f>
        <v>ESPECIES</v>
      </c>
      <c r="L227" s="69" t="str">
        <f>IFERROR(VLOOKUP(J227,PROVEEDORES!$A$3:$G$42,4,0),"")</f>
        <v>chef@gourmetselect.cl,contabilidad@gourmetselect.cl,pedidos@gourmetselect.cl,info@gourmetselect.cl</v>
      </c>
      <c r="M227" s="18" t="str">
        <f>IFERROR(VLOOKUP(J227,PROVEEDORES!$A$3:$G$42,5,0),"")</f>
        <v>56944921093</v>
      </c>
      <c r="N227" s="19">
        <v>56190</v>
      </c>
      <c r="O227" s="67" t="s">
        <v>41</v>
      </c>
      <c r="P227" s="68" t="str">
        <f>IFERROR(VLOOKUP(O227,PROVEEDORES!$A$3:$G$42,2,0),"")</f>
        <v>FRUTAS Y VERDURAS</v>
      </c>
      <c r="Q227" s="69" t="str">
        <f>IFERROR(VLOOKUP(O227,PROVEEDORES!$A$3:$G$42,4,0),"")</f>
        <v>caseritaencasa@gmail.com</v>
      </c>
      <c r="R227" s="18" t="str">
        <f>IFERROR(VLOOKUP(O227,PROVEEDORES!$A$3:$G$42,5,0),"")</f>
        <v>56952069703</v>
      </c>
      <c r="S227" s="19">
        <v>76742</v>
      </c>
      <c r="T227" s="20">
        <f t="shared" si="6"/>
        <v>56739.333333333336</v>
      </c>
      <c r="U227" s="21">
        <f t="shared" si="7"/>
        <v>62413.266666666677</v>
      </c>
    </row>
    <row r="228" spans="1:21" ht="15" customHeight="1" x14ac:dyDescent="0.35">
      <c r="A228" s="6" t="s">
        <v>207</v>
      </c>
      <c r="B228" s="7" t="s">
        <v>433</v>
      </c>
      <c r="C228" s="8" t="s">
        <v>219</v>
      </c>
      <c r="D228" s="9">
        <v>4.6249999999999998E-3</v>
      </c>
      <c r="E228" s="64" t="s">
        <v>35</v>
      </c>
      <c r="F228" s="65" t="str">
        <f>IFERROR(VLOOKUP(E228,PROVEEDORES!$A$3:$G$42,2,0),"")</f>
        <v>ABARROTES</v>
      </c>
      <c r="G228" s="66" t="str">
        <f>IFERROR(VLOOKUP(E228,PROVEEDORES!$A$3:$G$42,4,0),"")</f>
        <v>pagos@bidfood.cl,pmolina@bidfood.cl</v>
      </c>
      <c r="H228" s="10" t="str">
        <f>IFERROR(VLOOKUP(E228,PROVEEDORES!$A$3:$G$42,5,0),"")</f>
        <v>56225994444 - 56998038459</v>
      </c>
      <c r="I228" s="11">
        <v>64000</v>
      </c>
      <c r="J228" s="64" t="s">
        <v>105</v>
      </c>
      <c r="K228" s="65" t="str">
        <f>IFERROR(VLOOKUP(J228,PROVEEDORES!$A$3:$G$42,2,0),"")</f>
        <v>ESPECIES</v>
      </c>
      <c r="L228" s="66" t="str">
        <f>IFERROR(VLOOKUP(J228,PROVEEDORES!$A$3:$G$42,4,0),"")</f>
        <v>chef@gourmetselect.cl,contabilidad@gourmetselect.cl,pedidos@gourmetselect.cl,info@gourmetselect.cl</v>
      </c>
      <c r="M228" s="10" t="str">
        <f>IFERROR(VLOOKUP(J228,PROVEEDORES!$A$3:$G$42,5,0),"")</f>
        <v>56944921093</v>
      </c>
      <c r="N228" s="11">
        <v>36064</v>
      </c>
      <c r="O228" s="64" t="s">
        <v>41</v>
      </c>
      <c r="P228" s="65" t="str">
        <f>IFERROR(VLOOKUP(O228,PROVEEDORES!$A$3:$G$42,2,0),"")</f>
        <v>FRUTAS Y VERDURAS</v>
      </c>
      <c r="Q228" s="66" t="str">
        <f>IFERROR(VLOOKUP(O228,PROVEEDORES!$A$3:$G$42,4,0),"")</f>
        <v>caseritaencasa@gmail.com</v>
      </c>
      <c r="R228" s="10" t="str">
        <f>IFERROR(VLOOKUP(O228,PROVEEDORES!$A$3:$G$42,5,0),"")</f>
        <v>56952069703</v>
      </c>
      <c r="S228" s="11">
        <v>78925</v>
      </c>
      <c r="T228" s="12">
        <f t="shared" si="6"/>
        <v>59663</v>
      </c>
      <c r="U228" s="13">
        <f t="shared" si="7"/>
        <v>65629.3</v>
      </c>
    </row>
    <row r="229" spans="1:21" ht="15" customHeight="1" x14ac:dyDescent="0.35">
      <c r="A229" s="14" t="s">
        <v>207</v>
      </c>
      <c r="B229" s="15" t="s">
        <v>434</v>
      </c>
      <c r="C229" s="16" t="s">
        <v>239</v>
      </c>
      <c r="D229" s="17">
        <v>1.7624999999999998E-2</v>
      </c>
      <c r="E229" s="67" t="s">
        <v>35</v>
      </c>
      <c r="F229" s="68" t="str">
        <f>IFERROR(VLOOKUP(E229,PROVEEDORES!$A$3:$G$42,2,0),"")</f>
        <v>ABARROTES</v>
      </c>
      <c r="G229" s="69" t="str">
        <f>IFERROR(VLOOKUP(E229,PROVEEDORES!$A$3:$G$42,4,0),"")</f>
        <v>pagos@bidfood.cl,pmolina@bidfood.cl</v>
      </c>
      <c r="H229" s="18" t="str">
        <f>IFERROR(VLOOKUP(E229,PROVEEDORES!$A$3:$G$42,5,0),"")</f>
        <v>56225994444 - 56998038459</v>
      </c>
      <c r="I229" s="19">
        <v>6250</v>
      </c>
      <c r="J229" s="67" t="s">
        <v>105</v>
      </c>
      <c r="K229" s="68" t="str">
        <f>IFERROR(VLOOKUP(J229,PROVEEDORES!$A$3:$G$42,2,0),"")</f>
        <v>ESPECIES</v>
      </c>
      <c r="L229" s="69" t="str">
        <f>IFERROR(VLOOKUP(J229,PROVEEDORES!$A$3:$G$42,4,0),"")</f>
        <v>chef@gourmetselect.cl,contabilidad@gourmetselect.cl,pedidos@gourmetselect.cl,info@gourmetselect.cl</v>
      </c>
      <c r="M229" s="18" t="str">
        <f>IFERROR(VLOOKUP(J229,PROVEEDORES!$A$3:$G$42,5,0),"")</f>
        <v>56944921093</v>
      </c>
      <c r="N229" s="19">
        <v>2669</v>
      </c>
      <c r="O229" s="67" t="s">
        <v>41</v>
      </c>
      <c r="P229" s="68" t="str">
        <f>IFERROR(VLOOKUP(O229,PROVEEDORES!$A$3:$G$42,2,0),"")</f>
        <v>FRUTAS Y VERDURAS</v>
      </c>
      <c r="Q229" s="69" t="str">
        <f>IFERROR(VLOOKUP(O229,PROVEEDORES!$A$3:$G$42,4,0),"")</f>
        <v>caseritaencasa@gmail.com</v>
      </c>
      <c r="R229" s="18" t="str">
        <f>IFERROR(VLOOKUP(O229,PROVEEDORES!$A$3:$G$42,5,0),"")</f>
        <v>56952069703</v>
      </c>
      <c r="S229" s="19">
        <v>9605</v>
      </c>
      <c r="T229" s="20">
        <f t="shared" si="6"/>
        <v>6174.666666666667</v>
      </c>
      <c r="U229" s="21">
        <f t="shared" si="7"/>
        <v>6792.1333333333341</v>
      </c>
    </row>
    <row r="230" spans="1:21" ht="15" customHeight="1" x14ac:dyDescent="0.35">
      <c r="A230" s="6" t="s">
        <v>207</v>
      </c>
      <c r="B230" s="7" t="s">
        <v>435</v>
      </c>
      <c r="C230" s="8" t="s">
        <v>219</v>
      </c>
      <c r="D230" s="9">
        <v>2.5000000000000001E-3</v>
      </c>
      <c r="E230" s="64" t="s">
        <v>35</v>
      </c>
      <c r="F230" s="65" t="str">
        <f>IFERROR(VLOOKUP(E230,PROVEEDORES!$A$3:$G$42,2,0),"")</f>
        <v>ABARROTES</v>
      </c>
      <c r="G230" s="66" t="str">
        <f>IFERROR(VLOOKUP(E230,PROVEEDORES!$A$3:$G$42,4,0),"")</f>
        <v>pagos@bidfood.cl,pmolina@bidfood.cl</v>
      </c>
      <c r="H230" s="10" t="str">
        <f>IFERROR(VLOOKUP(E230,PROVEEDORES!$A$3:$G$42,5,0),"")</f>
        <v>56225994444 - 56998038459</v>
      </c>
      <c r="I230" s="11">
        <v>25000</v>
      </c>
      <c r="J230" s="64" t="s">
        <v>105</v>
      </c>
      <c r="K230" s="65" t="str">
        <f>IFERROR(VLOOKUP(J230,PROVEEDORES!$A$3:$G$42,2,0),"")</f>
        <v>ESPECIES</v>
      </c>
      <c r="L230" s="66" t="str">
        <f>IFERROR(VLOOKUP(J230,PROVEEDORES!$A$3:$G$42,4,0),"")</f>
        <v>chef@gourmetselect.cl,contabilidad@gourmetselect.cl,pedidos@gourmetselect.cl,info@gourmetselect.cl</v>
      </c>
      <c r="M230" s="10" t="str">
        <f>IFERROR(VLOOKUP(J230,PROVEEDORES!$A$3:$G$42,5,0),"")</f>
        <v>56944921093</v>
      </c>
      <c r="N230" s="11">
        <v>24625</v>
      </c>
      <c r="O230" s="64" t="s">
        <v>41</v>
      </c>
      <c r="P230" s="65" t="str">
        <f>IFERROR(VLOOKUP(O230,PROVEEDORES!$A$3:$G$42,2,0),"")</f>
        <v>FRUTAS Y VERDURAS</v>
      </c>
      <c r="Q230" s="66" t="str">
        <f>IFERROR(VLOOKUP(O230,PROVEEDORES!$A$3:$G$42,4,0),"")</f>
        <v>caseritaencasa@gmail.com</v>
      </c>
      <c r="R230" s="10" t="str">
        <f>IFERROR(VLOOKUP(O230,PROVEEDORES!$A$3:$G$42,5,0),"")</f>
        <v>56952069703</v>
      </c>
      <c r="S230" s="11">
        <v>38695</v>
      </c>
      <c r="T230" s="12">
        <f t="shared" si="6"/>
        <v>29440</v>
      </c>
      <c r="U230" s="13">
        <f t="shared" si="7"/>
        <v>32384.000000000004</v>
      </c>
    </row>
    <row r="231" spans="1:21" ht="15" customHeight="1" x14ac:dyDescent="0.35">
      <c r="A231" s="14" t="s">
        <v>207</v>
      </c>
      <c r="B231" s="15" t="s">
        <v>436</v>
      </c>
      <c r="C231" s="16" t="s">
        <v>239</v>
      </c>
      <c r="D231" s="17">
        <v>2.5</v>
      </c>
      <c r="E231" s="67" t="s">
        <v>35</v>
      </c>
      <c r="F231" s="68" t="str">
        <f>IFERROR(VLOOKUP(E231,PROVEEDORES!$A$3:$G$42,2,0),"")</f>
        <v>ABARROTES</v>
      </c>
      <c r="G231" s="69" t="str">
        <f>IFERROR(VLOOKUP(E231,PROVEEDORES!$A$3:$G$42,4,0),"")</f>
        <v>pagos@bidfood.cl,pmolina@bidfood.cl</v>
      </c>
      <c r="H231" s="18" t="str">
        <f>IFERROR(VLOOKUP(E231,PROVEEDORES!$A$3:$G$42,5,0),"")</f>
        <v>56225994444 - 56998038459</v>
      </c>
      <c r="I231" s="19">
        <v>3500</v>
      </c>
      <c r="J231" s="67" t="s">
        <v>105</v>
      </c>
      <c r="K231" s="68" t="str">
        <f>IFERROR(VLOOKUP(J231,PROVEEDORES!$A$3:$G$42,2,0),"")</f>
        <v>ESPECIES</v>
      </c>
      <c r="L231" s="69" t="str">
        <f>IFERROR(VLOOKUP(J231,PROVEEDORES!$A$3:$G$42,4,0),"")</f>
        <v>chef@gourmetselect.cl,contabilidad@gourmetselect.cl,pedidos@gourmetselect.cl,info@gourmetselect.cl</v>
      </c>
      <c r="M231" s="18" t="str">
        <f>IFERROR(VLOOKUP(J231,PROVEEDORES!$A$3:$G$42,5,0),"")</f>
        <v>56944921093</v>
      </c>
      <c r="N231" s="19">
        <v>4923</v>
      </c>
      <c r="O231" s="67" t="s">
        <v>41</v>
      </c>
      <c r="P231" s="68" t="str">
        <f>IFERROR(VLOOKUP(O231,PROVEEDORES!$A$3:$G$42,2,0),"")</f>
        <v>FRUTAS Y VERDURAS</v>
      </c>
      <c r="Q231" s="69" t="str">
        <f>IFERROR(VLOOKUP(O231,PROVEEDORES!$A$3:$G$42,4,0),"")</f>
        <v>caseritaencasa@gmail.com</v>
      </c>
      <c r="R231" s="18" t="str">
        <f>IFERROR(VLOOKUP(O231,PROVEEDORES!$A$3:$G$42,5,0),"")</f>
        <v>56952069703</v>
      </c>
      <c r="S231" s="19">
        <v>6156</v>
      </c>
      <c r="T231" s="20">
        <f t="shared" si="6"/>
        <v>4859.666666666667</v>
      </c>
      <c r="U231" s="21">
        <f t="shared" si="7"/>
        <v>5345.6333333333341</v>
      </c>
    </row>
    <row r="232" spans="1:21" ht="15" customHeight="1" x14ac:dyDescent="0.35">
      <c r="A232" s="6" t="s">
        <v>207</v>
      </c>
      <c r="B232" s="7" t="s">
        <v>437</v>
      </c>
      <c r="C232" s="8" t="s">
        <v>239</v>
      </c>
      <c r="D232" s="9">
        <v>0.2205</v>
      </c>
      <c r="E232" s="64" t="s">
        <v>35</v>
      </c>
      <c r="F232" s="65" t="str">
        <f>IFERROR(VLOOKUP(E232,PROVEEDORES!$A$3:$G$42,2,0),"")</f>
        <v>ABARROTES</v>
      </c>
      <c r="G232" s="66" t="str">
        <f>IFERROR(VLOOKUP(E232,PROVEEDORES!$A$3:$G$42,4,0),"")</f>
        <v>pagos@bidfood.cl,pmolina@bidfood.cl</v>
      </c>
      <c r="H232" s="10" t="str">
        <f>IFERROR(VLOOKUP(E232,PROVEEDORES!$A$3:$G$42,5,0),"")</f>
        <v>56225994444 - 56998038459</v>
      </c>
      <c r="I232" s="11">
        <v>2158</v>
      </c>
      <c r="J232" s="64" t="s">
        <v>105</v>
      </c>
      <c r="K232" s="65" t="str">
        <f>IFERROR(VLOOKUP(J232,PROVEEDORES!$A$3:$G$42,2,0),"")</f>
        <v>ESPECIES</v>
      </c>
      <c r="L232" s="66" t="str">
        <f>IFERROR(VLOOKUP(J232,PROVEEDORES!$A$3:$G$42,4,0),"")</f>
        <v>chef@gourmetselect.cl,contabilidad@gourmetselect.cl,pedidos@gourmetselect.cl,info@gourmetselect.cl</v>
      </c>
      <c r="M232" s="10" t="str">
        <f>IFERROR(VLOOKUP(J232,PROVEEDORES!$A$3:$G$42,5,0),"")</f>
        <v>56944921093</v>
      </c>
      <c r="N232" s="11">
        <v>2197</v>
      </c>
      <c r="O232" s="64" t="s">
        <v>41</v>
      </c>
      <c r="P232" s="65" t="str">
        <f>IFERROR(VLOOKUP(O232,PROVEEDORES!$A$3:$G$42,2,0),"")</f>
        <v>FRUTAS Y VERDURAS</v>
      </c>
      <c r="Q232" s="66" t="str">
        <f>IFERROR(VLOOKUP(O232,PROVEEDORES!$A$3:$G$42,4,0),"")</f>
        <v>caseritaencasa@gmail.com</v>
      </c>
      <c r="R232" s="10" t="str">
        <f>IFERROR(VLOOKUP(O232,PROVEEDORES!$A$3:$G$42,5,0),"")</f>
        <v>56952069703</v>
      </c>
      <c r="S232" s="11">
        <v>1911</v>
      </c>
      <c r="T232" s="12">
        <f t="shared" si="6"/>
        <v>2088.6666666666665</v>
      </c>
      <c r="U232" s="13">
        <f t="shared" si="7"/>
        <v>2297.5333333333333</v>
      </c>
    </row>
    <row r="233" spans="1:21" ht="15" customHeight="1" x14ac:dyDescent="0.35">
      <c r="A233" s="14" t="s">
        <v>207</v>
      </c>
      <c r="B233" s="15" t="s">
        <v>438</v>
      </c>
      <c r="C233" s="16" t="s">
        <v>219</v>
      </c>
      <c r="D233" s="17">
        <v>7.5000000000000002E-4</v>
      </c>
      <c r="E233" s="67" t="s">
        <v>35</v>
      </c>
      <c r="F233" s="68" t="str">
        <f>IFERROR(VLOOKUP(E233,PROVEEDORES!$A$3:$G$42,2,0),"")</f>
        <v>ABARROTES</v>
      </c>
      <c r="G233" s="69" t="str">
        <f>IFERROR(VLOOKUP(E233,PROVEEDORES!$A$3:$G$42,4,0),"")</f>
        <v>pagos@bidfood.cl,pmolina@bidfood.cl</v>
      </c>
      <c r="H233" s="18" t="str">
        <f>IFERROR(VLOOKUP(E233,PROVEEDORES!$A$3:$G$42,5,0),"")</f>
        <v>56225994444 - 56998038459</v>
      </c>
      <c r="I233" s="19">
        <v>49800</v>
      </c>
      <c r="J233" s="67" t="s">
        <v>105</v>
      </c>
      <c r="K233" s="68" t="str">
        <f>IFERROR(VLOOKUP(J233,PROVEEDORES!$A$3:$G$42,2,0),"")</f>
        <v>ESPECIES</v>
      </c>
      <c r="L233" s="69" t="str">
        <f>IFERROR(VLOOKUP(J233,PROVEEDORES!$A$3:$G$42,4,0),"")</f>
        <v>chef@gourmetselect.cl,contabilidad@gourmetselect.cl,pedidos@gourmetselect.cl,info@gourmetselect.cl</v>
      </c>
      <c r="M233" s="18" t="str">
        <f>IFERROR(VLOOKUP(J233,PROVEEDORES!$A$3:$G$42,5,0),"")</f>
        <v>56944921093</v>
      </c>
      <c r="N233" s="19">
        <v>18127</v>
      </c>
      <c r="O233" s="67" t="s">
        <v>41</v>
      </c>
      <c r="P233" s="68" t="str">
        <f>IFERROR(VLOOKUP(O233,PROVEEDORES!$A$3:$G$42,2,0),"")</f>
        <v>FRUTAS Y VERDURAS</v>
      </c>
      <c r="Q233" s="69" t="str">
        <f>IFERROR(VLOOKUP(O233,PROVEEDORES!$A$3:$G$42,4,0),"")</f>
        <v>caseritaencasa@gmail.com</v>
      </c>
      <c r="R233" s="18" t="str">
        <f>IFERROR(VLOOKUP(O233,PROVEEDORES!$A$3:$G$42,5,0),"")</f>
        <v>56952069703</v>
      </c>
      <c r="S233" s="19">
        <v>20876</v>
      </c>
      <c r="T233" s="20">
        <f t="shared" si="6"/>
        <v>29601</v>
      </c>
      <c r="U233" s="21">
        <f t="shared" si="7"/>
        <v>32561.100000000002</v>
      </c>
    </row>
    <row r="234" spans="1:21" ht="15" customHeight="1" x14ac:dyDescent="0.35">
      <c r="A234" s="6" t="s">
        <v>207</v>
      </c>
      <c r="B234" s="7" t="s">
        <v>439</v>
      </c>
      <c r="C234" s="8" t="s">
        <v>219</v>
      </c>
      <c r="D234" s="9">
        <v>4.7125E-2</v>
      </c>
      <c r="E234" s="64" t="s">
        <v>35</v>
      </c>
      <c r="F234" s="65" t="str">
        <f>IFERROR(VLOOKUP(E234,PROVEEDORES!$A$3:$G$42,2,0),"")</f>
        <v>ABARROTES</v>
      </c>
      <c r="G234" s="66" t="str">
        <f>IFERROR(VLOOKUP(E234,PROVEEDORES!$A$3:$G$42,4,0),"")</f>
        <v>pagos@bidfood.cl,pmolina@bidfood.cl</v>
      </c>
      <c r="H234" s="10" t="str">
        <f>IFERROR(VLOOKUP(E234,PROVEEDORES!$A$3:$G$42,5,0),"")</f>
        <v>56225994444 - 56998038459</v>
      </c>
      <c r="I234" s="11">
        <v>5780</v>
      </c>
      <c r="J234" s="64" t="s">
        <v>105</v>
      </c>
      <c r="K234" s="65" t="str">
        <f>IFERROR(VLOOKUP(J234,PROVEEDORES!$A$3:$G$42,2,0),"")</f>
        <v>ESPECIES</v>
      </c>
      <c r="L234" s="66" t="str">
        <f>IFERROR(VLOOKUP(J234,PROVEEDORES!$A$3:$G$42,4,0),"")</f>
        <v>chef@gourmetselect.cl,contabilidad@gourmetselect.cl,pedidos@gourmetselect.cl,info@gourmetselect.cl</v>
      </c>
      <c r="M234" s="10" t="str">
        <f>IFERROR(VLOOKUP(J234,PROVEEDORES!$A$3:$G$42,5,0),"")</f>
        <v>56944921093</v>
      </c>
      <c r="N234" s="11">
        <v>9577</v>
      </c>
      <c r="O234" s="64" t="s">
        <v>41</v>
      </c>
      <c r="P234" s="65" t="str">
        <f>IFERROR(VLOOKUP(O234,PROVEEDORES!$A$3:$G$42,2,0),"")</f>
        <v>FRUTAS Y VERDURAS</v>
      </c>
      <c r="Q234" s="66" t="str">
        <f>IFERROR(VLOOKUP(O234,PROVEEDORES!$A$3:$G$42,4,0),"")</f>
        <v>caseritaencasa@gmail.com</v>
      </c>
      <c r="R234" s="10" t="str">
        <f>IFERROR(VLOOKUP(O234,PROVEEDORES!$A$3:$G$42,5,0),"")</f>
        <v>56952069703</v>
      </c>
      <c r="S234" s="11">
        <v>5500</v>
      </c>
      <c r="T234" s="12">
        <f t="shared" si="6"/>
        <v>6952.333333333333</v>
      </c>
      <c r="U234" s="13">
        <f t="shared" si="7"/>
        <v>7647.5666666666666</v>
      </c>
    </row>
    <row r="235" spans="1:21" ht="15" customHeight="1" x14ac:dyDescent="0.35">
      <c r="A235" s="14" t="s">
        <v>207</v>
      </c>
      <c r="B235" s="15" t="s">
        <v>440</v>
      </c>
      <c r="C235" s="16" t="s">
        <v>219</v>
      </c>
      <c r="D235" s="17">
        <v>0.19</v>
      </c>
      <c r="E235" s="67" t="s">
        <v>35</v>
      </c>
      <c r="F235" s="68" t="str">
        <f>IFERROR(VLOOKUP(E235,PROVEEDORES!$A$3:$G$42,2,0),"")</f>
        <v>ABARROTES</v>
      </c>
      <c r="G235" s="69" t="str">
        <f>IFERROR(VLOOKUP(E235,PROVEEDORES!$A$3:$G$42,4,0),"")</f>
        <v>pagos@bidfood.cl,pmolina@bidfood.cl</v>
      </c>
      <c r="H235" s="18" t="str">
        <f>IFERROR(VLOOKUP(E235,PROVEEDORES!$A$3:$G$42,5,0),"")</f>
        <v>56225994444 - 56998038459</v>
      </c>
      <c r="I235" s="19">
        <v>2787</v>
      </c>
      <c r="J235" s="67" t="s">
        <v>105</v>
      </c>
      <c r="K235" s="68" t="str">
        <f>IFERROR(VLOOKUP(J235,PROVEEDORES!$A$3:$G$42,2,0),"")</f>
        <v>ESPECIES</v>
      </c>
      <c r="L235" s="69" t="str">
        <f>IFERROR(VLOOKUP(J235,PROVEEDORES!$A$3:$G$42,4,0),"")</f>
        <v>chef@gourmetselect.cl,contabilidad@gourmetselect.cl,pedidos@gourmetselect.cl,info@gourmetselect.cl</v>
      </c>
      <c r="M235" s="18" t="str">
        <f>IFERROR(VLOOKUP(J235,PROVEEDORES!$A$3:$G$42,5,0),"")</f>
        <v>56944921093</v>
      </c>
      <c r="N235" s="19">
        <v>3682</v>
      </c>
      <c r="O235" s="67" t="s">
        <v>41</v>
      </c>
      <c r="P235" s="68" t="str">
        <f>IFERROR(VLOOKUP(O235,PROVEEDORES!$A$3:$G$42,2,0),"")</f>
        <v>FRUTAS Y VERDURAS</v>
      </c>
      <c r="Q235" s="69" t="str">
        <f>IFERROR(VLOOKUP(O235,PROVEEDORES!$A$3:$G$42,4,0),"")</f>
        <v>caseritaencasa@gmail.com</v>
      </c>
      <c r="R235" s="18" t="str">
        <f>IFERROR(VLOOKUP(O235,PROVEEDORES!$A$3:$G$42,5,0),"")</f>
        <v>56952069703</v>
      </c>
      <c r="S235" s="19">
        <v>451</v>
      </c>
      <c r="T235" s="20">
        <f t="shared" si="6"/>
        <v>2306.6666666666665</v>
      </c>
      <c r="U235" s="21">
        <f t="shared" si="7"/>
        <v>2537.3333333333335</v>
      </c>
    </row>
    <row r="236" spans="1:21" ht="15" customHeight="1" x14ac:dyDescent="0.35">
      <c r="A236" s="6" t="s">
        <v>207</v>
      </c>
      <c r="B236" s="7" t="s">
        <v>441</v>
      </c>
      <c r="C236" s="8" t="s">
        <v>239</v>
      </c>
      <c r="D236" s="9">
        <v>4.6174999999999997</v>
      </c>
      <c r="E236" s="64" t="s">
        <v>35</v>
      </c>
      <c r="F236" s="65" t="str">
        <f>IFERROR(VLOOKUP(E236,PROVEEDORES!$A$3:$G$42,2,0),"")</f>
        <v>ABARROTES</v>
      </c>
      <c r="G236" s="66" t="str">
        <f>IFERROR(VLOOKUP(E236,PROVEEDORES!$A$3:$G$42,4,0),"")</f>
        <v>pagos@bidfood.cl,pmolina@bidfood.cl</v>
      </c>
      <c r="H236" s="10" t="str">
        <f>IFERROR(VLOOKUP(E236,PROVEEDORES!$A$3:$G$42,5,0),"")</f>
        <v>56225994444 - 56998038459</v>
      </c>
      <c r="I236" s="11">
        <v>3738</v>
      </c>
      <c r="J236" s="64" t="s">
        <v>105</v>
      </c>
      <c r="K236" s="65" t="str">
        <f>IFERROR(VLOOKUP(J236,PROVEEDORES!$A$3:$G$42,2,0),"")</f>
        <v>ESPECIES</v>
      </c>
      <c r="L236" s="66" t="str">
        <f>IFERROR(VLOOKUP(J236,PROVEEDORES!$A$3:$G$42,4,0),"")</f>
        <v>chef@gourmetselect.cl,contabilidad@gourmetselect.cl,pedidos@gourmetselect.cl,info@gourmetselect.cl</v>
      </c>
      <c r="M236" s="10" t="str">
        <f>IFERROR(VLOOKUP(J236,PROVEEDORES!$A$3:$G$42,5,0),"")</f>
        <v>56944921093</v>
      </c>
      <c r="N236" s="11">
        <v>2420</v>
      </c>
      <c r="O236" s="64" t="s">
        <v>41</v>
      </c>
      <c r="P236" s="65" t="str">
        <f>IFERROR(VLOOKUP(O236,PROVEEDORES!$A$3:$G$42,2,0),"")</f>
        <v>FRUTAS Y VERDURAS</v>
      </c>
      <c r="Q236" s="66" t="str">
        <f>IFERROR(VLOOKUP(O236,PROVEEDORES!$A$3:$G$42,4,0),"")</f>
        <v>caseritaencasa@gmail.com</v>
      </c>
      <c r="R236" s="10" t="str">
        <f>IFERROR(VLOOKUP(O236,PROVEEDORES!$A$3:$G$42,5,0),"")</f>
        <v>56952069703</v>
      </c>
      <c r="S236" s="11">
        <v>1921</v>
      </c>
      <c r="T236" s="12">
        <f t="shared" si="6"/>
        <v>2693</v>
      </c>
      <c r="U236" s="13">
        <f t="shared" si="7"/>
        <v>2962.3</v>
      </c>
    </row>
    <row r="237" spans="1:21" ht="15" customHeight="1" x14ac:dyDescent="0.35">
      <c r="A237" s="14" t="s">
        <v>207</v>
      </c>
      <c r="B237" s="15" t="s">
        <v>442</v>
      </c>
      <c r="C237" s="16" t="s">
        <v>209</v>
      </c>
      <c r="D237" s="17">
        <v>0.49906250000000002</v>
      </c>
      <c r="E237" s="67" t="s">
        <v>35</v>
      </c>
      <c r="F237" s="68" t="str">
        <f>IFERROR(VLOOKUP(E237,PROVEEDORES!$A$3:$G$42,2,0),"")</f>
        <v>ABARROTES</v>
      </c>
      <c r="G237" s="69" t="str">
        <f>IFERROR(VLOOKUP(E237,PROVEEDORES!$A$3:$G$42,4,0),"")</f>
        <v>pagos@bidfood.cl,pmolina@bidfood.cl</v>
      </c>
      <c r="H237" s="18" t="str">
        <f>IFERROR(VLOOKUP(E237,PROVEEDORES!$A$3:$G$42,5,0),"")</f>
        <v>56225994444 - 56998038459</v>
      </c>
      <c r="I237" s="19">
        <v>838</v>
      </c>
      <c r="J237" s="67" t="s">
        <v>105</v>
      </c>
      <c r="K237" s="68" t="str">
        <f>IFERROR(VLOOKUP(J237,PROVEEDORES!$A$3:$G$42,2,0),"")</f>
        <v>ESPECIES</v>
      </c>
      <c r="L237" s="69" t="str">
        <f>IFERROR(VLOOKUP(J237,PROVEEDORES!$A$3:$G$42,4,0),"")</f>
        <v>chef@gourmetselect.cl,contabilidad@gourmetselect.cl,pedidos@gourmetselect.cl,info@gourmetselect.cl</v>
      </c>
      <c r="M237" s="18" t="str">
        <f>IFERROR(VLOOKUP(J237,PROVEEDORES!$A$3:$G$42,5,0),"")</f>
        <v>56944921093</v>
      </c>
      <c r="N237" s="19">
        <v>969</v>
      </c>
      <c r="O237" s="67" t="s">
        <v>41</v>
      </c>
      <c r="P237" s="68" t="str">
        <f>IFERROR(VLOOKUP(O237,PROVEEDORES!$A$3:$G$42,2,0),"")</f>
        <v>FRUTAS Y VERDURAS</v>
      </c>
      <c r="Q237" s="69" t="str">
        <f>IFERROR(VLOOKUP(O237,PROVEEDORES!$A$3:$G$42,4,0),"")</f>
        <v>caseritaencasa@gmail.com</v>
      </c>
      <c r="R237" s="18" t="str">
        <f>IFERROR(VLOOKUP(O237,PROVEEDORES!$A$3:$G$42,5,0),"")</f>
        <v>56952069703</v>
      </c>
      <c r="S237" s="19">
        <v>1398</v>
      </c>
      <c r="T237" s="20">
        <f t="shared" si="6"/>
        <v>1068.3333333333333</v>
      </c>
      <c r="U237" s="21">
        <f t="shared" si="7"/>
        <v>1175.1666666666667</v>
      </c>
    </row>
    <row r="238" spans="1:21" ht="15" customHeight="1" x14ac:dyDescent="0.35">
      <c r="A238" s="6" t="s">
        <v>207</v>
      </c>
      <c r="B238" s="7" t="s">
        <v>443</v>
      </c>
      <c r="C238" s="8" t="s">
        <v>209</v>
      </c>
      <c r="D238" s="9">
        <v>1E-3</v>
      </c>
      <c r="E238" s="64" t="s">
        <v>35</v>
      </c>
      <c r="F238" s="65" t="str">
        <f>IFERROR(VLOOKUP(E238,PROVEEDORES!$A$3:$G$42,2,0),"")</f>
        <v>ABARROTES</v>
      </c>
      <c r="G238" s="66" t="str">
        <f>IFERROR(VLOOKUP(E238,PROVEEDORES!$A$3:$G$42,4,0),"")</f>
        <v>pagos@bidfood.cl,pmolina@bidfood.cl</v>
      </c>
      <c r="H238" s="10" t="str">
        <f>IFERROR(VLOOKUP(E238,PROVEEDORES!$A$3:$G$42,5,0),"")</f>
        <v>56225994444 - 56998038459</v>
      </c>
      <c r="I238" s="11">
        <v>980</v>
      </c>
      <c r="J238" s="64" t="s">
        <v>105</v>
      </c>
      <c r="K238" s="65" t="str">
        <f>IFERROR(VLOOKUP(J238,PROVEEDORES!$A$3:$G$42,2,0),"")</f>
        <v>ESPECIES</v>
      </c>
      <c r="L238" s="66" t="str">
        <f>IFERROR(VLOOKUP(J238,PROVEEDORES!$A$3:$G$42,4,0),"")</f>
        <v>chef@gourmetselect.cl,contabilidad@gourmetselect.cl,pedidos@gourmetselect.cl,info@gourmetselect.cl</v>
      </c>
      <c r="M238" s="10" t="str">
        <f>IFERROR(VLOOKUP(J238,PROVEEDORES!$A$3:$G$42,5,0),"")</f>
        <v>56944921093</v>
      </c>
      <c r="N238" s="11">
        <v>1481</v>
      </c>
      <c r="O238" s="64" t="s">
        <v>41</v>
      </c>
      <c r="P238" s="65" t="str">
        <f>IFERROR(VLOOKUP(O238,PROVEEDORES!$A$3:$G$42,2,0),"")</f>
        <v>FRUTAS Y VERDURAS</v>
      </c>
      <c r="Q238" s="66" t="str">
        <f>IFERROR(VLOOKUP(O238,PROVEEDORES!$A$3:$G$42,4,0),"")</f>
        <v>caseritaencasa@gmail.com</v>
      </c>
      <c r="R238" s="10" t="str">
        <f>IFERROR(VLOOKUP(O238,PROVEEDORES!$A$3:$G$42,5,0),"")</f>
        <v>56952069703</v>
      </c>
      <c r="S238" s="11">
        <v>685</v>
      </c>
      <c r="T238" s="12">
        <f t="shared" si="6"/>
        <v>1048.6666666666667</v>
      </c>
      <c r="U238" s="13">
        <f t="shared" si="7"/>
        <v>1153.5333333333335</v>
      </c>
    </row>
    <row r="239" spans="1:21" ht="15" customHeight="1" x14ac:dyDescent="0.35">
      <c r="A239" s="14" t="s">
        <v>207</v>
      </c>
      <c r="B239" s="15" t="s">
        <v>444</v>
      </c>
      <c r="C239" s="16" t="s">
        <v>209</v>
      </c>
      <c r="D239" s="17">
        <v>9.8500000000000004E-2</v>
      </c>
      <c r="E239" s="67" t="s">
        <v>35</v>
      </c>
      <c r="F239" s="68" t="str">
        <f>IFERROR(VLOOKUP(E239,PROVEEDORES!$A$3:$G$42,2,0),"")</f>
        <v>ABARROTES</v>
      </c>
      <c r="G239" s="69" t="str">
        <f>IFERROR(VLOOKUP(E239,PROVEEDORES!$A$3:$G$42,4,0),"")</f>
        <v>pagos@bidfood.cl,pmolina@bidfood.cl</v>
      </c>
      <c r="H239" s="18" t="str">
        <f>IFERROR(VLOOKUP(E239,PROVEEDORES!$A$3:$G$42,5,0),"")</f>
        <v>56225994444 - 56998038459</v>
      </c>
      <c r="I239" s="19">
        <v>5456</v>
      </c>
      <c r="J239" s="67" t="s">
        <v>105</v>
      </c>
      <c r="K239" s="68" t="str">
        <f>IFERROR(VLOOKUP(J239,PROVEEDORES!$A$3:$G$42,2,0),"")</f>
        <v>ESPECIES</v>
      </c>
      <c r="L239" s="69" t="str">
        <f>IFERROR(VLOOKUP(J239,PROVEEDORES!$A$3:$G$42,4,0),"")</f>
        <v>chef@gourmetselect.cl,contabilidad@gourmetselect.cl,pedidos@gourmetselect.cl,info@gourmetselect.cl</v>
      </c>
      <c r="M239" s="18" t="str">
        <f>IFERROR(VLOOKUP(J239,PROVEEDORES!$A$3:$G$42,5,0),"")</f>
        <v>56944921093</v>
      </c>
      <c r="N239" s="19">
        <v>5824</v>
      </c>
      <c r="O239" s="67" t="s">
        <v>41</v>
      </c>
      <c r="P239" s="68" t="str">
        <f>IFERROR(VLOOKUP(O239,PROVEEDORES!$A$3:$G$42,2,0),"")</f>
        <v>FRUTAS Y VERDURAS</v>
      </c>
      <c r="Q239" s="69" t="str">
        <f>IFERROR(VLOOKUP(O239,PROVEEDORES!$A$3:$G$42,4,0),"")</f>
        <v>caseritaencasa@gmail.com</v>
      </c>
      <c r="R239" s="18" t="str">
        <f>IFERROR(VLOOKUP(O239,PROVEEDORES!$A$3:$G$42,5,0),"")</f>
        <v>56952069703</v>
      </c>
      <c r="S239" s="19">
        <v>3427</v>
      </c>
      <c r="T239" s="20">
        <f t="shared" si="6"/>
        <v>4902.333333333333</v>
      </c>
      <c r="U239" s="21">
        <f t="shared" si="7"/>
        <v>5392.5666666666666</v>
      </c>
    </row>
    <row r="240" spans="1:21" ht="15" customHeight="1" x14ac:dyDescent="0.35">
      <c r="A240" s="6" t="s">
        <v>207</v>
      </c>
      <c r="B240" s="7" t="s">
        <v>445</v>
      </c>
      <c r="C240" s="8" t="s">
        <v>209</v>
      </c>
      <c r="D240" s="9">
        <v>1.11875E-2</v>
      </c>
      <c r="E240" s="64" t="s">
        <v>35</v>
      </c>
      <c r="F240" s="65" t="str">
        <f>IFERROR(VLOOKUP(E240,PROVEEDORES!$A$3:$G$42,2,0),"")</f>
        <v>ABARROTES</v>
      </c>
      <c r="G240" s="66" t="str">
        <f>IFERROR(VLOOKUP(E240,PROVEEDORES!$A$3:$G$42,4,0),"")</f>
        <v>pagos@bidfood.cl,pmolina@bidfood.cl</v>
      </c>
      <c r="H240" s="10" t="str">
        <f>IFERROR(VLOOKUP(E240,PROVEEDORES!$A$3:$G$42,5,0),"")</f>
        <v>56225994444 - 56998038459</v>
      </c>
      <c r="I240" s="11">
        <v>21960</v>
      </c>
      <c r="J240" s="64" t="s">
        <v>105</v>
      </c>
      <c r="K240" s="65" t="str">
        <f>IFERROR(VLOOKUP(J240,PROVEEDORES!$A$3:$G$42,2,0),"")</f>
        <v>ESPECIES</v>
      </c>
      <c r="L240" s="66" t="str">
        <f>IFERROR(VLOOKUP(J240,PROVEEDORES!$A$3:$G$42,4,0),"")</f>
        <v>chef@gourmetselect.cl,contabilidad@gourmetselect.cl,pedidos@gourmetselect.cl,info@gourmetselect.cl</v>
      </c>
      <c r="M240" s="10" t="str">
        <f>IFERROR(VLOOKUP(J240,PROVEEDORES!$A$3:$G$42,5,0),"")</f>
        <v>56944921093</v>
      </c>
      <c r="N240" s="11">
        <v>30986</v>
      </c>
      <c r="O240" s="64" t="s">
        <v>41</v>
      </c>
      <c r="P240" s="65" t="str">
        <f>IFERROR(VLOOKUP(O240,PROVEEDORES!$A$3:$G$42,2,0),"")</f>
        <v>FRUTAS Y VERDURAS</v>
      </c>
      <c r="Q240" s="66" t="str">
        <f>IFERROR(VLOOKUP(O240,PROVEEDORES!$A$3:$G$42,4,0),"")</f>
        <v>caseritaencasa@gmail.com</v>
      </c>
      <c r="R240" s="10" t="str">
        <f>IFERROR(VLOOKUP(O240,PROVEEDORES!$A$3:$G$42,5,0),"")</f>
        <v>56952069703</v>
      </c>
      <c r="S240" s="11">
        <v>12877</v>
      </c>
      <c r="T240" s="12">
        <f t="shared" si="6"/>
        <v>21941</v>
      </c>
      <c r="U240" s="13">
        <f t="shared" si="7"/>
        <v>24135.100000000002</v>
      </c>
    </row>
    <row r="241" spans="1:21" ht="15" customHeight="1" x14ac:dyDescent="0.35">
      <c r="A241" s="14" t="s">
        <v>207</v>
      </c>
      <c r="B241" s="15" t="s">
        <v>446</v>
      </c>
      <c r="C241" s="16" t="s">
        <v>209</v>
      </c>
      <c r="D241" s="17">
        <v>8.1000000000000003E-2</v>
      </c>
      <c r="E241" s="67" t="s">
        <v>35</v>
      </c>
      <c r="F241" s="68" t="str">
        <f>IFERROR(VLOOKUP(E241,PROVEEDORES!$A$3:$G$42,2,0),"")</f>
        <v>ABARROTES</v>
      </c>
      <c r="G241" s="69" t="str">
        <f>IFERROR(VLOOKUP(E241,PROVEEDORES!$A$3:$G$42,4,0),"")</f>
        <v>pagos@bidfood.cl,pmolina@bidfood.cl</v>
      </c>
      <c r="H241" s="18" t="str">
        <f>IFERROR(VLOOKUP(E241,PROVEEDORES!$A$3:$G$42,5,0),"")</f>
        <v>56225994444 - 56998038459</v>
      </c>
      <c r="I241" s="19">
        <v>1937</v>
      </c>
      <c r="J241" s="67" t="s">
        <v>105</v>
      </c>
      <c r="K241" s="68" t="str">
        <f>IFERROR(VLOOKUP(J241,PROVEEDORES!$A$3:$G$42,2,0),"")</f>
        <v>ESPECIES</v>
      </c>
      <c r="L241" s="69" t="str">
        <f>IFERROR(VLOOKUP(J241,PROVEEDORES!$A$3:$G$42,4,0),"")</f>
        <v>chef@gourmetselect.cl,contabilidad@gourmetselect.cl,pedidos@gourmetselect.cl,info@gourmetselect.cl</v>
      </c>
      <c r="M241" s="18" t="str">
        <f>IFERROR(VLOOKUP(J241,PROVEEDORES!$A$3:$G$42,5,0),"")</f>
        <v>56944921093</v>
      </c>
      <c r="N241" s="19">
        <v>1757</v>
      </c>
      <c r="O241" s="67" t="s">
        <v>41</v>
      </c>
      <c r="P241" s="68" t="str">
        <f>IFERROR(VLOOKUP(O241,PROVEEDORES!$A$3:$G$42,2,0),"")</f>
        <v>FRUTAS Y VERDURAS</v>
      </c>
      <c r="Q241" s="69" t="str">
        <f>IFERROR(VLOOKUP(O241,PROVEEDORES!$A$3:$G$42,4,0),"")</f>
        <v>caseritaencasa@gmail.com</v>
      </c>
      <c r="R241" s="18" t="str">
        <f>IFERROR(VLOOKUP(O241,PROVEEDORES!$A$3:$G$42,5,0),"")</f>
        <v>56952069703</v>
      </c>
      <c r="S241" s="19">
        <v>889</v>
      </c>
      <c r="T241" s="20">
        <f t="shared" si="6"/>
        <v>1527.6666666666667</v>
      </c>
      <c r="U241" s="21">
        <f t="shared" si="7"/>
        <v>1680.4333333333336</v>
      </c>
    </row>
    <row r="242" spans="1:21" ht="15" customHeight="1" x14ac:dyDescent="0.35">
      <c r="A242" s="6" t="s">
        <v>207</v>
      </c>
      <c r="B242" s="7" t="s">
        <v>447</v>
      </c>
      <c r="C242" s="8" t="s">
        <v>209</v>
      </c>
      <c r="D242" s="9">
        <v>0.28375</v>
      </c>
      <c r="E242" s="64" t="s">
        <v>35</v>
      </c>
      <c r="F242" s="65" t="str">
        <f>IFERROR(VLOOKUP(E242,PROVEEDORES!$A$3:$G$42,2,0),"")</f>
        <v>ABARROTES</v>
      </c>
      <c r="G242" s="66" t="str">
        <f>IFERROR(VLOOKUP(E242,PROVEEDORES!$A$3:$G$42,4,0),"")</f>
        <v>pagos@bidfood.cl,pmolina@bidfood.cl</v>
      </c>
      <c r="H242" s="10" t="str">
        <f>IFERROR(VLOOKUP(E242,PROVEEDORES!$A$3:$G$42,5,0),"")</f>
        <v>56225994444 - 56998038459</v>
      </c>
      <c r="I242" s="11">
        <v>857</v>
      </c>
      <c r="J242" s="64" t="s">
        <v>105</v>
      </c>
      <c r="K242" s="65" t="str">
        <f>IFERROR(VLOOKUP(J242,PROVEEDORES!$A$3:$G$42,2,0),"")</f>
        <v>ESPECIES</v>
      </c>
      <c r="L242" s="66" t="str">
        <f>IFERROR(VLOOKUP(J242,PROVEEDORES!$A$3:$G$42,4,0),"")</f>
        <v>chef@gourmetselect.cl,contabilidad@gourmetselect.cl,pedidos@gourmetselect.cl,info@gourmetselect.cl</v>
      </c>
      <c r="M242" s="10" t="str">
        <f>IFERROR(VLOOKUP(J242,PROVEEDORES!$A$3:$G$42,5,0),"")</f>
        <v>56944921093</v>
      </c>
      <c r="N242" s="11">
        <v>230</v>
      </c>
      <c r="O242" s="64" t="s">
        <v>41</v>
      </c>
      <c r="P242" s="65" t="str">
        <f>IFERROR(VLOOKUP(O242,PROVEEDORES!$A$3:$G$42,2,0),"")</f>
        <v>FRUTAS Y VERDURAS</v>
      </c>
      <c r="Q242" s="66" t="str">
        <f>IFERROR(VLOOKUP(O242,PROVEEDORES!$A$3:$G$42,4,0),"")</f>
        <v>caseritaencasa@gmail.com</v>
      </c>
      <c r="R242" s="10" t="str">
        <f>IFERROR(VLOOKUP(O242,PROVEEDORES!$A$3:$G$42,5,0),"")</f>
        <v>56952069703</v>
      </c>
      <c r="S242" s="11">
        <v>1345</v>
      </c>
      <c r="T242" s="12">
        <f t="shared" si="6"/>
        <v>810.66666666666663</v>
      </c>
      <c r="U242" s="13">
        <f t="shared" si="7"/>
        <v>891.73333333333335</v>
      </c>
    </row>
    <row r="243" spans="1:21" ht="15" customHeight="1" x14ac:dyDescent="0.35">
      <c r="A243" s="14" t="s">
        <v>207</v>
      </c>
      <c r="B243" s="15" t="s">
        <v>448</v>
      </c>
      <c r="C243" s="16" t="s">
        <v>219</v>
      </c>
      <c r="D243" s="17">
        <v>5.0000000000000001E-3</v>
      </c>
      <c r="E243" s="67" t="s">
        <v>35</v>
      </c>
      <c r="F243" s="68" t="str">
        <f>IFERROR(VLOOKUP(E243,PROVEEDORES!$A$3:$G$42,2,0),"")</f>
        <v>ABARROTES</v>
      </c>
      <c r="G243" s="69" t="str">
        <f>IFERROR(VLOOKUP(E243,PROVEEDORES!$A$3:$G$42,4,0),"")</f>
        <v>pagos@bidfood.cl,pmolina@bidfood.cl</v>
      </c>
      <c r="H243" s="18" t="str">
        <f>IFERROR(VLOOKUP(E243,PROVEEDORES!$A$3:$G$42,5,0),"")</f>
        <v>56225994444 - 56998038459</v>
      </c>
      <c r="I243" s="19">
        <v>12495</v>
      </c>
      <c r="J243" s="67" t="s">
        <v>105</v>
      </c>
      <c r="K243" s="68" t="str">
        <f>IFERROR(VLOOKUP(J243,PROVEEDORES!$A$3:$G$42,2,0),"")</f>
        <v>ESPECIES</v>
      </c>
      <c r="L243" s="69" t="str">
        <f>IFERROR(VLOOKUP(J243,PROVEEDORES!$A$3:$G$42,4,0),"")</f>
        <v>chef@gourmetselect.cl,contabilidad@gourmetselect.cl,pedidos@gourmetselect.cl,info@gourmetselect.cl</v>
      </c>
      <c r="M243" s="18" t="str">
        <f>IFERROR(VLOOKUP(J243,PROVEEDORES!$A$3:$G$42,5,0),"")</f>
        <v>56944921093</v>
      </c>
      <c r="N243" s="19">
        <v>18605</v>
      </c>
      <c r="O243" s="67" t="s">
        <v>41</v>
      </c>
      <c r="P243" s="68" t="str">
        <f>IFERROR(VLOOKUP(O243,PROVEEDORES!$A$3:$G$42,2,0),"")</f>
        <v>FRUTAS Y VERDURAS</v>
      </c>
      <c r="Q243" s="69" t="str">
        <f>IFERROR(VLOOKUP(O243,PROVEEDORES!$A$3:$G$42,4,0),"")</f>
        <v>caseritaencasa@gmail.com</v>
      </c>
      <c r="R243" s="18" t="str">
        <f>IFERROR(VLOOKUP(O243,PROVEEDORES!$A$3:$G$42,5,0),"")</f>
        <v>56952069703</v>
      </c>
      <c r="S243" s="19">
        <v>11588</v>
      </c>
      <c r="T243" s="20">
        <f t="shared" si="6"/>
        <v>14229.333333333334</v>
      </c>
      <c r="U243" s="21">
        <f t="shared" si="7"/>
        <v>15652.266666666668</v>
      </c>
    </row>
    <row r="244" spans="1:21" ht="15" customHeight="1" x14ac:dyDescent="0.35">
      <c r="A244" s="6" t="s">
        <v>207</v>
      </c>
      <c r="B244" s="7" t="s">
        <v>449</v>
      </c>
      <c r="C244" s="8" t="s">
        <v>219</v>
      </c>
      <c r="D244" s="9">
        <v>3.6250000000000002E-3</v>
      </c>
      <c r="E244" s="64" t="s">
        <v>35</v>
      </c>
      <c r="F244" s="65" t="str">
        <f>IFERROR(VLOOKUP(E244,PROVEEDORES!$A$3:$G$42,2,0),"")</f>
        <v>ABARROTES</v>
      </c>
      <c r="G244" s="66" t="str">
        <f>IFERROR(VLOOKUP(E244,PROVEEDORES!$A$3:$G$42,4,0),"")</f>
        <v>pagos@bidfood.cl,pmolina@bidfood.cl</v>
      </c>
      <c r="H244" s="10" t="str">
        <f>IFERROR(VLOOKUP(E244,PROVEEDORES!$A$3:$G$42,5,0),"")</f>
        <v>56225994444 - 56998038459</v>
      </c>
      <c r="I244" s="11">
        <v>27270</v>
      </c>
      <c r="J244" s="64" t="s">
        <v>105</v>
      </c>
      <c r="K244" s="65" t="str">
        <f>IFERROR(VLOOKUP(J244,PROVEEDORES!$A$3:$G$42,2,0),"")</f>
        <v>ESPECIES</v>
      </c>
      <c r="L244" s="66" t="str">
        <f>IFERROR(VLOOKUP(J244,PROVEEDORES!$A$3:$G$42,4,0),"")</f>
        <v>chef@gourmetselect.cl,contabilidad@gourmetselect.cl,pedidos@gourmetselect.cl,info@gourmetselect.cl</v>
      </c>
      <c r="M244" s="10" t="str">
        <f>IFERROR(VLOOKUP(J244,PROVEEDORES!$A$3:$G$42,5,0),"")</f>
        <v>56944921093</v>
      </c>
      <c r="N244" s="11">
        <v>12544</v>
      </c>
      <c r="O244" s="64" t="s">
        <v>41</v>
      </c>
      <c r="P244" s="65" t="str">
        <f>IFERROR(VLOOKUP(O244,PROVEEDORES!$A$3:$G$42,2,0),"")</f>
        <v>FRUTAS Y VERDURAS</v>
      </c>
      <c r="Q244" s="66" t="str">
        <f>IFERROR(VLOOKUP(O244,PROVEEDORES!$A$3:$G$42,4,0),"")</f>
        <v>caseritaencasa@gmail.com</v>
      </c>
      <c r="R244" s="10" t="str">
        <f>IFERROR(VLOOKUP(O244,PROVEEDORES!$A$3:$G$42,5,0),"")</f>
        <v>56952069703</v>
      </c>
      <c r="S244" s="11">
        <v>18571</v>
      </c>
      <c r="T244" s="12">
        <f t="shared" si="6"/>
        <v>19461.666666666668</v>
      </c>
      <c r="U244" s="13">
        <f t="shared" si="7"/>
        <v>21407.833333333336</v>
      </c>
    </row>
    <row r="245" spans="1:21" ht="12" customHeight="1" x14ac:dyDescent="0.35">
      <c r="A245" s="59" t="s">
        <v>450</v>
      </c>
      <c r="B245" s="59"/>
      <c r="C245" s="59"/>
      <c r="D245" s="59"/>
      <c r="E245" s="59"/>
      <c r="F245" s="59"/>
      <c r="G245" s="59"/>
      <c r="H245" s="59"/>
      <c r="I245" s="59"/>
      <c r="J245" s="59"/>
      <c r="K245" s="59"/>
      <c r="L245" s="59"/>
      <c r="M245" s="59"/>
      <c r="N245" s="59"/>
      <c r="O245" s="59"/>
      <c r="P245" s="59"/>
      <c r="Q245" s="59"/>
      <c r="R245" s="59"/>
      <c r="S245" s="59"/>
      <c r="T245" s="59"/>
      <c r="U245" s="59"/>
    </row>
    <row r="246" spans="1:21" ht="15" customHeight="1" x14ac:dyDescent="0.35">
      <c r="A246" s="6" t="s">
        <v>450</v>
      </c>
      <c r="B246" s="7" t="s">
        <v>451</v>
      </c>
      <c r="C246" s="8" t="s">
        <v>209</v>
      </c>
      <c r="D246" s="9">
        <v>2.5000000000000001E-3</v>
      </c>
      <c r="E246" s="64" t="s">
        <v>35</v>
      </c>
      <c r="F246" s="65" t="str">
        <f>IFERROR(VLOOKUP(E246,PROVEEDORES!$A$3:$G$42,2,0),"")</f>
        <v>ABARROTES</v>
      </c>
      <c r="G246" s="66" t="str">
        <f>IFERROR(VLOOKUP(E246,PROVEEDORES!$A$3:$G$42,4,0),"")</f>
        <v>pagos@bidfood.cl,pmolina@bidfood.cl</v>
      </c>
      <c r="H246" s="10" t="str">
        <f>IFERROR(VLOOKUP(E246,PROVEEDORES!$A$3:$G$42,5,0),"")</f>
        <v>56225994444 - 56998038459</v>
      </c>
      <c r="I246" s="11">
        <v>13919</v>
      </c>
      <c r="J246" s="64" t="s">
        <v>105</v>
      </c>
      <c r="K246" s="65" t="str">
        <f>IFERROR(VLOOKUP(J246,PROVEEDORES!$A$3:$G$42,2,0),"")</f>
        <v>ESPECIES</v>
      </c>
      <c r="L246" s="66" t="str">
        <f>IFERROR(VLOOKUP(J246,PROVEEDORES!$A$3:$G$42,4,0),"")</f>
        <v>chef@gourmetselect.cl,contabilidad@gourmetselect.cl,pedidos@gourmetselect.cl,info@gourmetselect.cl</v>
      </c>
      <c r="M246" s="10" t="str">
        <f>IFERROR(VLOOKUP(J246,PROVEEDORES!$A$3:$G$42,5,0),"")</f>
        <v>56944921093</v>
      </c>
      <c r="N246" s="11">
        <v>12750</v>
      </c>
      <c r="O246" s="64"/>
      <c r="P246" s="65"/>
      <c r="Q246" s="66"/>
      <c r="R246" s="10"/>
      <c r="S246" s="11"/>
      <c r="T246" s="12">
        <f>AVERAGE(I246,N246)</f>
        <v>13334.5</v>
      </c>
      <c r="U246" s="13">
        <f>T246*(1+$B$2)</f>
        <v>14667.95</v>
      </c>
    </row>
    <row r="247" spans="1:21" ht="15" customHeight="1" x14ac:dyDescent="0.35">
      <c r="A247" s="14" t="s">
        <v>450</v>
      </c>
      <c r="B247" s="15" t="s">
        <v>452</v>
      </c>
      <c r="C247" s="16" t="s">
        <v>209</v>
      </c>
      <c r="D247" s="17">
        <v>0.05</v>
      </c>
      <c r="E247" s="67" t="s">
        <v>35</v>
      </c>
      <c r="F247" s="68" t="str">
        <f>IFERROR(VLOOKUP(E247,PROVEEDORES!$A$3:$G$42,2,0),"")</f>
        <v>ABARROTES</v>
      </c>
      <c r="G247" s="69" t="str">
        <f>IFERROR(VLOOKUP(E247,PROVEEDORES!$A$3:$G$42,4,0),"")</f>
        <v>pagos@bidfood.cl,pmolina@bidfood.cl</v>
      </c>
      <c r="H247" s="18" t="str">
        <f>IFERROR(VLOOKUP(E247,PROVEEDORES!$A$3:$G$42,5,0),"")</f>
        <v>56225994444 - 56998038459</v>
      </c>
      <c r="I247" s="19">
        <v>956</v>
      </c>
      <c r="J247" s="67" t="s">
        <v>105</v>
      </c>
      <c r="K247" s="68" t="str">
        <f>IFERROR(VLOOKUP(J247,PROVEEDORES!$A$3:$G$42,2,0),"")</f>
        <v>ESPECIES</v>
      </c>
      <c r="L247" s="69" t="str">
        <f>IFERROR(VLOOKUP(J247,PROVEEDORES!$A$3:$G$42,4,0),"")</f>
        <v>chef@gourmetselect.cl,contabilidad@gourmetselect.cl,pedidos@gourmetselect.cl,info@gourmetselect.cl</v>
      </c>
      <c r="M247" s="18" t="str">
        <f>IFERROR(VLOOKUP(J247,PROVEEDORES!$A$3:$G$42,5,0),"")</f>
        <v>56944921093</v>
      </c>
      <c r="N247" s="19">
        <v>255</v>
      </c>
      <c r="O247" s="67"/>
      <c r="P247" s="68"/>
      <c r="Q247" s="69"/>
      <c r="R247" s="18"/>
      <c r="S247" s="19"/>
      <c r="T247" s="20">
        <f>AVERAGE(I247,N247)</f>
        <v>605.5</v>
      </c>
      <c r="U247" s="21">
        <f>T247*(1+$B$2)</f>
        <v>666.05000000000007</v>
      </c>
    </row>
    <row r="248" spans="1:21" ht="12" customHeight="1" x14ac:dyDescent="0.35">
      <c r="A248" s="59" t="s">
        <v>453</v>
      </c>
      <c r="B248" s="59"/>
      <c r="C248" s="59"/>
      <c r="D248" s="59"/>
      <c r="E248" s="59"/>
      <c r="F248" s="59"/>
      <c r="G248" s="59"/>
      <c r="H248" s="59"/>
      <c r="I248" s="59"/>
      <c r="J248" s="59"/>
      <c r="K248" s="59"/>
      <c r="L248" s="59"/>
      <c r="M248" s="59"/>
      <c r="N248" s="59"/>
      <c r="O248" s="59"/>
      <c r="P248" s="59"/>
      <c r="Q248" s="59"/>
      <c r="R248" s="59"/>
      <c r="S248" s="59"/>
      <c r="T248" s="59"/>
      <c r="U248" s="59"/>
    </row>
    <row r="249" spans="1:21" ht="15" customHeight="1" x14ac:dyDescent="0.35">
      <c r="A249" s="14" t="s">
        <v>453</v>
      </c>
      <c r="B249" s="15" t="s">
        <v>454</v>
      </c>
      <c r="C249" s="16" t="s">
        <v>219</v>
      </c>
      <c r="D249" s="17">
        <v>3.7499999999999999E-3</v>
      </c>
      <c r="E249" s="67" t="s">
        <v>35</v>
      </c>
      <c r="F249" s="68" t="str">
        <f>IFERROR(VLOOKUP(E249,PROVEEDORES!$A$3:$G$42,2,0),"")</f>
        <v>ABARROTES</v>
      </c>
      <c r="G249" s="69" t="str">
        <f>IFERROR(VLOOKUP(E249,PROVEEDORES!$A$3:$G$42,4,0),"")</f>
        <v>pagos@bidfood.cl,pmolina@bidfood.cl</v>
      </c>
      <c r="H249" s="18" t="str">
        <f>IFERROR(VLOOKUP(E249,PROVEEDORES!$A$3:$G$42,5,0),"")</f>
        <v>56225994444 - 56998038459</v>
      </c>
      <c r="I249" s="19">
        <v>14280</v>
      </c>
      <c r="J249" s="67" t="s">
        <v>105</v>
      </c>
      <c r="K249" s="68" t="str">
        <f>IFERROR(VLOOKUP(J249,PROVEEDORES!$A$3:$G$42,2,0),"")</f>
        <v>ESPECIES</v>
      </c>
      <c r="L249" s="69" t="str">
        <f>IFERROR(VLOOKUP(J249,PROVEEDORES!$A$3:$G$42,4,0),"")</f>
        <v>chef@gourmetselect.cl,contabilidad@gourmetselect.cl,pedidos@gourmetselect.cl,info@gourmetselect.cl</v>
      </c>
      <c r="M249" s="18" t="str">
        <f>IFERROR(VLOOKUP(J249,PROVEEDORES!$A$3:$G$42,5,0),"")</f>
        <v>56944921093</v>
      </c>
      <c r="N249" s="19">
        <v>7126</v>
      </c>
      <c r="O249" s="67" t="s">
        <v>41</v>
      </c>
      <c r="P249" s="68" t="str">
        <f>IFERROR(VLOOKUP(O249,PROVEEDORES!$A$3:$G$42,2,0),"")</f>
        <v>FRUTAS Y VERDURAS</v>
      </c>
      <c r="Q249" s="69" t="str">
        <f>IFERROR(VLOOKUP(O249,PROVEEDORES!$A$3:$G$42,4,0),"")</f>
        <v>caseritaencasa@gmail.com</v>
      </c>
      <c r="R249" s="18" t="str">
        <f>IFERROR(VLOOKUP(O249,PROVEEDORES!$A$3:$G$42,5,0),"")</f>
        <v>56952069703</v>
      </c>
      <c r="S249" s="19">
        <v>5389</v>
      </c>
      <c r="T249" s="20">
        <f>AVERAGE(I249,N249,S249)</f>
        <v>8931.6666666666661</v>
      </c>
      <c r="U249" s="21">
        <f>T249*(1+$B$2)</f>
        <v>9824.8333333333339</v>
      </c>
    </row>
    <row r="250" spans="1:21" ht="12" customHeight="1" x14ac:dyDescent="0.35">
      <c r="A250" s="59" t="s">
        <v>455</v>
      </c>
      <c r="B250" s="59"/>
      <c r="C250" s="59"/>
      <c r="D250" s="59"/>
      <c r="E250" s="59"/>
      <c r="F250" s="59"/>
      <c r="G250" s="59"/>
      <c r="H250" s="59"/>
      <c r="I250" s="59"/>
      <c r="J250" s="59"/>
      <c r="K250" s="59"/>
      <c r="L250" s="59"/>
      <c r="M250" s="59"/>
      <c r="N250" s="59"/>
      <c r="O250" s="59"/>
      <c r="P250" s="59"/>
      <c r="Q250" s="59"/>
      <c r="R250" s="59"/>
      <c r="S250" s="59"/>
      <c r="T250" s="59"/>
      <c r="U250" s="59"/>
    </row>
    <row r="251" spans="1:21" ht="15" customHeight="1" x14ac:dyDescent="0.35">
      <c r="A251" s="14" t="s">
        <v>455</v>
      </c>
      <c r="B251" s="15" t="s">
        <v>456</v>
      </c>
      <c r="C251" s="16" t="s">
        <v>219</v>
      </c>
      <c r="D251" s="17">
        <v>4.3749999999999997E-2</v>
      </c>
      <c r="E251" s="67" t="s">
        <v>35</v>
      </c>
      <c r="F251" s="68" t="str">
        <f>IFERROR(VLOOKUP(E251,PROVEEDORES!$A$3:$G$42,2,0),"")</f>
        <v>ABARROTES</v>
      </c>
      <c r="G251" s="69" t="str">
        <f>IFERROR(VLOOKUP(E251,PROVEEDORES!$A$3:$G$42,4,0),"")</f>
        <v>pagos@bidfood.cl,pmolina@bidfood.cl</v>
      </c>
      <c r="H251" s="18" t="str">
        <f>IFERROR(VLOOKUP(E251,PROVEEDORES!$A$3:$G$42,5,0),"")</f>
        <v>56225994444 - 56998038459</v>
      </c>
      <c r="I251" s="19">
        <v>10000</v>
      </c>
      <c r="J251" s="67" t="s">
        <v>105</v>
      </c>
      <c r="K251" s="68" t="str">
        <f>IFERROR(VLOOKUP(J251,PROVEEDORES!$A$3:$G$42,2,0),"")</f>
        <v>ESPECIES</v>
      </c>
      <c r="L251" s="69" t="str">
        <f>IFERROR(VLOOKUP(J251,PROVEEDORES!$A$3:$G$42,4,0),"")</f>
        <v>chef@gourmetselect.cl,contabilidad@gourmetselect.cl,pedidos@gourmetselect.cl,info@gourmetselect.cl</v>
      </c>
      <c r="M251" s="18" t="str">
        <f>IFERROR(VLOOKUP(J251,PROVEEDORES!$A$3:$G$42,5,0),"")</f>
        <v>56944921093</v>
      </c>
      <c r="N251" s="19">
        <v>8200</v>
      </c>
      <c r="O251" s="67" t="s">
        <v>41</v>
      </c>
      <c r="P251" s="68" t="str">
        <f>IFERROR(VLOOKUP(O251,PROVEEDORES!$A$3:$G$42,2,0),"")</f>
        <v>FRUTAS Y VERDURAS</v>
      </c>
      <c r="Q251" s="69" t="str">
        <f>IFERROR(VLOOKUP(O251,PROVEEDORES!$A$3:$G$42,4,0),"")</f>
        <v>caseritaencasa@gmail.com</v>
      </c>
      <c r="R251" s="18" t="str">
        <f>IFERROR(VLOOKUP(O251,PROVEEDORES!$A$3:$G$42,5,0),"")</f>
        <v>56952069703</v>
      </c>
      <c r="S251" s="19">
        <v>13058</v>
      </c>
      <c r="T251" s="20">
        <f t="shared" ref="T251:T284" si="8">AVERAGE(I251,N251,S251)</f>
        <v>10419.333333333334</v>
      </c>
      <c r="U251" s="21">
        <f t="shared" ref="U251:U284" si="9">T251*(1+$B$2)</f>
        <v>11461.266666666668</v>
      </c>
    </row>
    <row r="252" spans="1:21" ht="15" customHeight="1" x14ac:dyDescent="0.35">
      <c r="A252" s="6" t="s">
        <v>455</v>
      </c>
      <c r="B252" s="7" t="s">
        <v>457</v>
      </c>
      <c r="C252" s="8" t="s">
        <v>239</v>
      </c>
      <c r="D252" s="9">
        <v>3</v>
      </c>
      <c r="E252" s="64" t="s">
        <v>35</v>
      </c>
      <c r="F252" s="65" t="str">
        <f>IFERROR(VLOOKUP(E252,PROVEEDORES!$A$3:$G$42,2,0),"")</f>
        <v>ABARROTES</v>
      </c>
      <c r="G252" s="66" t="str">
        <f>IFERROR(VLOOKUP(E252,PROVEEDORES!$A$3:$G$42,4,0),"")</f>
        <v>pagos@bidfood.cl,pmolina@bidfood.cl</v>
      </c>
      <c r="H252" s="10" t="str">
        <f>IFERROR(VLOOKUP(E252,PROVEEDORES!$A$3:$G$42,5,0),"")</f>
        <v>56225994444 - 56998038459</v>
      </c>
      <c r="I252" s="11">
        <v>150</v>
      </c>
      <c r="J252" s="64" t="s">
        <v>105</v>
      </c>
      <c r="K252" s="65" t="str">
        <f>IFERROR(VLOOKUP(J252,PROVEEDORES!$A$3:$G$42,2,0),"")</f>
        <v>ESPECIES</v>
      </c>
      <c r="L252" s="66" t="str">
        <f>IFERROR(VLOOKUP(J252,PROVEEDORES!$A$3:$G$42,4,0),"")</f>
        <v>chef@gourmetselect.cl,contabilidad@gourmetselect.cl,pedidos@gourmetselect.cl,info@gourmetselect.cl</v>
      </c>
      <c r="M252" s="10" t="str">
        <f>IFERROR(VLOOKUP(J252,PROVEEDORES!$A$3:$G$42,5,0),"")</f>
        <v>56944921093</v>
      </c>
      <c r="N252" s="11">
        <v>200</v>
      </c>
      <c r="O252" s="64" t="s">
        <v>41</v>
      </c>
      <c r="P252" s="65" t="str">
        <f>IFERROR(VLOOKUP(O252,PROVEEDORES!$A$3:$G$42,2,0),"")</f>
        <v>FRUTAS Y VERDURAS</v>
      </c>
      <c r="Q252" s="66" t="str">
        <f>IFERROR(VLOOKUP(O252,PROVEEDORES!$A$3:$G$42,4,0),"")</f>
        <v>caseritaencasa@gmail.com</v>
      </c>
      <c r="R252" s="10" t="str">
        <f>IFERROR(VLOOKUP(O252,PROVEEDORES!$A$3:$G$42,5,0),"")</f>
        <v>56952069703</v>
      </c>
      <c r="S252" s="11">
        <v>185</v>
      </c>
      <c r="T252" s="12">
        <f t="shared" si="8"/>
        <v>178.33333333333334</v>
      </c>
      <c r="U252" s="13">
        <f t="shared" si="9"/>
        <v>196.16666666666669</v>
      </c>
    </row>
    <row r="253" spans="1:21" ht="15" customHeight="1" x14ac:dyDescent="0.35">
      <c r="A253" s="14" t="s">
        <v>455</v>
      </c>
      <c r="B253" s="15" t="s">
        <v>458</v>
      </c>
      <c r="C253" s="16" t="s">
        <v>239</v>
      </c>
      <c r="D253" s="17">
        <v>4</v>
      </c>
      <c r="E253" s="67" t="s">
        <v>35</v>
      </c>
      <c r="F253" s="68" t="str">
        <f>IFERROR(VLOOKUP(E253,PROVEEDORES!$A$3:$G$42,2,0),"")</f>
        <v>ABARROTES</v>
      </c>
      <c r="G253" s="69" t="str">
        <f>IFERROR(VLOOKUP(E253,PROVEEDORES!$A$3:$G$42,4,0),"")</f>
        <v>pagos@bidfood.cl,pmolina@bidfood.cl</v>
      </c>
      <c r="H253" s="18" t="str">
        <f>IFERROR(VLOOKUP(E253,PROVEEDORES!$A$3:$G$42,5,0),"")</f>
        <v>56225994444 - 56998038459</v>
      </c>
      <c r="I253" s="19">
        <v>300</v>
      </c>
      <c r="J253" s="67" t="s">
        <v>105</v>
      </c>
      <c r="K253" s="68" t="str">
        <f>IFERROR(VLOOKUP(J253,PROVEEDORES!$A$3:$G$42,2,0),"")</f>
        <v>ESPECIES</v>
      </c>
      <c r="L253" s="69" t="str">
        <f>IFERROR(VLOOKUP(J253,PROVEEDORES!$A$3:$G$42,4,0),"")</f>
        <v>chef@gourmetselect.cl,contabilidad@gourmetselect.cl,pedidos@gourmetselect.cl,info@gourmetselect.cl</v>
      </c>
      <c r="M253" s="18" t="str">
        <f>IFERROR(VLOOKUP(J253,PROVEEDORES!$A$3:$G$42,5,0),"")</f>
        <v>56944921093</v>
      </c>
      <c r="N253" s="19">
        <v>415</v>
      </c>
      <c r="O253" s="67" t="s">
        <v>41</v>
      </c>
      <c r="P253" s="68" t="str">
        <f>IFERROR(VLOOKUP(O253,PROVEEDORES!$A$3:$G$42,2,0),"")</f>
        <v>FRUTAS Y VERDURAS</v>
      </c>
      <c r="Q253" s="69" t="str">
        <f>IFERROR(VLOOKUP(O253,PROVEEDORES!$A$3:$G$42,4,0),"")</f>
        <v>caseritaencasa@gmail.com</v>
      </c>
      <c r="R253" s="18" t="str">
        <f>IFERROR(VLOOKUP(O253,PROVEEDORES!$A$3:$G$42,5,0),"")</f>
        <v>56952069703</v>
      </c>
      <c r="S253" s="19">
        <v>66</v>
      </c>
      <c r="T253" s="20">
        <f t="shared" si="8"/>
        <v>260.33333333333331</v>
      </c>
      <c r="U253" s="21">
        <f t="shared" si="9"/>
        <v>286.36666666666667</v>
      </c>
    </row>
    <row r="254" spans="1:21" ht="15" customHeight="1" x14ac:dyDescent="0.35">
      <c r="A254" s="6" t="s">
        <v>455</v>
      </c>
      <c r="B254" s="7" t="s">
        <v>459</v>
      </c>
      <c r="C254" s="8" t="s">
        <v>239</v>
      </c>
      <c r="D254" s="9">
        <v>2.75</v>
      </c>
      <c r="E254" s="64" t="s">
        <v>35</v>
      </c>
      <c r="F254" s="65" t="str">
        <f>IFERROR(VLOOKUP(E254,PROVEEDORES!$A$3:$G$42,2,0),"")</f>
        <v>ABARROTES</v>
      </c>
      <c r="G254" s="66" t="str">
        <f>IFERROR(VLOOKUP(E254,PROVEEDORES!$A$3:$G$42,4,0),"")</f>
        <v>pagos@bidfood.cl,pmolina@bidfood.cl</v>
      </c>
      <c r="H254" s="10" t="str">
        <f>IFERROR(VLOOKUP(E254,PROVEEDORES!$A$3:$G$42,5,0),"")</f>
        <v>56225994444 - 56998038459</v>
      </c>
      <c r="I254" s="11">
        <v>108</v>
      </c>
      <c r="J254" s="64" t="s">
        <v>105</v>
      </c>
      <c r="K254" s="65" t="str">
        <f>IFERROR(VLOOKUP(J254,PROVEEDORES!$A$3:$G$42,2,0),"")</f>
        <v>ESPECIES</v>
      </c>
      <c r="L254" s="66" t="str">
        <f>IFERROR(VLOOKUP(J254,PROVEEDORES!$A$3:$G$42,4,0),"")</f>
        <v>chef@gourmetselect.cl,contabilidad@gourmetselect.cl,pedidos@gourmetselect.cl,info@gourmetselect.cl</v>
      </c>
      <c r="M254" s="10" t="str">
        <f>IFERROR(VLOOKUP(J254,PROVEEDORES!$A$3:$G$42,5,0),"")</f>
        <v>56944921093</v>
      </c>
      <c r="N254" s="11">
        <v>113</v>
      </c>
      <c r="O254" s="64" t="s">
        <v>41</v>
      </c>
      <c r="P254" s="65" t="str">
        <f>IFERROR(VLOOKUP(O254,PROVEEDORES!$A$3:$G$42,2,0),"")</f>
        <v>FRUTAS Y VERDURAS</v>
      </c>
      <c r="Q254" s="66" t="str">
        <f>IFERROR(VLOOKUP(O254,PROVEEDORES!$A$3:$G$42,4,0),"")</f>
        <v>caseritaencasa@gmail.com</v>
      </c>
      <c r="R254" s="10" t="str">
        <f>IFERROR(VLOOKUP(O254,PROVEEDORES!$A$3:$G$42,5,0),"")</f>
        <v>56952069703</v>
      </c>
      <c r="S254" s="11">
        <v>199</v>
      </c>
      <c r="T254" s="12">
        <f t="shared" si="8"/>
        <v>140</v>
      </c>
      <c r="U254" s="13">
        <f t="shared" si="9"/>
        <v>154</v>
      </c>
    </row>
    <row r="255" spans="1:21" ht="15" customHeight="1" x14ac:dyDescent="0.35">
      <c r="A255" s="14" t="s">
        <v>455</v>
      </c>
      <c r="B255" s="15" t="s">
        <v>460</v>
      </c>
      <c r="C255" s="16" t="s">
        <v>239</v>
      </c>
      <c r="D255" s="17">
        <v>0.875</v>
      </c>
      <c r="E255" s="67" t="s">
        <v>35</v>
      </c>
      <c r="F255" s="68" t="str">
        <f>IFERROR(VLOOKUP(E255,PROVEEDORES!$A$3:$G$42,2,0),"")</f>
        <v>ABARROTES</v>
      </c>
      <c r="G255" s="69" t="str">
        <f>IFERROR(VLOOKUP(E255,PROVEEDORES!$A$3:$G$42,4,0),"")</f>
        <v>pagos@bidfood.cl,pmolina@bidfood.cl</v>
      </c>
      <c r="H255" s="18" t="str">
        <f>IFERROR(VLOOKUP(E255,PROVEEDORES!$A$3:$G$42,5,0),"")</f>
        <v>56225994444 - 56998038459</v>
      </c>
      <c r="I255" s="19">
        <v>150</v>
      </c>
      <c r="J255" s="67" t="s">
        <v>105</v>
      </c>
      <c r="K255" s="68" t="str">
        <f>IFERROR(VLOOKUP(J255,PROVEEDORES!$A$3:$G$42,2,0),"")</f>
        <v>ESPECIES</v>
      </c>
      <c r="L255" s="69" t="str">
        <f>IFERROR(VLOOKUP(J255,PROVEEDORES!$A$3:$G$42,4,0),"")</f>
        <v>chef@gourmetselect.cl,contabilidad@gourmetselect.cl,pedidos@gourmetselect.cl,info@gourmetselect.cl</v>
      </c>
      <c r="M255" s="18" t="str">
        <f>IFERROR(VLOOKUP(J255,PROVEEDORES!$A$3:$G$42,5,0),"")</f>
        <v>56944921093</v>
      </c>
      <c r="N255" s="19">
        <v>74</v>
      </c>
      <c r="O255" s="67" t="s">
        <v>41</v>
      </c>
      <c r="P255" s="68" t="str">
        <f>IFERROR(VLOOKUP(O255,PROVEEDORES!$A$3:$G$42,2,0),"")</f>
        <v>FRUTAS Y VERDURAS</v>
      </c>
      <c r="Q255" s="69" t="str">
        <f>IFERROR(VLOOKUP(O255,PROVEEDORES!$A$3:$G$42,4,0),"")</f>
        <v>caseritaencasa@gmail.com</v>
      </c>
      <c r="R255" s="18" t="str">
        <f>IFERROR(VLOOKUP(O255,PROVEEDORES!$A$3:$G$42,5,0),"")</f>
        <v>56952069703</v>
      </c>
      <c r="S255" s="19">
        <v>34</v>
      </c>
      <c r="T255" s="20">
        <f t="shared" si="8"/>
        <v>86</v>
      </c>
      <c r="U255" s="21">
        <f t="shared" si="9"/>
        <v>94.600000000000009</v>
      </c>
    </row>
    <row r="256" spans="1:21" ht="15" customHeight="1" x14ac:dyDescent="0.35">
      <c r="A256" s="6" t="s">
        <v>455</v>
      </c>
      <c r="B256" s="7" t="s">
        <v>461</v>
      </c>
      <c r="C256" s="8" t="s">
        <v>239</v>
      </c>
      <c r="D256" s="9">
        <v>4</v>
      </c>
      <c r="E256" s="64" t="s">
        <v>35</v>
      </c>
      <c r="F256" s="65" t="str">
        <f>IFERROR(VLOOKUP(E256,PROVEEDORES!$A$3:$G$42,2,0),"")</f>
        <v>ABARROTES</v>
      </c>
      <c r="G256" s="66" t="str">
        <f>IFERROR(VLOOKUP(E256,PROVEEDORES!$A$3:$G$42,4,0),"")</f>
        <v>pagos@bidfood.cl,pmolina@bidfood.cl</v>
      </c>
      <c r="H256" s="10" t="str">
        <f>IFERROR(VLOOKUP(E256,PROVEEDORES!$A$3:$G$42,5,0),"")</f>
        <v>56225994444 - 56998038459</v>
      </c>
      <c r="I256" s="11">
        <v>60</v>
      </c>
      <c r="J256" s="64" t="s">
        <v>105</v>
      </c>
      <c r="K256" s="65" t="str">
        <f>IFERROR(VLOOKUP(J256,PROVEEDORES!$A$3:$G$42,2,0),"")</f>
        <v>ESPECIES</v>
      </c>
      <c r="L256" s="66" t="str">
        <f>IFERROR(VLOOKUP(J256,PROVEEDORES!$A$3:$G$42,4,0),"")</f>
        <v>chef@gourmetselect.cl,contabilidad@gourmetselect.cl,pedidos@gourmetselect.cl,info@gourmetselect.cl</v>
      </c>
      <c r="M256" s="10" t="str">
        <f>IFERROR(VLOOKUP(J256,PROVEEDORES!$A$3:$G$42,5,0),"")</f>
        <v>56944921093</v>
      </c>
      <c r="N256" s="11">
        <v>101</v>
      </c>
      <c r="O256" s="64" t="s">
        <v>41</v>
      </c>
      <c r="P256" s="65" t="str">
        <f>IFERROR(VLOOKUP(O256,PROVEEDORES!$A$3:$G$42,2,0),"")</f>
        <v>FRUTAS Y VERDURAS</v>
      </c>
      <c r="Q256" s="66" t="str">
        <f>IFERROR(VLOOKUP(O256,PROVEEDORES!$A$3:$G$42,4,0),"")</f>
        <v>caseritaencasa@gmail.com</v>
      </c>
      <c r="R256" s="10" t="str">
        <f>IFERROR(VLOOKUP(O256,PROVEEDORES!$A$3:$G$42,5,0),"")</f>
        <v>56952069703</v>
      </c>
      <c r="S256" s="11">
        <v>17</v>
      </c>
      <c r="T256" s="12">
        <f t="shared" si="8"/>
        <v>59.333333333333336</v>
      </c>
      <c r="U256" s="13">
        <f t="shared" si="9"/>
        <v>65.26666666666668</v>
      </c>
    </row>
    <row r="257" spans="1:21" ht="15" customHeight="1" x14ac:dyDescent="0.35">
      <c r="A257" s="14" t="s">
        <v>455</v>
      </c>
      <c r="B257" s="15" t="s">
        <v>462</v>
      </c>
      <c r="C257" s="16" t="s">
        <v>239</v>
      </c>
      <c r="D257" s="17">
        <v>0.1</v>
      </c>
      <c r="E257" s="67" t="s">
        <v>35</v>
      </c>
      <c r="F257" s="68" t="str">
        <f>IFERROR(VLOOKUP(E257,PROVEEDORES!$A$3:$G$42,2,0),"")</f>
        <v>ABARROTES</v>
      </c>
      <c r="G257" s="69" t="str">
        <f>IFERROR(VLOOKUP(E257,PROVEEDORES!$A$3:$G$42,4,0),"")</f>
        <v>pagos@bidfood.cl,pmolina@bidfood.cl</v>
      </c>
      <c r="H257" s="18" t="str">
        <f>IFERROR(VLOOKUP(E257,PROVEEDORES!$A$3:$G$42,5,0),"")</f>
        <v>56225994444 - 56998038459</v>
      </c>
      <c r="I257" s="19">
        <v>590</v>
      </c>
      <c r="J257" s="67" t="s">
        <v>105</v>
      </c>
      <c r="K257" s="68" t="str">
        <f>IFERROR(VLOOKUP(J257,PROVEEDORES!$A$3:$G$42,2,0),"")</f>
        <v>ESPECIES</v>
      </c>
      <c r="L257" s="69" t="str">
        <f>IFERROR(VLOOKUP(J257,PROVEEDORES!$A$3:$G$42,4,0),"")</f>
        <v>chef@gourmetselect.cl,contabilidad@gourmetselect.cl,pedidos@gourmetselect.cl,info@gourmetselect.cl</v>
      </c>
      <c r="M257" s="18" t="str">
        <f>IFERROR(VLOOKUP(J257,PROVEEDORES!$A$3:$G$42,5,0),"")</f>
        <v>56944921093</v>
      </c>
      <c r="N257" s="19">
        <v>199</v>
      </c>
      <c r="O257" s="67" t="s">
        <v>41</v>
      </c>
      <c r="P257" s="68" t="str">
        <f>IFERROR(VLOOKUP(O257,PROVEEDORES!$A$3:$G$42,2,0),"")</f>
        <v>FRUTAS Y VERDURAS</v>
      </c>
      <c r="Q257" s="69" t="str">
        <f>IFERROR(VLOOKUP(O257,PROVEEDORES!$A$3:$G$42,4,0),"")</f>
        <v>caseritaencasa@gmail.com</v>
      </c>
      <c r="R257" s="18" t="str">
        <f>IFERROR(VLOOKUP(O257,PROVEEDORES!$A$3:$G$42,5,0),"")</f>
        <v>56952069703</v>
      </c>
      <c r="S257" s="19">
        <v>1004</v>
      </c>
      <c r="T257" s="20">
        <f t="shared" si="8"/>
        <v>597.66666666666663</v>
      </c>
      <c r="U257" s="21">
        <f t="shared" si="9"/>
        <v>657.43333333333339</v>
      </c>
    </row>
    <row r="258" spans="1:21" ht="15" customHeight="1" x14ac:dyDescent="0.35">
      <c r="A258" s="6" t="s">
        <v>455</v>
      </c>
      <c r="B258" s="7" t="s">
        <v>463</v>
      </c>
      <c r="C258" s="8" t="s">
        <v>239</v>
      </c>
      <c r="D258" s="9">
        <v>0.22600000000000001</v>
      </c>
      <c r="E258" s="64" t="s">
        <v>35</v>
      </c>
      <c r="F258" s="65" t="str">
        <f>IFERROR(VLOOKUP(E258,PROVEEDORES!$A$3:$G$42,2,0),"")</f>
        <v>ABARROTES</v>
      </c>
      <c r="G258" s="66" t="str">
        <f>IFERROR(VLOOKUP(E258,PROVEEDORES!$A$3:$G$42,4,0),"")</f>
        <v>pagos@bidfood.cl,pmolina@bidfood.cl</v>
      </c>
      <c r="H258" s="10" t="str">
        <f>IFERROR(VLOOKUP(E258,PROVEEDORES!$A$3:$G$42,5,0),"")</f>
        <v>56225994444 - 56998038459</v>
      </c>
      <c r="I258" s="11">
        <v>601</v>
      </c>
      <c r="J258" s="64" t="s">
        <v>105</v>
      </c>
      <c r="K258" s="65" t="str">
        <f>IFERROR(VLOOKUP(J258,PROVEEDORES!$A$3:$G$42,2,0),"")</f>
        <v>ESPECIES</v>
      </c>
      <c r="L258" s="66" t="str">
        <f>IFERROR(VLOOKUP(J258,PROVEEDORES!$A$3:$G$42,4,0),"")</f>
        <v>chef@gourmetselect.cl,contabilidad@gourmetselect.cl,pedidos@gourmetselect.cl,info@gourmetselect.cl</v>
      </c>
      <c r="M258" s="10" t="str">
        <f>IFERROR(VLOOKUP(J258,PROVEEDORES!$A$3:$G$42,5,0),"")</f>
        <v>56944921093</v>
      </c>
      <c r="N258" s="11">
        <v>871</v>
      </c>
      <c r="O258" s="64" t="s">
        <v>41</v>
      </c>
      <c r="P258" s="65" t="str">
        <f>IFERROR(VLOOKUP(O258,PROVEEDORES!$A$3:$G$42,2,0),"")</f>
        <v>FRUTAS Y VERDURAS</v>
      </c>
      <c r="Q258" s="66" t="str">
        <f>IFERROR(VLOOKUP(O258,PROVEEDORES!$A$3:$G$42,4,0),"")</f>
        <v>caseritaencasa@gmail.com</v>
      </c>
      <c r="R258" s="10" t="str">
        <f>IFERROR(VLOOKUP(O258,PROVEEDORES!$A$3:$G$42,5,0),"")</f>
        <v>56952069703</v>
      </c>
      <c r="S258" s="11">
        <v>339</v>
      </c>
      <c r="T258" s="12">
        <f t="shared" si="8"/>
        <v>603.66666666666663</v>
      </c>
      <c r="U258" s="13">
        <f t="shared" si="9"/>
        <v>664.0333333333333</v>
      </c>
    </row>
    <row r="259" spans="1:21" ht="15" customHeight="1" x14ac:dyDescent="0.35">
      <c r="A259" s="14" t="s">
        <v>455</v>
      </c>
      <c r="B259" s="15" t="s">
        <v>464</v>
      </c>
      <c r="C259" s="16" t="s">
        <v>239</v>
      </c>
      <c r="D259" s="17">
        <v>0.1</v>
      </c>
      <c r="E259" s="67" t="s">
        <v>35</v>
      </c>
      <c r="F259" s="68" t="str">
        <f>IFERROR(VLOOKUP(E259,PROVEEDORES!$A$3:$G$42,2,0),"")</f>
        <v>ABARROTES</v>
      </c>
      <c r="G259" s="69" t="str">
        <f>IFERROR(VLOOKUP(E259,PROVEEDORES!$A$3:$G$42,4,0),"")</f>
        <v>pagos@bidfood.cl,pmolina@bidfood.cl</v>
      </c>
      <c r="H259" s="18" t="str">
        <f>IFERROR(VLOOKUP(E259,PROVEEDORES!$A$3:$G$42,5,0),"")</f>
        <v>56225994444 - 56998038459</v>
      </c>
      <c r="I259" s="19">
        <v>2513</v>
      </c>
      <c r="J259" s="67" t="s">
        <v>105</v>
      </c>
      <c r="K259" s="68" t="str">
        <f>IFERROR(VLOOKUP(J259,PROVEEDORES!$A$3:$G$42,2,0),"")</f>
        <v>ESPECIES</v>
      </c>
      <c r="L259" s="69" t="str">
        <f>IFERROR(VLOOKUP(J259,PROVEEDORES!$A$3:$G$42,4,0),"")</f>
        <v>chef@gourmetselect.cl,contabilidad@gourmetselect.cl,pedidos@gourmetselect.cl,info@gourmetselect.cl</v>
      </c>
      <c r="M259" s="18" t="str">
        <f>IFERROR(VLOOKUP(J259,PROVEEDORES!$A$3:$G$42,5,0),"")</f>
        <v>56944921093</v>
      </c>
      <c r="N259" s="19">
        <v>873</v>
      </c>
      <c r="O259" s="67" t="s">
        <v>41</v>
      </c>
      <c r="P259" s="68" t="str">
        <f>IFERROR(VLOOKUP(O259,PROVEEDORES!$A$3:$G$42,2,0),"")</f>
        <v>FRUTAS Y VERDURAS</v>
      </c>
      <c r="Q259" s="69" t="str">
        <f>IFERROR(VLOOKUP(O259,PROVEEDORES!$A$3:$G$42,4,0),"")</f>
        <v>caseritaencasa@gmail.com</v>
      </c>
      <c r="R259" s="18" t="str">
        <f>IFERROR(VLOOKUP(O259,PROVEEDORES!$A$3:$G$42,5,0),"")</f>
        <v>56952069703</v>
      </c>
      <c r="S259" s="19">
        <v>3469</v>
      </c>
      <c r="T259" s="20">
        <f t="shared" si="8"/>
        <v>2285</v>
      </c>
      <c r="U259" s="21">
        <f t="shared" si="9"/>
        <v>2513.5</v>
      </c>
    </row>
    <row r="260" spans="1:21" ht="15" customHeight="1" x14ac:dyDescent="0.35">
      <c r="A260" s="6" t="s">
        <v>455</v>
      </c>
      <c r="B260" s="7" t="s">
        <v>465</v>
      </c>
      <c r="C260" s="8" t="s">
        <v>239</v>
      </c>
      <c r="D260" s="9">
        <v>0.5</v>
      </c>
      <c r="E260" s="64" t="s">
        <v>35</v>
      </c>
      <c r="F260" s="65" t="str">
        <f>IFERROR(VLOOKUP(E260,PROVEEDORES!$A$3:$G$42,2,0),"")</f>
        <v>ABARROTES</v>
      </c>
      <c r="G260" s="66" t="str">
        <f>IFERROR(VLOOKUP(E260,PROVEEDORES!$A$3:$G$42,4,0),"")</f>
        <v>pagos@bidfood.cl,pmolina@bidfood.cl</v>
      </c>
      <c r="H260" s="10" t="str">
        <f>IFERROR(VLOOKUP(E260,PROVEEDORES!$A$3:$G$42,5,0),"")</f>
        <v>56225994444 - 56998038459</v>
      </c>
      <c r="I260" s="11">
        <v>2390</v>
      </c>
      <c r="J260" s="64" t="s">
        <v>105</v>
      </c>
      <c r="K260" s="65" t="str">
        <f>IFERROR(VLOOKUP(J260,PROVEEDORES!$A$3:$G$42,2,0),"")</f>
        <v>ESPECIES</v>
      </c>
      <c r="L260" s="66" t="str">
        <f>IFERROR(VLOOKUP(J260,PROVEEDORES!$A$3:$G$42,4,0),"")</f>
        <v>chef@gourmetselect.cl,contabilidad@gourmetselect.cl,pedidos@gourmetselect.cl,info@gourmetselect.cl</v>
      </c>
      <c r="M260" s="10" t="str">
        <f>IFERROR(VLOOKUP(J260,PROVEEDORES!$A$3:$G$42,5,0),"")</f>
        <v>56944921093</v>
      </c>
      <c r="N260" s="11">
        <v>2261</v>
      </c>
      <c r="O260" s="64" t="s">
        <v>41</v>
      </c>
      <c r="P260" s="65" t="str">
        <f>IFERROR(VLOOKUP(O260,PROVEEDORES!$A$3:$G$42,2,0),"")</f>
        <v>FRUTAS Y VERDURAS</v>
      </c>
      <c r="Q260" s="66" t="str">
        <f>IFERROR(VLOOKUP(O260,PROVEEDORES!$A$3:$G$42,4,0),"")</f>
        <v>caseritaencasa@gmail.com</v>
      </c>
      <c r="R260" s="10" t="str">
        <f>IFERROR(VLOOKUP(O260,PROVEEDORES!$A$3:$G$42,5,0),"")</f>
        <v>56952069703</v>
      </c>
      <c r="S260" s="11">
        <v>1801</v>
      </c>
      <c r="T260" s="12">
        <f t="shared" si="8"/>
        <v>2150.6666666666665</v>
      </c>
      <c r="U260" s="13">
        <f t="shared" si="9"/>
        <v>2365.7333333333336</v>
      </c>
    </row>
    <row r="261" spans="1:21" ht="15" customHeight="1" x14ac:dyDescent="0.35">
      <c r="A261" s="14" t="s">
        <v>455</v>
      </c>
      <c r="B261" s="15" t="s">
        <v>466</v>
      </c>
      <c r="C261" s="16" t="s">
        <v>239</v>
      </c>
      <c r="D261" s="17">
        <v>2.5</v>
      </c>
      <c r="E261" s="67" t="s">
        <v>35</v>
      </c>
      <c r="F261" s="68" t="str">
        <f>IFERROR(VLOOKUP(E261,PROVEEDORES!$A$3:$G$42,2,0),"")</f>
        <v>ABARROTES</v>
      </c>
      <c r="G261" s="69" t="str">
        <f>IFERROR(VLOOKUP(E261,PROVEEDORES!$A$3:$G$42,4,0),"")</f>
        <v>pagos@bidfood.cl,pmolina@bidfood.cl</v>
      </c>
      <c r="H261" s="18" t="str">
        <f>IFERROR(VLOOKUP(E261,PROVEEDORES!$A$3:$G$42,5,0),"")</f>
        <v>56225994444 - 56998038459</v>
      </c>
      <c r="I261" s="19">
        <v>95</v>
      </c>
      <c r="J261" s="67" t="s">
        <v>105</v>
      </c>
      <c r="K261" s="68" t="str">
        <f>IFERROR(VLOOKUP(J261,PROVEEDORES!$A$3:$G$42,2,0),"")</f>
        <v>ESPECIES</v>
      </c>
      <c r="L261" s="69" t="str">
        <f>IFERROR(VLOOKUP(J261,PROVEEDORES!$A$3:$G$42,4,0),"")</f>
        <v>chef@gourmetselect.cl,contabilidad@gourmetselect.cl,pedidos@gourmetselect.cl,info@gourmetselect.cl</v>
      </c>
      <c r="M261" s="18" t="str">
        <f>IFERROR(VLOOKUP(J261,PROVEEDORES!$A$3:$G$42,5,0),"")</f>
        <v>56944921093</v>
      </c>
      <c r="N261" s="19">
        <v>28</v>
      </c>
      <c r="O261" s="67" t="s">
        <v>41</v>
      </c>
      <c r="P261" s="68" t="str">
        <f>IFERROR(VLOOKUP(O261,PROVEEDORES!$A$3:$G$42,2,0),"")</f>
        <v>FRUTAS Y VERDURAS</v>
      </c>
      <c r="Q261" s="69" t="str">
        <f>IFERROR(VLOOKUP(O261,PROVEEDORES!$A$3:$G$42,4,0),"")</f>
        <v>caseritaencasa@gmail.com</v>
      </c>
      <c r="R261" s="18" t="str">
        <f>IFERROR(VLOOKUP(O261,PROVEEDORES!$A$3:$G$42,5,0),"")</f>
        <v>56952069703</v>
      </c>
      <c r="S261" s="19">
        <v>128</v>
      </c>
      <c r="T261" s="20">
        <f t="shared" si="8"/>
        <v>83.666666666666671</v>
      </c>
      <c r="U261" s="21">
        <f t="shared" si="9"/>
        <v>92.033333333333346</v>
      </c>
    </row>
    <row r="262" spans="1:21" ht="15" customHeight="1" x14ac:dyDescent="0.35">
      <c r="A262" s="6" t="s">
        <v>455</v>
      </c>
      <c r="B262" s="7" t="s">
        <v>467</v>
      </c>
      <c r="C262" s="8" t="s">
        <v>239</v>
      </c>
      <c r="D262" s="9">
        <v>2</v>
      </c>
      <c r="E262" s="64" t="s">
        <v>35</v>
      </c>
      <c r="F262" s="65" t="str">
        <f>IFERROR(VLOOKUP(E262,PROVEEDORES!$A$3:$G$42,2,0),"")</f>
        <v>ABARROTES</v>
      </c>
      <c r="G262" s="66" t="str">
        <f>IFERROR(VLOOKUP(E262,PROVEEDORES!$A$3:$G$42,4,0),"")</f>
        <v>pagos@bidfood.cl,pmolina@bidfood.cl</v>
      </c>
      <c r="H262" s="10" t="str">
        <f>IFERROR(VLOOKUP(E262,PROVEEDORES!$A$3:$G$42,5,0),"")</f>
        <v>56225994444 - 56998038459</v>
      </c>
      <c r="I262" s="11">
        <v>1980</v>
      </c>
      <c r="J262" s="64" t="s">
        <v>105</v>
      </c>
      <c r="K262" s="65" t="str">
        <f>IFERROR(VLOOKUP(J262,PROVEEDORES!$A$3:$G$42,2,0),"")</f>
        <v>ESPECIES</v>
      </c>
      <c r="L262" s="66" t="str">
        <f>IFERROR(VLOOKUP(J262,PROVEEDORES!$A$3:$G$42,4,0),"")</f>
        <v>chef@gourmetselect.cl,contabilidad@gourmetselect.cl,pedidos@gourmetselect.cl,info@gourmetselect.cl</v>
      </c>
      <c r="M262" s="10" t="str">
        <f>IFERROR(VLOOKUP(J262,PROVEEDORES!$A$3:$G$42,5,0),"")</f>
        <v>56944921093</v>
      </c>
      <c r="N262" s="11">
        <v>2482</v>
      </c>
      <c r="O262" s="64" t="s">
        <v>41</v>
      </c>
      <c r="P262" s="65" t="str">
        <f>IFERROR(VLOOKUP(O262,PROVEEDORES!$A$3:$G$42,2,0),"")</f>
        <v>FRUTAS Y VERDURAS</v>
      </c>
      <c r="Q262" s="66" t="str">
        <f>IFERROR(VLOOKUP(O262,PROVEEDORES!$A$3:$G$42,4,0),"")</f>
        <v>caseritaencasa@gmail.com</v>
      </c>
      <c r="R262" s="10" t="str">
        <f>IFERROR(VLOOKUP(O262,PROVEEDORES!$A$3:$G$42,5,0),"")</f>
        <v>56952069703</v>
      </c>
      <c r="S262" s="11">
        <v>664</v>
      </c>
      <c r="T262" s="12">
        <f t="shared" si="8"/>
        <v>1708.6666666666667</v>
      </c>
      <c r="U262" s="13">
        <f t="shared" si="9"/>
        <v>1879.5333333333335</v>
      </c>
    </row>
    <row r="263" spans="1:21" ht="15" customHeight="1" x14ac:dyDescent="0.35">
      <c r="A263" s="14" t="s">
        <v>455</v>
      </c>
      <c r="B263" s="15" t="s">
        <v>468</v>
      </c>
      <c r="C263" s="16" t="s">
        <v>239</v>
      </c>
      <c r="D263" s="17">
        <v>1</v>
      </c>
      <c r="E263" s="67" t="s">
        <v>35</v>
      </c>
      <c r="F263" s="68" t="str">
        <f>IFERROR(VLOOKUP(E263,PROVEEDORES!$A$3:$G$42,2,0),"")</f>
        <v>ABARROTES</v>
      </c>
      <c r="G263" s="69" t="str">
        <f>IFERROR(VLOOKUP(E263,PROVEEDORES!$A$3:$G$42,4,0),"")</f>
        <v>pagos@bidfood.cl,pmolina@bidfood.cl</v>
      </c>
      <c r="H263" s="18" t="str">
        <f>IFERROR(VLOOKUP(E263,PROVEEDORES!$A$3:$G$42,5,0),"")</f>
        <v>56225994444 - 56998038459</v>
      </c>
      <c r="I263" s="19">
        <v>78</v>
      </c>
      <c r="J263" s="67" t="s">
        <v>105</v>
      </c>
      <c r="K263" s="68" t="str">
        <f>IFERROR(VLOOKUP(J263,PROVEEDORES!$A$3:$G$42,2,0),"")</f>
        <v>ESPECIES</v>
      </c>
      <c r="L263" s="69" t="str">
        <f>IFERROR(VLOOKUP(J263,PROVEEDORES!$A$3:$G$42,4,0),"")</f>
        <v>chef@gourmetselect.cl,contabilidad@gourmetselect.cl,pedidos@gourmetselect.cl,info@gourmetselect.cl</v>
      </c>
      <c r="M263" s="18" t="str">
        <f>IFERROR(VLOOKUP(J263,PROVEEDORES!$A$3:$G$42,5,0),"")</f>
        <v>56944921093</v>
      </c>
      <c r="N263" s="19">
        <v>82</v>
      </c>
      <c r="O263" s="67" t="s">
        <v>41</v>
      </c>
      <c r="P263" s="68" t="str">
        <f>IFERROR(VLOOKUP(O263,PROVEEDORES!$A$3:$G$42,2,0),"")</f>
        <v>FRUTAS Y VERDURAS</v>
      </c>
      <c r="Q263" s="69" t="str">
        <f>IFERROR(VLOOKUP(O263,PROVEEDORES!$A$3:$G$42,4,0),"")</f>
        <v>caseritaencasa@gmail.com</v>
      </c>
      <c r="R263" s="18" t="str">
        <f>IFERROR(VLOOKUP(O263,PROVEEDORES!$A$3:$G$42,5,0),"")</f>
        <v>56952069703</v>
      </c>
      <c r="S263" s="19">
        <v>45</v>
      </c>
      <c r="T263" s="20">
        <f t="shared" si="8"/>
        <v>68.333333333333329</v>
      </c>
      <c r="U263" s="21">
        <f t="shared" si="9"/>
        <v>75.166666666666671</v>
      </c>
    </row>
    <row r="264" spans="1:21" ht="15" customHeight="1" x14ac:dyDescent="0.35">
      <c r="A264" s="6" t="s">
        <v>455</v>
      </c>
      <c r="B264" s="7" t="s">
        <v>469</v>
      </c>
      <c r="C264" s="8" t="s">
        <v>239</v>
      </c>
      <c r="D264" s="9">
        <v>2</v>
      </c>
      <c r="E264" s="64" t="s">
        <v>35</v>
      </c>
      <c r="F264" s="65" t="str">
        <f>IFERROR(VLOOKUP(E264,PROVEEDORES!$A$3:$G$42,2,0),"")</f>
        <v>ABARROTES</v>
      </c>
      <c r="G264" s="66" t="str">
        <f>IFERROR(VLOOKUP(E264,PROVEEDORES!$A$3:$G$42,4,0),"")</f>
        <v>pagos@bidfood.cl,pmolina@bidfood.cl</v>
      </c>
      <c r="H264" s="10" t="str">
        <f>IFERROR(VLOOKUP(E264,PROVEEDORES!$A$3:$G$42,5,0),"")</f>
        <v>56225994444 - 56998038459</v>
      </c>
      <c r="I264" s="11">
        <v>750</v>
      </c>
      <c r="J264" s="64" t="s">
        <v>105</v>
      </c>
      <c r="K264" s="65" t="str">
        <f>IFERROR(VLOOKUP(J264,PROVEEDORES!$A$3:$G$42,2,0),"")</f>
        <v>ESPECIES</v>
      </c>
      <c r="L264" s="66" t="str">
        <f>IFERROR(VLOOKUP(J264,PROVEEDORES!$A$3:$G$42,4,0),"")</f>
        <v>chef@gourmetselect.cl,contabilidad@gourmetselect.cl,pedidos@gourmetselect.cl,info@gourmetselect.cl</v>
      </c>
      <c r="M264" s="10" t="str">
        <f>IFERROR(VLOOKUP(J264,PROVEEDORES!$A$3:$G$42,5,0),"")</f>
        <v>56944921093</v>
      </c>
      <c r="N264" s="11">
        <v>684</v>
      </c>
      <c r="O264" s="64" t="s">
        <v>41</v>
      </c>
      <c r="P264" s="65" t="str">
        <f>IFERROR(VLOOKUP(O264,PROVEEDORES!$A$3:$G$42,2,0),"")</f>
        <v>FRUTAS Y VERDURAS</v>
      </c>
      <c r="Q264" s="66" t="str">
        <f>IFERROR(VLOOKUP(O264,PROVEEDORES!$A$3:$G$42,4,0),"")</f>
        <v>caseritaencasa@gmail.com</v>
      </c>
      <c r="R264" s="10" t="str">
        <f>IFERROR(VLOOKUP(O264,PROVEEDORES!$A$3:$G$42,5,0),"")</f>
        <v>56952069703</v>
      </c>
      <c r="S264" s="11">
        <v>260</v>
      </c>
      <c r="T264" s="12">
        <f t="shared" si="8"/>
        <v>564.66666666666663</v>
      </c>
      <c r="U264" s="13">
        <f t="shared" si="9"/>
        <v>621.13333333333333</v>
      </c>
    </row>
    <row r="265" spans="1:21" ht="15" customHeight="1" x14ac:dyDescent="0.35">
      <c r="A265" s="14" t="s">
        <v>455</v>
      </c>
      <c r="B265" s="15" t="s">
        <v>470</v>
      </c>
      <c r="C265" s="16" t="s">
        <v>239</v>
      </c>
      <c r="D265" s="17">
        <v>1</v>
      </c>
      <c r="E265" s="67" t="s">
        <v>35</v>
      </c>
      <c r="F265" s="68" t="str">
        <f>IFERROR(VLOOKUP(E265,PROVEEDORES!$A$3:$G$42,2,0),"")</f>
        <v>ABARROTES</v>
      </c>
      <c r="G265" s="69" t="str">
        <f>IFERROR(VLOOKUP(E265,PROVEEDORES!$A$3:$G$42,4,0),"")</f>
        <v>pagos@bidfood.cl,pmolina@bidfood.cl</v>
      </c>
      <c r="H265" s="18" t="str">
        <f>IFERROR(VLOOKUP(E265,PROVEEDORES!$A$3:$G$42,5,0),"")</f>
        <v>56225994444 - 56998038459</v>
      </c>
      <c r="I265" s="19">
        <v>1000</v>
      </c>
      <c r="J265" s="67" t="s">
        <v>105</v>
      </c>
      <c r="K265" s="68" t="str">
        <f>IFERROR(VLOOKUP(J265,PROVEEDORES!$A$3:$G$42,2,0),"")</f>
        <v>ESPECIES</v>
      </c>
      <c r="L265" s="69" t="str">
        <f>IFERROR(VLOOKUP(J265,PROVEEDORES!$A$3:$G$42,4,0),"")</f>
        <v>chef@gourmetselect.cl,contabilidad@gourmetselect.cl,pedidos@gourmetselect.cl,info@gourmetselect.cl</v>
      </c>
      <c r="M265" s="18" t="str">
        <f>IFERROR(VLOOKUP(J265,PROVEEDORES!$A$3:$G$42,5,0),"")</f>
        <v>56944921093</v>
      </c>
      <c r="N265" s="19">
        <v>1268</v>
      </c>
      <c r="O265" s="67" t="s">
        <v>41</v>
      </c>
      <c r="P265" s="68" t="str">
        <f>IFERROR(VLOOKUP(O265,PROVEEDORES!$A$3:$G$42,2,0),"")</f>
        <v>FRUTAS Y VERDURAS</v>
      </c>
      <c r="Q265" s="69" t="str">
        <f>IFERROR(VLOOKUP(O265,PROVEEDORES!$A$3:$G$42,4,0),"")</f>
        <v>caseritaencasa@gmail.com</v>
      </c>
      <c r="R265" s="18" t="str">
        <f>IFERROR(VLOOKUP(O265,PROVEEDORES!$A$3:$G$42,5,0),"")</f>
        <v>56952069703</v>
      </c>
      <c r="S265" s="19">
        <v>250</v>
      </c>
      <c r="T265" s="20">
        <f t="shared" si="8"/>
        <v>839.33333333333337</v>
      </c>
      <c r="U265" s="21">
        <f t="shared" si="9"/>
        <v>923.26666666666677</v>
      </c>
    </row>
    <row r="266" spans="1:21" ht="15" customHeight="1" x14ac:dyDescent="0.35">
      <c r="A266" s="6" t="s">
        <v>455</v>
      </c>
      <c r="B266" s="7" t="s">
        <v>471</v>
      </c>
      <c r="C266" s="8" t="s">
        <v>239</v>
      </c>
      <c r="D266" s="9">
        <v>0.2</v>
      </c>
      <c r="E266" s="64" t="s">
        <v>35</v>
      </c>
      <c r="F266" s="65" t="str">
        <f>IFERROR(VLOOKUP(E266,PROVEEDORES!$A$3:$G$42,2,0),"")</f>
        <v>ABARROTES</v>
      </c>
      <c r="G266" s="66" t="str">
        <f>IFERROR(VLOOKUP(E266,PROVEEDORES!$A$3:$G$42,4,0),"")</f>
        <v>pagos@bidfood.cl,pmolina@bidfood.cl</v>
      </c>
      <c r="H266" s="10" t="str">
        <f>IFERROR(VLOOKUP(E266,PROVEEDORES!$A$3:$G$42,5,0),"")</f>
        <v>56225994444 - 56998038459</v>
      </c>
      <c r="I266" s="11">
        <v>624</v>
      </c>
      <c r="J266" s="64" t="s">
        <v>105</v>
      </c>
      <c r="K266" s="65" t="str">
        <f>IFERROR(VLOOKUP(J266,PROVEEDORES!$A$3:$G$42,2,0),"")</f>
        <v>ESPECIES</v>
      </c>
      <c r="L266" s="66" t="str">
        <f>IFERROR(VLOOKUP(J266,PROVEEDORES!$A$3:$G$42,4,0),"")</f>
        <v>chef@gourmetselect.cl,contabilidad@gourmetselect.cl,pedidos@gourmetselect.cl,info@gourmetselect.cl</v>
      </c>
      <c r="M266" s="10" t="str">
        <f>IFERROR(VLOOKUP(J266,PROVEEDORES!$A$3:$G$42,5,0),"")</f>
        <v>56944921093</v>
      </c>
      <c r="N266" s="11">
        <v>460</v>
      </c>
      <c r="O266" s="64" t="s">
        <v>41</v>
      </c>
      <c r="P266" s="65" t="str">
        <f>IFERROR(VLOOKUP(O266,PROVEEDORES!$A$3:$G$42,2,0),"")</f>
        <v>FRUTAS Y VERDURAS</v>
      </c>
      <c r="Q266" s="66" t="str">
        <f>IFERROR(VLOOKUP(O266,PROVEEDORES!$A$3:$G$42,4,0),"")</f>
        <v>caseritaencasa@gmail.com</v>
      </c>
      <c r="R266" s="10" t="str">
        <f>IFERROR(VLOOKUP(O266,PROVEEDORES!$A$3:$G$42,5,0),"")</f>
        <v>56952069703</v>
      </c>
      <c r="S266" s="11">
        <v>260</v>
      </c>
      <c r="T266" s="12">
        <f t="shared" si="8"/>
        <v>448</v>
      </c>
      <c r="U266" s="13">
        <f t="shared" si="9"/>
        <v>492.80000000000007</v>
      </c>
    </row>
    <row r="267" spans="1:21" ht="15" customHeight="1" x14ac:dyDescent="0.35">
      <c r="A267" s="14" t="s">
        <v>455</v>
      </c>
      <c r="B267" s="15" t="s">
        <v>472</v>
      </c>
      <c r="C267" s="16" t="s">
        <v>239</v>
      </c>
      <c r="D267" s="17">
        <v>25</v>
      </c>
      <c r="E267" s="67" t="s">
        <v>35</v>
      </c>
      <c r="F267" s="68" t="str">
        <f>IFERROR(VLOOKUP(E267,PROVEEDORES!$A$3:$G$42,2,0),"")</f>
        <v>ABARROTES</v>
      </c>
      <c r="G267" s="69" t="str">
        <f>IFERROR(VLOOKUP(E267,PROVEEDORES!$A$3:$G$42,4,0),"")</f>
        <v>pagos@bidfood.cl,pmolina@bidfood.cl</v>
      </c>
      <c r="H267" s="18" t="str">
        <f>IFERROR(VLOOKUP(E267,PROVEEDORES!$A$3:$G$42,5,0),"")</f>
        <v>56225994444 - 56998038459</v>
      </c>
      <c r="I267" s="19">
        <v>198</v>
      </c>
      <c r="J267" s="67" t="s">
        <v>105</v>
      </c>
      <c r="K267" s="68" t="str">
        <f>IFERROR(VLOOKUP(J267,PROVEEDORES!$A$3:$G$42,2,0),"")</f>
        <v>ESPECIES</v>
      </c>
      <c r="L267" s="69" t="str">
        <f>IFERROR(VLOOKUP(J267,PROVEEDORES!$A$3:$G$42,4,0),"")</f>
        <v>chef@gourmetselect.cl,contabilidad@gourmetselect.cl,pedidos@gourmetselect.cl,info@gourmetselect.cl</v>
      </c>
      <c r="M267" s="18" t="str">
        <f>IFERROR(VLOOKUP(J267,PROVEEDORES!$A$3:$G$42,5,0),"")</f>
        <v>56944921093</v>
      </c>
      <c r="N267" s="19">
        <v>113</v>
      </c>
      <c r="O267" s="67" t="s">
        <v>41</v>
      </c>
      <c r="P267" s="68" t="str">
        <f>IFERROR(VLOOKUP(O267,PROVEEDORES!$A$3:$G$42,2,0),"")</f>
        <v>FRUTAS Y VERDURAS</v>
      </c>
      <c r="Q267" s="69" t="str">
        <f>IFERROR(VLOOKUP(O267,PROVEEDORES!$A$3:$G$42,4,0),"")</f>
        <v>caseritaencasa@gmail.com</v>
      </c>
      <c r="R267" s="18" t="str">
        <f>IFERROR(VLOOKUP(O267,PROVEEDORES!$A$3:$G$42,5,0),"")</f>
        <v>56952069703</v>
      </c>
      <c r="S267" s="19">
        <v>370</v>
      </c>
      <c r="T267" s="20">
        <f t="shared" si="8"/>
        <v>227</v>
      </c>
      <c r="U267" s="21">
        <f t="shared" si="9"/>
        <v>249.70000000000002</v>
      </c>
    </row>
    <row r="268" spans="1:21" ht="15" customHeight="1" x14ac:dyDescent="0.35">
      <c r="A268" s="6" t="s">
        <v>455</v>
      </c>
      <c r="B268" s="7" t="s">
        <v>473</v>
      </c>
      <c r="C268" s="8" t="s">
        <v>239</v>
      </c>
      <c r="D268" s="9">
        <v>17.5</v>
      </c>
      <c r="E268" s="64" t="s">
        <v>35</v>
      </c>
      <c r="F268" s="65" t="str">
        <f>IFERROR(VLOOKUP(E268,PROVEEDORES!$A$3:$G$42,2,0),"")</f>
        <v>ABARROTES</v>
      </c>
      <c r="G268" s="66" t="str">
        <f>IFERROR(VLOOKUP(E268,PROVEEDORES!$A$3:$G$42,4,0),"")</f>
        <v>pagos@bidfood.cl,pmolina@bidfood.cl</v>
      </c>
      <c r="H268" s="10" t="str">
        <f>IFERROR(VLOOKUP(E268,PROVEEDORES!$A$3:$G$42,5,0),"")</f>
        <v>56225994444 - 56998038459</v>
      </c>
      <c r="I268" s="11">
        <v>59</v>
      </c>
      <c r="J268" s="64" t="s">
        <v>105</v>
      </c>
      <c r="K268" s="65" t="str">
        <f>IFERROR(VLOOKUP(J268,PROVEEDORES!$A$3:$G$42,2,0),"")</f>
        <v>ESPECIES</v>
      </c>
      <c r="L268" s="66" t="str">
        <f>IFERROR(VLOOKUP(J268,PROVEEDORES!$A$3:$G$42,4,0),"")</f>
        <v>chef@gourmetselect.cl,contabilidad@gourmetselect.cl,pedidos@gourmetselect.cl,info@gourmetselect.cl</v>
      </c>
      <c r="M268" s="10" t="str">
        <f>IFERROR(VLOOKUP(J268,PROVEEDORES!$A$3:$G$42,5,0),"")</f>
        <v>56944921093</v>
      </c>
      <c r="N268" s="11">
        <v>91</v>
      </c>
      <c r="O268" s="64" t="s">
        <v>41</v>
      </c>
      <c r="P268" s="65" t="str">
        <f>IFERROR(VLOOKUP(O268,PROVEEDORES!$A$3:$G$42,2,0),"")</f>
        <v>FRUTAS Y VERDURAS</v>
      </c>
      <c r="Q268" s="66" t="str">
        <f>IFERROR(VLOOKUP(O268,PROVEEDORES!$A$3:$G$42,4,0),"")</f>
        <v>caseritaencasa@gmail.com</v>
      </c>
      <c r="R268" s="10" t="str">
        <f>IFERROR(VLOOKUP(O268,PROVEEDORES!$A$3:$G$42,5,0),"")</f>
        <v>56952069703</v>
      </c>
      <c r="S268" s="11">
        <v>117</v>
      </c>
      <c r="T268" s="12">
        <f t="shared" si="8"/>
        <v>89</v>
      </c>
      <c r="U268" s="13">
        <f t="shared" si="9"/>
        <v>97.9</v>
      </c>
    </row>
    <row r="269" spans="1:21" ht="15" customHeight="1" x14ac:dyDescent="0.35">
      <c r="A269" s="14" t="s">
        <v>455</v>
      </c>
      <c r="B269" s="15" t="s">
        <v>474</v>
      </c>
      <c r="C269" s="16" t="s">
        <v>239</v>
      </c>
      <c r="D269" s="17">
        <v>12.5</v>
      </c>
      <c r="E269" s="67" t="s">
        <v>35</v>
      </c>
      <c r="F269" s="68" t="str">
        <f>IFERROR(VLOOKUP(E269,PROVEEDORES!$A$3:$G$42,2,0),"")</f>
        <v>ABARROTES</v>
      </c>
      <c r="G269" s="69" t="str">
        <f>IFERROR(VLOOKUP(E269,PROVEEDORES!$A$3:$G$42,4,0),"")</f>
        <v>pagos@bidfood.cl,pmolina@bidfood.cl</v>
      </c>
      <c r="H269" s="18" t="str">
        <f>IFERROR(VLOOKUP(E269,PROVEEDORES!$A$3:$G$42,5,0),"")</f>
        <v>56225994444 - 56998038459</v>
      </c>
      <c r="I269" s="19">
        <v>450</v>
      </c>
      <c r="J269" s="67" t="s">
        <v>105</v>
      </c>
      <c r="K269" s="68" t="str">
        <f>IFERROR(VLOOKUP(J269,PROVEEDORES!$A$3:$G$42,2,0),"")</f>
        <v>ESPECIES</v>
      </c>
      <c r="L269" s="69" t="str">
        <f>IFERROR(VLOOKUP(J269,PROVEEDORES!$A$3:$G$42,4,0),"")</f>
        <v>chef@gourmetselect.cl,contabilidad@gourmetselect.cl,pedidos@gourmetselect.cl,info@gourmetselect.cl</v>
      </c>
      <c r="M269" s="18" t="str">
        <f>IFERROR(VLOOKUP(J269,PROVEEDORES!$A$3:$G$42,5,0),"")</f>
        <v>56944921093</v>
      </c>
      <c r="N269" s="19">
        <v>457</v>
      </c>
      <c r="O269" s="67" t="s">
        <v>41</v>
      </c>
      <c r="P269" s="68" t="str">
        <f>IFERROR(VLOOKUP(O269,PROVEEDORES!$A$3:$G$42,2,0),"")</f>
        <v>FRUTAS Y VERDURAS</v>
      </c>
      <c r="Q269" s="69" t="str">
        <f>IFERROR(VLOOKUP(O269,PROVEEDORES!$A$3:$G$42,4,0),"")</f>
        <v>caseritaencasa@gmail.com</v>
      </c>
      <c r="R269" s="18" t="str">
        <f>IFERROR(VLOOKUP(O269,PROVEEDORES!$A$3:$G$42,5,0),"")</f>
        <v>56952069703</v>
      </c>
      <c r="S269" s="19">
        <v>450</v>
      </c>
      <c r="T269" s="20">
        <f t="shared" si="8"/>
        <v>452.33333333333331</v>
      </c>
      <c r="U269" s="21">
        <f t="shared" si="9"/>
        <v>497.56666666666666</v>
      </c>
    </row>
    <row r="270" spans="1:21" ht="15" customHeight="1" x14ac:dyDescent="0.35">
      <c r="A270" s="6" t="s">
        <v>455</v>
      </c>
      <c r="B270" s="7" t="s">
        <v>475</v>
      </c>
      <c r="C270" s="8" t="s">
        <v>239</v>
      </c>
      <c r="D270" s="9">
        <v>0.5</v>
      </c>
      <c r="E270" s="64" t="s">
        <v>35</v>
      </c>
      <c r="F270" s="65" t="str">
        <f>IFERROR(VLOOKUP(E270,PROVEEDORES!$A$3:$G$42,2,0),"")</f>
        <v>ABARROTES</v>
      </c>
      <c r="G270" s="66" t="str">
        <f>IFERROR(VLOOKUP(E270,PROVEEDORES!$A$3:$G$42,4,0),"")</f>
        <v>pagos@bidfood.cl,pmolina@bidfood.cl</v>
      </c>
      <c r="H270" s="10" t="str">
        <f>IFERROR(VLOOKUP(E270,PROVEEDORES!$A$3:$G$42,5,0),"")</f>
        <v>56225994444 - 56998038459</v>
      </c>
      <c r="I270" s="11">
        <v>92</v>
      </c>
      <c r="J270" s="64" t="s">
        <v>105</v>
      </c>
      <c r="K270" s="65" t="str">
        <f>IFERROR(VLOOKUP(J270,PROVEEDORES!$A$3:$G$42,2,0),"")</f>
        <v>ESPECIES</v>
      </c>
      <c r="L270" s="66" t="str">
        <f>IFERROR(VLOOKUP(J270,PROVEEDORES!$A$3:$G$42,4,0),"")</f>
        <v>chef@gourmetselect.cl,contabilidad@gourmetselect.cl,pedidos@gourmetselect.cl,info@gourmetselect.cl</v>
      </c>
      <c r="M270" s="10" t="str">
        <f>IFERROR(VLOOKUP(J270,PROVEEDORES!$A$3:$G$42,5,0),"")</f>
        <v>56944921093</v>
      </c>
      <c r="N270" s="11">
        <v>35</v>
      </c>
      <c r="O270" s="64" t="s">
        <v>41</v>
      </c>
      <c r="P270" s="65" t="str">
        <f>IFERROR(VLOOKUP(O270,PROVEEDORES!$A$3:$G$42,2,0),"")</f>
        <v>FRUTAS Y VERDURAS</v>
      </c>
      <c r="Q270" s="66" t="str">
        <f>IFERROR(VLOOKUP(O270,PROVEEDORES!$A$3:$G$42,4,0),"")</f>
        <v>caseritaencasa@gmail.com</v>
      </c>
      <c r="R270" s="10" t="str">
        <f>IFERROR(VLOOKUP(O270,PROVEEDORES!$A$3:$G$42,5,0),"")</f>
        <v>56952069703</v>
      </c>
      <c r="S270" s="11">
        <v>89</v>
      </c>
      <c r="T270" s="12">
        <f t="shared" si="8"/>
        <v>72</v>
      </c>
      <c r="U270" s="13">
        <f t="shared" si="9"/>
        <v>79.2</v>
      </c>
    </row>
    <row r="271" spans="1:21" ht="15" customHeight="1" x14ac:dyDescent="0.35">
      <c r="A271" s="14" t="s">
        <v>455</v>
      </c>
      <c r="B271" s="15" t="s">
        <v>476</v>
      </c>
      <c r="C271" s="16" t="s">
        <v>239</v>
      </c>
      <c r="D271" s="17">
        <v>2</v>
      </c>
      <c r="E271" s="67" t="s">
        <v>35</v>
      </c>
      <c r="F271" s="68" t="str">
        <f>IFERROR(VLOOKUP(E271,PROVEEDORES!$A$3:$G$42,2,0),"")</f>
        <v>ABARROTES</v>
      </c>
      <c r="G271" s="69" t="str">
        <f>IFERROR(VLOOKUP(E271,PROVEEDORES!$A$3:$G$42,4,0),"")</f>
        <v>pagos@bidfood.cl,pmolina@bidfood.cl</v>
      </c>
      <c r="H271" s="18" t="str">
        <f>IFERROR(VLOOKUP(E271,PROVEEDORES!$A$3:$G$42,5,0),"")</f>
        <v>56225994444 - 56998038459</v>
      </c>
      <c r="I271" s="19">
        <v>124</v>
      </c>
      <c r="J271" s="67" t="s">
        <v>105</v>
      </c>
      <c r="K271" s="68" t="str">
        <f>IFERROR(VLOOKUP(J271,PROVEEDORES!$A$3:$G$42,2,0),"")</f>
        <v>ESPECIES</v>
      </c>
      <c r="L271" s="69" t="str">
        <f>IFERROR(VLOOKUP(J271,PROVEEDORES!$A$3:$G$42,4,0),"")</f>
        <v>chef@gourmetselect.cl,contabilidad@gourmetselect.cl,pedidos@gourmetselect.cl,info@gourmetselect.cl</v>
      </c>
      <c r="M271" s="18" t="str">
        <f>IFERROR(VLOOKUP(J271,PROVEEDORES!$A$3:$G$42,5,0),"")</f>
        <v>56944921093</v>
      </c>
      <c r="N271" s="19">
        <v>159</v>
      </c>
      <c r="O271" s="67" t="s">
        <v>41</v>
      </c>
      <c r="P271" s="68" t="str">
        <f>IFERROR(VLOOKUP(O271,PROVEEDORES!$A$3:$G$42,2,0),"")</f>
        <v>FRUTAS Y VERDURAS</v>
      </c>
      <c r="Q271" s="69" t="str">
        <f>IFERROR(VLOOKUP(O271,PROVEEDORES!$A$3:$G$42,4,0),"")</f>
        <v>caseritaencasa@gmail.com</v>
      </c>
      <c r="R271" s="18" t="str">
        <f>IFERROR(VLOOKUP(O271,PROVEEDORES!$A$3:$G$42,5,0),"")</f>
        <v>56952069703</v>
      </c>
      <c r="S271" s="19">
        <v>62</v>
      </c>
      <c r="T271" s="20">
        <f t="shared" si="8"/>
        <v>115</v>
      </c>
      <c r="U271" s="21">
        <f t="shared" si="9"/>
        <v>126.50000000000001</v>
      </c>
    </row>
    <row r="272" spans="1:21" ht="15" customHeight="1" x14ac:dyDescent="0.35">
      <c r="A272" s="6" t="s">
        <v>455</v>
      </c>
      <c r="B272" s="7" t="s">
        <v>477</v>
      </c>
      <c r="C272" s="8" t="s">
        <v>239</v>
      </c>
      <c r="D272" s="9">
        <v>0.625</v>
      </c>
      <c r="E272" s="64" t="s">
        <v>35</v>
      </c>
      <c r="F272" s="65" t="str">
        <f>IFERROR(VLOOKUP(E272,PROVEEDORES!$A$3:$G$42,2,0),"")</f>
        <v>ABARROTES</v>
      </c>
      <c r="G272" s="66" t="str">
        <f>IFERROR(VLOOKUP(E272,PROVEEDORES!$A$3:$G$42,4,0),"")</f>
        <v>pagos@bidfood.cl,pmolina@bidfood.cl</v>
      </c>
      <c r="H272" s="10" t="str">
        <f>IFERROR(VLOOKUP(E272,PROVEEDORES!$A$3:$G$42,5,0),"")</f>
        <v>56225994444 - 56998038459</v>
      </c>
      <c r="I272" s="11">
        <v>193</v>
      </c>
      <c r="J272" s="64" t="s">
        <v>105</v>
      </c>
      <c r="K272" s="65" t="str">
        <f>IFERROR(VLOOKUP(J272,PROVEEDORES!$A$3:$G$42,2,0),"")</f>
        <v>ESPECIES</v>
      </c>
      <c r="L272" s="66" t="str">
        <f>IFERROR(VLOOKUP(J272,PROVEEDORES!$A$3:$G$42,4,0),"")</f>
        <v>chef@gourmetselect.cl,contabilidad@gourmetselect.cl,pedidos@gourmetselect.cl,info@gourmetselect.cl</v>
      </c>
      <c r="M272" s="10" t="str">
        <f>IFERROR(VLOOKUP(J272,PROVEEDORES!$A$3:$G$42,5,0),"")</f>
        <v>56944921093</v>
      </c>
      <c r="N272" s="11">
        <v>139</v>
      </c>
      <c r="O272" s="64" t="s">
        <v>41</v>
      </c>
      <c r="P272" s="65" t="str">
        <f>IFERROR(VLOOKUP(O272,PROVEEDORES!$A$3:$G$42,2,0),"")</f>
        <v>FRUTAS Y VERDURAS</v>
      </c>
      <c r="Q272" s="66" t="str">
        <f>IFERROR(VLOOKUP(O272,PROVEEDORES!$A$3:$G$42,4,0),"")</f>
        <v>caseritaencasa@gmail.com</v>
      </c>
      <c r="R272" s="10" t="str">
        <f>IFERROR(VLOOKUP(O272,PROVEEDORES!$A$3:$G$42,5,0),"")</f>
        <v>56952069703</v>
      </c>
      <c r="S272" s="11">
        <v>368</v>
      </c>
      <c r="T272" s="12">
        <f t="shared" si="8"/>
        <v>233.33333333333334</v>
      </c>
      <c r="U272" s="13">
        <f t="shared" si="9"/>
        <v>256.66666666666669</v>
      </c>
    </row>
    <row r="273" spans="1:21" ht="15" customHeight="1" x14ac:dyDescent="0.35">
      <c r="A273" s="14" t="s">
        <v>455</v>
      </c>
      <c r="B273" s="15" t="s">
        <v>478</v>
      </c>
      <c r="C273" s="16" t="s">
        <v>219</v>
      </c>
      <c r="D273" s="17">
        <v>1E-3</v>
      </c>
      <c r="E273" s="67" t="s">
        <v>35</v>
      </c>
      <c r="F273" s="68" t="str">
        <f>IFERROR(VLOOKUP(E273,PROVEEDORES!$A$3:$G$42,2,0),"")</f>
        <v>ABARROTES</v>
      </c>
      <c r="G273" s="69" t="str">
        <f>IFERROR(VLOOKUP(E273,PROVEEDORES!$A$3:$G$42,4,0),"")</f>
        <v>pagos@bidfood.cl,pmolina@bidfood.cl</v>
      </c>
      <c r="H273" s="18" t="str">
        <f>IFERROR(VLOOKUP(E273,PROVEEDORES!$A$3:$G$42,5,0),"")</f>
        <v>56225994444 - 56998038459</v>
      </c>
      <c r="I273" s="19">
        <v>36842</v>
      </c>
      <c r="J273" s="67" t="s">
        <v>105</v>
      </c>
      <c r="K273" s="68" t="str">
        <f>IFERROR(VLOOKUP(J273,PROVEEDORES!$A$3:$G$42,2,0),"")</f>
        <v>ESPECIES</v>
      </c>
      <c r="L273" s="69" t="str">
        <f>IFERROR(VLOOKUP(J273,PROVEEDORES!$A$3:$G$42,4,0),"")</f>
        <v>chef@gourmetselect.cl,contabilidad@gourmetselect.cl,pedidos@gourmetselect.cl,info@gourmetselect.cl</v>
      </c>
      <c r="M273" s="18" t="str">
        <f>IFERROR(VLOOKUP(J273,PROVEEDORES!$A$3:$G$42,5,0),"")</f>
        <v>56944921093</v>
      </c>
      <c r="N273" s="19">
        <v>49000</v>
      </c>
      <c r="O273" s="67" t="s">
        <v>41</v>
      </c>
      <c r="P273" s="68" t="str">
        <f>IFERROR(VLOOKUP(O273,PROVEEDORES!$A$3:$G$42,2,0),"")</f>
        <v>FRUTAS Y VERDURAS</v>
      </c>
      <c r="Q273" s="69" t="str">
        <f>IFERROR(VLOOKUP(O273,PROVEEDORES!$A$3:$G$42,4,0),"")</f>
        <v>caseritaencasa@gmail.com</v>
      </c>
      <c r="R273" s="18" t="str">
        <f>IFERROR(VLOOKUP(O273,PROVEEDORES!$A$3:$G$42,5,0),"")</f>
        <v>56952069703</v>
      </c>
      <c r="S273" s="19">
        <v>49729</v>
      </c>
      <c r="T273" s="20">
        <f t="shared" si="8"/>
        <v>45190.333333333336</v>
      </c>
      <c r="U273" s="21">
        <f t="shared" si="9"/>
        <v>49709.366666666676</v>
      </c>
    </row>
    <row r="274" spans="1:21" ht="15" customHeight="1" x14ac:dyDescent="0.35">
      <c r="A274" s="6" t="s">
        <v>455</v>
      </c>
      <c r="B274" s="7" t="s">
        <v>479</v>
      </c>
      <c r="C274" s="8" t="s">
        <v>239</v>
      </c>
      <c r="D274" s="9">
        <v>5</v>
      </c>
      <c r="E274" s="64" t="s">
        <v>35</v>
      </c>
      <c r="F274" s="65" t="str">
        <f>IFERROR(VLOOKUP(E274,PROVEEDORES!$A$3:$G$42,2,0),"")</f>
        <v>ABARROTES</v>
      </c>
      <c r="G274" s="66" t="str">
        <f>IFERROR(VLOOKUP(E274,PROVEEDORES!$A$3:$G$42,4,0),"")</f>
        <v>pagos@bidfood.cl,pmolina@bidfood.cl</v>
      </c>
      <c r="H274" s="10" t="str">
        <f>IFERROR(VLOOKUP(E274,PROVEEDORES!$A$3:$G$42,5,0),"")</f>
        <v>56225994444 - 56998038459</v>
      </c>
      <c r="I274" s="11">
        <v>15</v>
      </c>
      <c r="J274" s="64" t="s">
        <v>105</v>
      </c>
      <c r="K274" s="65" t="str">
        <f>IFERROR(VLOOKUP(J274,PROVEEDORES!$A$3:$G$42,2,0),"")</f>
        <v>ESPECIES</v>
      </c>
      <c r="L274" s="66" t="str">
        <f>IFERROR(VLOOKUP(J274,PROVEEDORES!$A$3:$G$42,4,0),"")</f>
        <v>chef@gourmetselect.cl,contabilidad@gourmetselect.cl,pedidos@gourmetselect.cl,info@gourmetselect.cl</v>
      </c>
      <c r="M274" s="10" t="str">
        <f>IFERROR(VLOOKUP(J274,PROVEEDORES!$A$3:$G$42,5,0),"")</f>
        <v>56944921093</v>
      </c>
      <c r="N274" s="11">
        <v>19</v>
      </c>
      <c r="O274" s="64" t="s">
        <v>41</v>
      </c>
      <c r="P274" s="65" t="str">
        <f>IFERROR(VLOOKUP(O274,PROVEEDORES!$A$3:$G$42,2,0),"")</f>
        <v>FRUTAS Y VERDURAS</v>
      </c>
      <c r="Q274" s="66" t="str">
        <f>IFERROR(VLOOKUP(O274,PROVEEDORES!$A$3:$G$42,4,0),"")</f>
        <v>caseritaencasa@gmail.com</v>
      </c>
      <c r="R274" s="10" t="str">
        <f>IFERROR(VLOOKUP(O274,PROVEEDORES!$A$3:$G$42,5,0),"")</f>
        <v>56952069703</v>
      </c>
      <c r="S274" s="11">
        <v>30</v>
      </c>
      <c r="T274" s="12">
        <f t="shared" si="8"/>
        <v>21.333333333333332</v>
      </c>
      <c r="U274" s="13">
        <f t="shared" si="9"/>
        <v>23.466666666666669</v>
      </c>
    </row>
    <row r="275" spans="1:21" ht="15" customHeight="1" x14ac:dyDescent="0.35">
      <c r="A275" s="14" t="s">
        <v>455</v>
      </c>
      <c r="B275" s="15" t="s">
        <v>480</v>
      </c>
      <c r="C275" s="16" t="s">
        <v>239</v>
      </c>
      <c r="D275" s="17">
        <v>1</v>
      </c>
      <c r="E275" s="67" t="s">
        <v>35</v>
      </c>
      <c r="F275" s="68" t="str">
        <f>IFERROR(VLOOKUP(E275,PROVEEDORES!$A$3:$G$42,2,0),"")</f>
        <v>ABARROTES</v>
      </c>
      <c r="G275" s="69" t="str">
        <f>IFERROR(VLOOKUP(E275,PROVEEDORES!$A$3:$G$42,4,0),"")</f>
        <v>pagos@bidfood.cl,pmolina@bidfood.cl</v>
      </c>
      <c r="H275" s="18" t="str">
        <f>IFERROR(VLOOKUP(E275,PROVEEDORES!$A$3:$G$42,5,0),"")</f>
        <v>56225994444 - 56998038459</v>
      </c>
      <c r="I275" s="19">
        <v>310</v>
      </c>
      <c r="J275" s="67" t="s">
        <v>105</v>
      </c>
      <c r="K275" s="68" t="str">
        <f>IFERROR(VLOOKUP(J275,PROVEEDORES!$A$3:$G$42,2,0),"")</f>
        <v>ESPECIES</v>
      </c>
      <c r="L275" s="69" t="str">
        <f>IFERROR(VLOOKUP(J275,PROVEEDORES!$A$3:$G$42,4,0),"")</f>
        <v>chef@gourmetselect.cl,contabilidad@gourmetselect.cl,pedidos@gourmetselect.cl,info@gourmetselect.cl</v>
      </c>
      <c r="M275" s="18" t="str">
        <f>IFERROR(VLOOKUP(J275,PROVEEDORES!$A$3:$G$42,5,0),"")</f>
        <v>56944921093</v>
      </c>
      <c r="N275" s="19">
        <v>136</v>
      </c>
      <c r="O275" s="67" t="s">
        <v>41</v>
      </c>
      <c r="P275" s="68" t="str">
        <f>IFERROR(VLOOKUP(O275,PROVEEDORES!$A$3:$G$42,2,0),"")</f>
        <v>FRUTAS Y VERDURAS</v>
      </c>
      <c r="Q275" s="69" t="str">
        <f>IFERROR(VLOOKUP(O275,PROVEEDORES!$A$3:$G$42,4,0),"")</f>
        <v>caseritaencasa@gmail.com</v>
      </c>
      <c r="R275" s="18" t="str">
        <f>IFERROR(VLOOKUP(O275,PROVEEDORES!$A$3:$G$42,5,0),"")</f>
        <v>56952069703</v>
      </c>
      <c r="S275" s="19">
        <v>201</v>
      </c>
      <c r="T275" s="20">
        <f t="shared" si="8"/>
        <v>215.66666666666666</v>
      </c>
      <c r="U275" s="21">
        <f t="shared" si="9"/>
        <v>237.23333333333335</v>
      </c>
    </row>
    <row r="276" spans="1:21" ht="15" customHeight="1" x14ac:dyDescent="0.35">
      <c r="A276" s="6" t="s">
        <v>455</v>
      </c>
      <c r="B276" s="7" t="s">
        <v>481</v>
      </c>
      <c r="C276" s="8" t="s">
        <v>239</v>
      </c>
      <c r="D276" s="9">
        <v>24.5</v>
      </c>
      <c r="E276" s="64" t="s">
        <v>35</v>
      </c>
      <c r="F276" s="65" t="str">
        <f>IFERROR(VLOOKUP(E276,PROVEEDORES!$A$3:$G$42,2,0),"")</f>
        <v>ABARROTES</v>
      </c>
      <c r="G276" s="66" t="str">
        <f>IFERROR(VLOOKUP(E276,PROVEEDORES!$A$3:$G$42,4,0),"")</f>
        <v>pagos@bidfood.cl,pmolina@bidfood.cl</v>
      </c>
      <c r="H276" s="10" t="str">
        <f>IFERROR(VLOOKUP(E276,PROVEEDORES!$A$3:$G$42,5,0),"")</f>
        <v>56225994444 - 56998038459</v>
      </c>
      <c r="I276" s="11">
        <v>280</v>
      </c>
      <c r="J276" s="64" t="s">
        <v>105</v>
      </c>
      <c r="K276" s="65" t="str">
        <f>IFERROR(VLOOKUP(J276,PROVEEDORES!$A$3:$G$42,2,0),"")</f>
        <v>ESPECIES</v>
      </c>
      <c r="L276" s="66" t="str">
        <f>IFERROR(VLOOKUP(J276,PROVEEDORES!$A$3:$G$42,4,0),"")</f>
        <v>chef@gourmetselect.cl,contabilidad@gourmetselect.cl,pedidos@gourmetselect.cl,info@gourmetselect.cl</v>
      </c>
      <c r="M276" s="10" t="str">
        <f>IFERROR(VLOOKUP(J276,PROVEEDORES!$A$3:$G$42,5,0),"")</f>
        <v>56944921093</v>
      </c>
      <c r="N276" s="11">
        <v>144</v>
      </c>
      <c r="O276" s="64" t="s">
        <v>41</v>
      </c>
      <c r="P276" s="65" t="str">
        <f>IFERROR(VLOOKUP(O276,PROVEEDORES!$A$3:$G$42,2,0),"")</f>
        <v>FRUTAS Y VERDURAS</v>
      </c>
      <c r="Q276" s="66" t="str">
        <f>IFERROR(VLOOKUP(O276,PROVEEDORES!$A$3:$G$42,4,0),"")</f>
        <v>caseritaencasa@gmail.com</v>
      </c>
      <c r="R276" s="10" t="str">
        <f>IFERROR(VLOOKUP(O276,PROVEEDORES!$A$3:$G$42,5,0),"")</f>
        <v>56952069703</v>
      </c>
      <c r="S276" s="11">
        <v>502</v>
      </c>
      <c r="T276" s="12">
        <f t="shared" si="8"/>
        <v>308.66666666666669</v>
      </c>
      <c r="U276" s="13">
        <f t="shared" si="9"/>
        <v>339.53333333333336</v>
      </c>
    </row>
    <row r="277" spans="1:21" ht="15" customHeight="1" x14ac:dyDescent="0.35">
      <c r="A277" s="14" t="s">
        <v>455</v>
      </c>
      <c r="B277" s="15" t="s">
        <v>482</v>
      </c>
      <c r="C277" s="16" t="s">
        <v>239</v>
      </c>
      <c r="D277" s="17">
        <v>7.5</v>
      </c>
      <c r="E277" s="67" t="s">
        <v>35</v>
      </c>
      <c r="F277" s="68" t="str">
        <f>IFERROR(VLOOKUP(E277,PROVEEDORES!$A$3:$G$42,2,0),"")</f>
        <v>ABARROTES</v>
      </c>
      <c r="G277" s="69" t="str">
        <f>IFERROR(VLOOKUP(E277,PROVEEDORES!$A$3:$G$42,4,0),"")</f>
        <v>pagos@bidfood.cl,pmolina@bidfood.cl</v>
      </c>
      <c r="H277" s="18" t="str">
        <f>IFERROR(VLOOKUP(E277,PROVEEDORES!$A$3:$G$42,5,0),"")</f>
        <v>56225994444 - 56998038459</v>
      </c>
      <c r="I277" s="19">
        <v>450</v>
      </c>
      <c r="J277" s="67" t="s">
        <v>105</v>
      </c>
      <c r="K277" s="68" t="str">
        <f>IFERROR(VLOOKUP(J277,PROVEEDORES!$A$3:$G$42,2,0),"")</f>
        <v>ESPECIES</v>
      </c>
      <c r="L277" s="69" t="str">
        <f>IFERROR(VLOOKUP(J277,PROVEEDORES!$A$3:$G$42,4,0),"")</f>
        <v>chef@gourmetselect.cl,contabilidad@gourmetselect.cl,pedidos@gourmetselect.cl,info@gourmetselect.cl</v>
      </c>
      <c r="M277" s="18" t="str">
        <f>IFERROR(VLOOKUP(J277,PROVEEDORES!$A$3:$G$42,5,0),"")</f>
        <v>56944921093</v>
      </c>
      <c r="N277" s="19">
        <v>592</v>
      </c>
      <c r="O277" s="67" t="s">
        <v>41</v>
      </c>
      <c r="P277" s="68" t="str">
        <f>IFERROR(VLOOKUP(O277,PROVEEDORES!$A$3:$G$42,2,0),"")</f>
        <v>FRUTAS Y VERDURAS</v>
      </c>
      <c r="Q277" s="69" t="str">
        <f>IFERROR(VLOOKUP(O277,PROVEEDORES!$A$3:$G$42,4,0),"")</f>
        <v>caseritaencasa@gmail.com</v>
      </c>
      <c r="R277" s="18" t="str">
        <f>IFERROR(VLOOKUP(O277,PROVEEDORES!$A$3:$G$42,5,0),"")</f>
        <v>56952069703</v>
      </c>
      <c r="S277" s="19">
        <v>298</v>
      </c>
      <c r="T277" s="20">
        <f t="shared" si="8"/>
        <v>446.66666666666669</v>
      </c>
      <c r="U277" s="21">
        <f t="shared" si="9"/>
        <v>491.33333333333337</v>
      </c>
    </row>
    <row r="278" spans="1:21" ht="15" customHeight="1" x14ac:dyDescent="0.35">
      <c r="A278" s="6" t="s">
        <v>455</v>
      </c>
      <c r="B278" s="7" t="s">
        <v>483</v>
      </c>
      <c r="C278" s="8" t="s">
        <v>239</v>
      </c>
      <c r="D278" s="9">
        <v>12</v>
      </c>
      <c r="E278" s="64" t="s">
        <v>35</v>
      </c>
      <c r="F278" s="65" t="str">
        <f>IFERROR(VLOOKUP(E278,PROVEEDORES!$A$3:$G$42,2,0),"")</f>
        <v>ABARROTES</v>
      </c>
      <c r="G278" s="66" t="str">
        <f>IFERROR(VLOOKUP(E278,PROVEEDORES!$A$3:$G$42,4,0),"")</f>
        <v>pagos@bidfood.cl,pmolina@bidfood.cl</v>
      </c>
      <c r="H278" s="10" t="str">
        <f>IFERROR(VLOOKUP(E278,PROVEEDORES!$A$3:$G$42,5,0),"")</f>
        <v>56225994444 - 56998038459</v>
      </c>
      <c r="I278" s="11">
        <v>340</v>
      </c>
      <c r="J278" s="64" t="s">
        <v>105</v>
      </c>
      <c r="K278" s="65" t="str">
        <f>IFERROR(VLOOKUP(J278,PROVEEDORES!$A$3:$G$42,2,0),"")</f>
        <v>ESPECIES</v>
      </c>
      <c r="L278" s="66" t="str">
        <f>IFERROR(VLOOKUP(J278,PROVEEDORES!$A$3:$G$42,4,0),"")</f>
        <v>chef@gourmetselect.cl,contabilidad@gourmetselect.cl,pedidos@gourmetselect.cl,info@gourmetselect.cl</v>
      </c>
      <c r="M278" s="10" t="str">
        <f>IFERROR(VLOOKUP(J278,PROVEEDORES!$A$3:$G$42,5,0),"")</f>
        <v>56944921093</v>
      </c>
      <c r="N278" s="11">
        <v>479</v>
      </c>
      <c r="O278" s="64" t="s">
        <v>41</v>
      </c>
      <c r="P278" s="65" t="str">
        <f>IFERROR(VLOOKUP(O278,PROVEEDORES!$A$3:$G$42,2,0),"")</f>
        <v>FRUTAS Y VERDURAS</v>
      </c>
      <c r="Q278" s="66" t="str">
        <f>IFERROR(VLOOKUP(O278,PROVEEDORES!$A$3:$G$42,4,0),"")</f>
        <v>caseritaencasa@gmail.com</v>
      </c>
      <c r="R278" s="10" t="str">
        <f>IFERROR(VLOOKUP(O278,PROVEEDORES!$A$3:$G$42,5,0),"")</f>
        <v>56952069703</v>
      </c>
      <c r="S278" s="11">
        <v>130</v>
      </c>
      <c r="T278" s="12">
        <f t="shared" si="8"/>
        <v>316.33333333333331</v>
      </c>
      <c r="U278" s="13">
        <f t="shared" si="9"/>
        <v>347.9666666666667</v>
      </c>
    </row>
    <row r="279" spans="1:21" ht="15" customHeight="1" x14ac:dyDescent="0.35">
      <c r="A279" s="14" t="s">
        <v>455</v>
      </c>
      <c r="B279" s="15" t="s">
        <v>484</v>
      </c>
      <c r="C279" s="16" t="s">
        <v>239</v>
      </c>
      <c r="D279" s="17">
        <v>0.13250000000000001</v>
      </c>
      <c r="E279" s="67" t="s">
        <v>35</v>
      </c>
      <c r="F279" s="68" t="str">
        <f>IFERROR(VLOOKUP(E279,PROVEEDORES!$A$3:$G$42,2,0),"")</f>
        <v>ABARROTES</v>
      </c>
      <c r="G279" s="69" t="str">
        <f>IFERROR(VLOOKUP(E279,PROVEEDORES!$A$3:$G$42,4,0),"")</f>
        <v>pagos@bidfood.cl,pmolina@bidfood.cl</v>
      </c>
      <c r="H279" s="18" t="str">
        <f>IFERROR(VLOOKUP(E279,PROVEEDORES!$A$3:$G$42,5,0),"")</f>
        <v>56225994444 - 56998038459</v>
      </c>
      <c r="I279" s="19">
        <v>2176</v>
      </c>
      <c r="J279" s="67" t="s">
        <v>105</v>
      </c>
      <c r="K279" s="68" t="str">
        <f>IFERROR(VLOOKUP(J279,PROVEEDORES!$A$3:$G$42,2,0),"")</f>
        <v>ESPECIES</v>
      </c>
      <c r="L279" s="69" t="str">
        <f>IFERROR(VLOOKUP(J279,PROVEEDORES!$A$3:$G$42,4,0),"")</f>
        <v>chef@gourmetselect.cl,contabilidad@gourmetselect.cl,pedidos@gourmetselect.cl,info@gourmetselect.cl</v>
      </c>
      <c r="M279" s="18" t="str">
        <f>IFERROR(VLOOKUP(J279,PROVEEDORES!$A$3:$G$42,5,0),"")</f>
        <v>56944921093</v>
      </c>
      <c r="N279" s="19">
        <v>2874</v>
      </c>
      <c r="O279" s="67" t="s">
        <v>41</v>
      </c>
      <c r="P279" s="68" t="str">
        <f>IFERROR(VLOOKUP(O279,PROVEEDORES!$A$3:$G$42,2,0),"")</f>
        <v>FRUTAS Y VERDURAS</v>
      </c>
      <c r="Q279" s="69" t="str">
        <f>IFERROR(VLOOKUP(O279,PROVEEDORES!$A$3:$G$42,4,0),"")</f>
        <v>caseritaencasa@gmail.com</v>
      </c>
      <c r="R279" s="18" t="str">
        <f>IFERROR(VLOOKUP(O279,PROVEEDORES!$A$3:$G$42,5,0),"")</f>
        <v>56952069703</v>
      </c>
      <c r="S279" s="19">
        <v>3717</v>
      </c>
      <c r="T279" s="20">
        <f t="shared" si="8"/>
        <v>2922.3333333333335</v>
      </c>
      <c r="U279" s="21">
        <f t="shared" si="9"/>
        <v>3214.5666666666671</v>
      </c>
    </row>
    <row r="280" spans="1:21" ht="15" customHeight="1" x14ac:dyDescent="0.35">
      <c r="A280" s="6" t="s">
        <v>455</v>
      </c>
      <c r="B280" s="7" t="s">
        <v>485</v>
      </c>
      <c r="C280" s="8" t="s">
        <v>239</v>
      </c>
      <c r="D280" s="9">
        <v>0.05</v>
      </c>
      <c r="E280" s="64" t="s">
        <v>35</v>
      </c>
      <c r="F280" s="65" t="str">
        <f>IFERROR(VLOOKUP(E280,PROVEEDORES!$A$3:$G$42,2,0),"")</f>
        <v>ABARROTES</v>
      </c>
      <c r="G280" s="66" t="str">
        <f>IFERROR(VLOOKUP(E280,PROVEEDORES!$A$3:$G$42,4,0),"")</f>
        <v>pagos@bidfood.cl,pmolina@bidfood.cl</v>
      </c>
      <c r="H280" s="10" t="str">
        <f>IFERROR(VLOOKUP(E280,PROVEEDORES!$A$3:$G$42,5,0),"")</f>
        <v>56225994444 - 56998038459</v>
      </c>
      <c r="I280" s="11">
        <v>5933</v>
      </c>
      <c r="J280" s="64" t="s">
        <v>105</v>
      </c>
      <c r="K280" s="65" t="str">
        <f>IFERROR(VLOOKUP(J280,PROVEEDORES!$A$3:$G$42,2,0),"")</f>
        <v>ESPECIES</v>
      </c>
      <c r="L280" s="66" t="str">
        <f>IFERROR(VLOOKUP(J280,PROVEEDORES!$A$3:$G$42,4,0),"")</f>
        <v>chef@gourmetselect.cl,contabilidad@gourmetselect.cl,pedidos@gourmetselect.cl,info@gourmetselect.cl</v>
      </c>
      <c r="M280" s="10" t="str">
        <f>IFERROR(VLOOKUP(J280,PROVEEDORES!$A$3:$G$42,5,0),"")</f>
        <v>56944921093</v>
      </c>
      <c r="N280" s="11">
        <v>2872</v>
      </c>
      <c r="O280" s="64" t="s">
        <v>41</v>
      </c>
      <c r="P280" s="65" t="str">
        <f>IFERROR(VLOOKUP(O280,PROVEEDORES!$A$3:$G$42,2,0),"")</f>
        <v>FRUTAS Y VERDURAS</v>
      </c>
      <c r="Q280" s="66" t="str">
        <f>IFERROR(VLOOKUP(O280,PROVEEDORES!$A$3:$G$42,4,0),"")</f>
        <v>caseritaencasa@gmail.com</v>
      </c>
      <c r="R280" s="10" t="str">
        <f>IFERROR(VLOOKUP(O280,PROVEEDORES!$A$3:$G$42,5,0),"")</f>
        <v>56952069703</v>
      </c>
      <c r="S280" s="11">
        <v>6259</v>
      </c>
      <c r="T280" s="12">
        <f t="shared" si="8"/>
        <v>5021.333333333333</v>
      </c>
      <c r="U280" s="13">
        <f t="shared" si="9"/>
        <v>5523.4666666666672</v>
      </c>
    </row>
    <row r="281" spans="1:21" ht="15" customHeight="1" x14ac:dyDescent="0.35">
      <c r="A281" s="14" t="s">
        <v>455</v>
      </c>
      <c r="B281" s="15" t="s">
        <v>486</v>
      </c>
      <c r="C281" s="16" t="s">
        <v>239</v>
      </c>
      <c r="D281" s="17">
        <v>0.82</v>
      </c>
      <c r="E281" s="67" t="s">
        <v>35</v>
      </c>
      <c r="F281" s="68" t="str">
        <f>IFERROR(VLOOKUP(E281,PROVEEDORES!$A$3:$G$42,2,0),"")</f>
        <v>ABARROTES</v>
      </c>
      <c r="G281" s="69" t="str">
        <f>IFERROR(VLOOKUP(E281,PROVEEDORES!$A$3:$G$42,4,0),"")</f>
        <v>pagos@bidfood.cl,pmolina@bidfood.cl</v>
      </c>
      <c r="H281" s="18" t="str">
        <f>IFERROR(VLOOKUP(E281,PROVEEDORES!$A$3:$G$42,5,0),"")</f>
        <v>56225994444 - 56998038459</v>
      </c>
      <c r="I281" s="19">
        <v>2500</v>
      </c>
      <c r="J281" s="67" t="s">
        <v>105</v>
      </c>
      <c r="K281" s="68" t="str">
        <f>IFERROR(VLOOKUP(J281,PROVEEDORES!$A$3:$G$42,2,0),"")</f>
        <v>ESPECIES</v>
      </c>
      <c r="L281" s="69" t="str">
        <f>IFERROR(VLOOKUP(J281,PROVEEDORES!$A$3:$G$42,4,0),"")</f>
        <v>chef@gourmetselect.cl,contabilidad@gourmetselect.cl,pedidos@gourmetselect.cl,info@gourmetselect.cl</v>
      </c>
      <c r="M281" s="18" t="str">
        <f>IFERROR(VLOOKUP(J281,PROVEEDORES!$A$3:$G$42,5,0),"")</f>
        <v>56944921093</v>
      </c>
      <c r="N281" s="19">
        <v>1090</v>
      </c>
      <c r="O281" s="67" t="s">
        <v>41</v>
      </c>
      <c r="P281" s="68" t="str">
        <f>IFERROR(VLOOKUP(O281,PROVEEDORES!$A$3:$G$42,2,0),"")</f>
        <v>FRUTAS Y VERDURAS</v>
      </c>
      <c r="Q281" s="69" t="str">
        <f>IFERROR(VLOOKUP(O281,PROVEEDORES!$A$3:$G$42,4,0),"")</f>
        <v>caseritaencasa@gmail.com</v>
      </c>
      <c r="R281" s="18" t="str">
        <f>IFERROR(VLOOKUP(O281,PROVEEDORES!$A$3:$G$42,5,0),"")</f>
        <v>56952069703</v>
      </c>
      <c r="S281" s="19">
        <v>4398</v>
      </c>
      <c r="T281" s="20">
        <f t="shared" si="8"/>
        <v>2662.6666666666665</v>
      </c>
      <c r="U281" s="21">
        <f t="shared" si="9"/>
        <v>2928.9333333333334</v>
      </c>
    </row>
    <row r="282" spans="1:21" ht="15" customHeight="1" x14ac:dyDescent="0.35">
      <c r="A282" s="6" t="s">
        <v>455</v>
      </c>
      <c r="B282" s="7" t="s">
        <v>487</v>
      </c>
      <c r="C282" s="8" t="s">
        <v>239</v>
      </c>
      <c r="D282" s="9">
        <v>5</v>
      </c>
      <c r="E282" s="64" t="s">
        <v>35</v>
      </c>
      <c r="F282" s="65" t="str">
        <f>IFERROR(VLOOKUP(E282,PROVEEDORES!$A$3:$G$42,2,0),"")</f>
        <v>ABARROTES</v>
      </c>
      <c r="G282" s="66" t="str">
        <f>IFERROR(VLOOKUP(E282,PROVEEDORES!$A$3:$G$42,4,0),"")</f>
        <v>pagos@bidfood.cl,pmolina@bidfood.cl</v>
      </c>
      <c r="H282" s="10" t="str">
        <f>IFERROR(VLOOKUP(E282,PROVEEDORES!$A$3:$G$42,5,0),"")</f>
        <v>56225994444 - 56998038459</v>
      </c>
      <c r="I282" s="11">
        <v>441</v>
      </c>
      <c r="J282" s="64" t="s">
        <v>105</v>
      </c>
      <c r="K282" s="65" t="str">
        <f>IFERROR(VLOOKUP(J282,PROVEEDORES!$A$3:$G$42,2,0),"")</f>
        <v>ESPECIES</v>
      </c>
      <c r="L282" s="66" t="str">
        <f>IFERROR(VLOOKUP(J282,PROVEEDORES!$A$3:$G$42,4,0),"")</f>
        <v>chef@gourmetselect.cl,contabilidad@gourmetselect.cl,pedidos@gourmetselect.cl,info@gourmetselect.cl</v>
      </c>
      <c r="M282" s="10" t="str">
        <f>IFERROR(VLOOKUP(J282,PROVEEDORES!$A$3:$G$42,5,0),"")</f>
        <v>56944921093</v>
      </c>
      <c r="N282" s="11">
        <v>152</v>
      </c>
      <c r="O282" s="64" t="s">
        <v>41</v>
      </c>
      <c r="P282" s="65" t="str">
        <f>IFERROR(VLOOKUP(O282,PROVEEDORES!$A$3:$G$42,2,0),"")</f>
        <v>FRUTAS Y VERDURAS</v>
      </c>
      <c r="Q282" s="66" t="str">
        <f>IFERROR(VLOOKUP(O282,PROVEEDORES!$A$3:$G$42,4,0),"")</f>
        <v>caseritaencasa@gmail.com</v>
      </c>
      <c r="R282" s="10" t="str">
        <f>IFERROR(VLOOKUP(O282,PROVEEDORES!$A$3:$G$42,5,0),"")</f>
        <v>56952069703</v>
      </c>
      <c r="S282" s="11">
        <v>108</v>
      </c>
      <c r="T282" s="12">
        <f t="shared" si="8"/>
        <v>233.66666666666666</v>
      </c>
      <c r="U282" s="13">
        <f t="shared" si="9"/>
        <v>257.03333333333336</v>
      </c>
    </row>
    <row r="283" spans="1:21" ht="15" customHeight="1" x14ac:dyDescent="0.35">
      <c r="A283" s="14" t="s">
        <v>455</v>
      </c>
      <c r="B283" s="15" t="s">
        <v>488</v>
      </c>
      <c r="C283" s="16" t="s">
        <v>239</v>
      </c>
      <c r="D283" s="17">
        <v>14</v>
      </c>
      <c r="E283" s="67" t="s">
        <v>35</v>
      </c>
      <c r="F283" s="68" t="str">
        <f>IFERROR(VLOOKUP(E283,PROVEEDORES!$A$3:$G$42,2,0),"")</f>
        <v>ABARROTES</v>
      </c>
      <c r="G283" s="69" t="str">
        <f>IFERROR(VLOOKUP(E283,PROVEEDORES!$A$3:$G$42,4,0),"")</f>
        <v>pagos@bidfood.cl,pmolina@bidfood.cl</v>
      </c>
      <c r="H283" s="18" t="str">
        <f>IFERROR(VLOOKUP(E283,PROVEEDORES!$A$3:$G$42,5,0),"")</f>
        <v>56225994444 - 56998038459</v>
      </c>
      <c r="I283" s="19">
        <v>441</v>
      </c>
      <c r="J283" s="67" t="s">
        <v>105</v>
      </c>
      <c r="K283" s="68" t="str">
        <f>IFERROR(VLOOKUP(J283,PROVEEDORES!$A$3:$G$42,2,0),"")</f>
        <v>ESPECIES</v>
      </c>
      <c r="L283" s="69" t="str">
        <f>IFERROR(VLOOKUP(J283,PROVEEDORES!$A$3:$G$42,4,0),"")</f>
        <v>chef@gourmetselect.cl,contabilidad@gourmetselect.cl,pedidos@gourmetselect.cl,info@gourmetselect.cl</v>
      </c>
      <c r="M283" s="18" t="str">
        <f>IFERROR(VLOOKUP(J283,PROVEEDORES!$A$3:$G$42,5,0),"")</f>
        <v>56944921093</v>
      </c>
      <c r="N283" s="19">
        <v>243</v>
      </c>
      <c r="O283" s="67" t="s">
        <v>41</v>
      </c>
      <c r="P283" s="68" t="str">
        <f>IFERROR(VLOOKUP(O283,PROVEEDORES!$A$3:$G$42,2,0),"")</f>
        <v>FRUTAS Y VERDURAS</v>
      </c>
      <c r="Q283" s="69" t="str">
        <f>IFERROR(VLOOKUP(O283,PROVEEDORES!$A$3:$G$42,4,0),"")</f>
        <v>caseritaencasa@gmail.com</v>
      </c>
      <c r="R283" s="18" t="str">
        <f>IFERROR(VLOOKUP(O283,PROVEEDORES!$A$3:$G$42,5,0),"")</f>
        <v>56952069703</v>
      </c>
      <c r="S283" s="19">
        <v>718</v>
      </c>
      <c r="T283" s="20">
        <f t="shared" si="8"/>
        <v>467.33333333333331</v>
      </c>
      <c r="U283" s="21">
        <f t="shared" si="9"/>
        <v>514.06666666666672</v>
      </c>
    </row>
    <row r="284" spans="1:21" ht="15" customHeight="1" x14ac:dyDescent="0.35">
      <c r="A284" s="6" t="s">
        <v>455</v>
      </c>
      <c r="B284" s="7" t="s">
        <v>489</v>
      </c>
      <c r="C284" s="8" t="s">
        <v>239</v>
      </c>
      <c r="D284" s="9">
        <v>1.75</v>
      </c>
      <c r="E284" s="64" t="s">
        <v>35</v>
      </c>
      <c r="F284" s="65" t="str">
        <f>IFERROR(VLOOKUP(E284,PROVEEDORES!$A$3:$G$42,2,0),"")</f>
        <v>ABARROTES</v>
      </c>
      <c r="G284" s="66" t="str">
        <f>IFERROR(VLOOKUP(E284,PROVEEDORES!$A$3:$G$42,4,0),"")</f>
        <v>pagos@bidfood.cl,pmolina@bidfood.cl</v>
      </c>
      <c r="H284" s="10" t="str">
        <f>IFERROR(VLOOKUP(E284,PROVEEDORES!$A$3:$G$42,5,0),"")</f>
        <v>56225994444 - 56998038459</v>
      </c>
      <c r="I284" s="11">
        <v>25</v>
      </c>
      <c r="J284" s="64" t="s">
        <v>105</v>
      </c>
      <c r="K284" s="65" t="str">
        <f>IFERROR(VLOOKUP(J284,PROVEEDORES!$A$3:$G$42,2,0),"")</f>
        <v>ESPECIES</v>
      </c>
      <c r="L284" s="66" t="str">
        <f>IFERROR(VLOOKUP(J284,PROVEEDORES!$A$3:$G$42,4,0),"")</f>
        <v>chef@gourmetselect.cl,contabilidad@gourmetselect.cl,pedidos@gourmetselect.cl,info@gourmetselect.cl</v>
      </c>
      <c r="M284" s="10" t="str">
        <f>IFERROR(VLOOKUP(J284,PROVEEDORES!$A$3:$G$42,5,0),"")</f>
        <v>56944921093</v>
      </c>
      <c r="N284" s="11">
        <v>27</v>
      </c>
      <c r="O284" s="64" t="s">
        <v>41</v>
      </c>
      <c r="P284" s="65" t="str">
        <f>IFERROR(VLOOKUP(O284,PROVEEDORES!$A$3:$G$42,2,0),"")</f>
        <v>FRUTAS Y VERDURAS</v>
      </c>
      <c r="Q284" s="66" t="str">
        <f>IFERROR(VLOOKUP(O284,PROVEEDORES!$A$3:$G$42,4,0),"")</f>
        <v>caseritaencasa@gmail.com</v>
      </c>
      <c r="R284" s="10" t="str">
        <f>IFERROR(VLOOKUP(O284,PROVEEDORES!$A$3:$G$42,5,0),"")</f>
        <v>56952069703</v>
      </c>
      <c r="S284" s="11">
        <v>2</v>
      </c>
      <c r="T284" s="12">
        <f t="shared" si="8"/>
        <v>18</v>
      </c>
      <c r="U284" s="13">
        <f t="shared" si="9"/>
        <v>19.8</v>
      </c>
    </row>
    <row r="285" spans="1:21" ht="12" customHeight="1" x14ac:dyDescent="0.35">
      <c r="A285" s="59" t="s">
        <v>490</v>
      </c>
      <c r="B285" s="59"/>
      <c r="C285" s="59"/>
      <c r="D285" s="59"/>
      <c r="E285" s="59"/>
      <c r="F285" s="59"/>
      <c r="G285" s="59"/>
      <c r="H285" s="59"/>
      <c r="I285" s="59"/>
      <c r="J285" s="59"/>
      <c r="K285" s="59"/>
      <c r="L285" s="59"/>
      <c r="M285" s="59"/>
      <c r="N285" s="59"/>
      <c r="O285" s="59"/>
      <c r="P285" s="59"/>
      <c r="Q285" s="59"/>
      <c r="R285" s="59"/>
      <c r="S285" s="59"/>
      <c r="T285" s="59"/>
      <c r="U285" s="59"/>
    </row>
    <row r="286" spans="1:21" ht="15" customHeight="1" x14ac:dyDescent="0.35">
      <c r="A286" s="6" t="s">
        <v>490</v>
      </c>
      <c r="B286" s="7" t="s">
        <v>491</v>
      </c>
      <c r="C286" s="8" t="s">
        <v>239</v>
      </c>
      <c r="D286" s="9">
        <v>0.1</v>
      </c>
      <c r="E286" s="64" t="s">
        <v>35</v>
      </c>
      <c r="F286" s="65" t="str">
        <f>IFERROR(VLOOKUP(E286,PROVEEDORES!$A$3:$G$42,2,0),"")</f>
        <v>ABARROTES</v>
      </c>
      <c r="G286" s="66" t="str">
        <f>IFERROR(VLOOKUP(E286,PROVEEDORES!$A$3:$G$42,4,0),"")</f>
        <v>pagos@bidfood.cl,pmolina@bidfood.cl</v>
      </c>
      <c r="H286" s="10" t="str">
        <f>IFERROR(VLOOKUP(E286,PROVEEDORES!$A$3:$G$42,5,0),"")</f>
        <v>56225994444 - 56998038459</v>
      </c>
      <c r="I286" s="11">
        <v>4100</v>
      </c>
      <c r="J286" s="64" t="s">
        <v>105</v>
      </c>
      <c r="K286" s="65" t="str">
        <f>IFERROR(VLOOKUP(J286,PROVEEDORES!$A$3:$G$42,2,0),"")</f>
        <v>ESPECIES</v>
      </c>
      <c r="L286" s="66" t="str">
        <f>IFERROR(VLOOKUP(J286,PROVEEDORES!$A$3:$G$42,4,0),"")</f>
        <v>chef@gourmetselect.cl,contabilidad@gourmetselect.cl,pedidos@gourmetselect.cl,info@gourmetselect.cl</v>
      </c>
      <c r="M286" s="10" t="str">
        <f>IFERROR(VLOOKUP(J286,PROVEEDORES!$A$3:$G$42,5,0),"")</f>
        <v>56944921093</v>
      </c>
      <c r="N286" s="11">
        <v>3048</v>
      </c>
      <c r="O286" s="64" t="s">
        <v>41</v>
      </c>
      <c r="P286" s="65" t="str">
        <f>IFERROR(VLOOKUP(O286,PROVEEDORES!$A$3:$G$42,2,0),"")</f>
        <v>FRUTAS Y VERDURAS</v>
      </c>
      <c r="Q286" s="66" t="str">
        <f>IFERROR(VLOOKUP(O286,PROVEEDORES!$A$3:$G$42,4,0),"")</f>
        <v>caseritaencasa@gmail.com</v>
      </c>
      <c r="R286" s="10" t="str">
        <f>IFERROR(VLOOKUP(O286,PROVEEDORES!$A$3:$G$42,5,0),"")</f>
        <v>56952069703</v>
      </c>
      <c r="S286" s="11">
        <v>2603</v>
      </c>
      <c r="T286" s="12">
        <f>AVERAGE(I286,N286,S286)</f>
        <v>3250.3333333333335</v>
      </c>
      <c r="U286" s="13">
        <f>T286*(1+$B$2)</f>
        <v>3575.3666666666672</v>
      </c>
    </row>
    <row r="287" spans="1:21" ht="12" customHeight="1" x14ac:dyDescent="0.35">
      <c r="A287" s="59" t="s">
        <v>492</v>
      </c>
      <c r="B287" s="59"/>
      <c r="C287" s="59"/>
      <c r="D287" s="59"/>
      <c r="E287" s="59"/>
      <c r="F287" s="59"/>
      <c r="G287" s="59"/>
      <c r="H287" s="59"/>
      <c r="I287" s="59"/>
      <c r="J287" s="59"/>
      <c r="K287" s="59"/>
      <c r="L287" s="59"/>
      <c r="M287" s="59"/>
      <c r="N287" s="59"/>
      <c r="O287" s="59"/>
      <c r="P287" s="59"/>
      <c r="Q287" s="59"/>
      <c r="R287" s="59"/>
      <c r="S287" s="59"/>
      <c r="T287" s="59"/>
      <c r="U287" s="59"/>
    </row>
    <row r="288" spans="1:21" ht="15" customHeight="1" x14ac:dyDescent="0.35">
      <c r="A288" s="6" t="s">
        <v>492</v>
      </c>
      <c r="B288" s="7" t="s">
        <v>492</v>
      </c>
      <c r="C288" s="8" t="s">
        <v>219</v>
      </c>
      <c r="D288" s="9">
        <v>0.1</v>
      </c>
      <c r="E288" s="64" t="s">
        <v>35</v>
      </c>
      <c r="F288" s="65" t="str">
        <f>IFERROR(VLOOKUP(E288,PROVEEDORES!$A$3:$G$42,2,0),"")</f>
        <v>ABARROTES</v>
      </c>
      <c r="G288" s="66" t="str">
        <f>IFERROR(VLOOKUP(E288,PROVEEDORES!$A$3:$G$42,4,0),"")</f>
        <v>pagos@bidfood.cl,pmolina@bidfood.cl</v>
      </c>
      <c r="H288" s="10" t="str">
        <f>IFERROR(VLOOKUP(E288,PROVEEDORES!$A$3:$G$42,5,0),"")</f>
        <v>56225994444 - 56998038459</v>
      </c>
      <c r="I288" s="11">
        <v>33000</v>
      </c>
      <c r="J288" s="64" t="s">
        <v>105</v>
      </c>
      <c r="K288" s="65" t="str">
        <f>IFERROR(VLOOKUP(J288,PROVEEDORES!$A$3:$G$42,2,0),"")</f>
        <v>ESPECIES</v>
      </c>
      <c r="L288" s="66" t="str">
        <f>IFERROR(VLOOKUP(J288,PROVEEDORES!$A$3:$G$42,4,0),"")</f>
        <v>chef@gourmetselect.cl,contabilidad@gourmetselect.cl,pedidos@gourmetselect.cl,info@gourmetselect.cl</v>
      </c>
      <c r="M288" s="10" t="str">
        <f>IFERROR(VLOOKUP(J288,PROVEEDORES!$A$3:$G$42,5,0),"")</f>
        <v>56944921093</v>
      </c>
      <c r="N288" s="11">
        <v>10676</v>
      </c>
      <c r="O288" s="64" t="s">
        <v>41</v>
      </c>
      <c r="P288" s="65" t="str">
        <f>IFERROR(VLOOKUP(O288,PROVEEDORES!$A$3:$G$42,2,0),"")</f>
        <v>FRUTAS Y VERDURAS</v>
      </c>
      <c r="Q288" s="66" t="str">
        <f>IFERROR(VLOOKUP(O288,PROVEEDORES!$A$3:$G$42,4,0),"")</f>
        <v>caseritaencasa@gmail.com</v>
      </c>
      <c r="R288" s="10" t="str">
        <f>IFERROR(VLOOKUP(O288,PROVEEDORES!$A$3:$G$42,5,0),"")</f>
        <v>56952069703</v>
      </c>
      <c r="S288" s="11">
        <v>22691</v>
      </c>
      <c r="T288" s="12">
        <f>AVERAGE(I288,N288,S288)</f>
        <v>22122.333333333332</v>
      </c>
      <c r="U288" s="13">
        <f>T288*(1+$B$2)</f>
        <v>24334.566666666666</v>
      </c>
    </row>
    <row r="289" spans="1:21" ht="12" customHeight="1" x14ac:dyDescent="0.35">
      <c r="A289" s="59" t="s">
        <v>493</v>
      </c>
      <c r="B289" s="59"/>
      <c r="C289" s="59"/>
      <c r="D289" s="59"/>
      <c r="E289" s="59"/>
      <c r="F289" s="59"/>
      <c r="G289" s="59"/>
      <c r="H289" s="59"/>
      <c r="I289" s="59"/>
      <c r="J289" s="59"/>
      <c r="K289" s="59"/>
      <c r="L289" s="59"/>
      <c r="M289" s="59"/>
      <c r="N289" s="59"/>
      <c r="O289" s="59"/>
      <c r="P289" s="59"/>
      <c r="Q289" s="59"/>
      <c r="R289" s="59"/>
      <c r="S289" s="59"/>
      <c r="T289" s="59"/>
      <c r="U289" s="59"/>
    </row>
    <row r="290" spans="1:21" ht="15" customHeight="1" x14ac:dyDescent="0.35">
      <c r="A290" s="6" t="s">
        <v>493</v>
      </c>
      <c r="B290" s="7" t="s">
        <v>494</v>
      </c>
      <c r="C290" s="8" t="s">
        <v>219</v>
      </c>
      <c r="D290" s="9">
        <v>3.7499999999999999E-2</v>
      </c>
      <c r="E290" s="64" t="s">
        <v>160</v>
      </c>
      <c r="F290" s="65" t="str">
        <f>IFERROR(VLOOKUP(E290,PROVEEDORES!$A$3:$G$42,2,0),"")</f>
        <v>CARNES</v>
      </c>
      <c r="G290" s="66" t="str">
        <f>IFERROR(VLOOKUP(E290,PROVEEDORES!$A$3:$G$42,4,0),"")</f>
        <v>gr.ganaderareal@gmail.com</v>
      </c>
      <c r="H290" s="10" t="str">
        <f>IFERROR(VLOOKUP(E290,PROVEEDORES!$A$3:$G$42,5,0),"")</f>
        <v>56983670527</v>
      </c>
      <c r="I290" s="11">
        <v>11388</v>
      </c>
      <c r="J290" s="64" t="s">
        <v>149</v>
      </c>
      <c r="K290" s="65" t="str">
        <f>IFERROR(VLOOKUP(J290,PROVEEDORES!$A$3:$G$42,2,0),"")</f>
        <v>CARNES Y LACTEOS</v>
      </c>
      <c r="L290" s="66" t="str">
        <f>IFERROR(VLOOKUP(J290,PROVEEDORES!$A$3:$G$42,4,0),"")</f>
        <v>grivas@palaisgourmet.cl</v>
      </c>
      <c r="M290" s="10" t="str">
        <f>IFERROR(VLOOKUP(J290,PROVEEDORES!$A$3:$G$42,5,0),"")</f>
        <v>56942132129</v>
      </c>
      <c r="N290" s="11">
        <v>15590</v>
      </c>
      <c r="O290" s="64"/>
      <c r="P290" s="65"/>
      <c r="Q290" s="66"/>
      <c r="R290" s="10"/>
      <c r="S290" s="11"/>
      <c r="T290" s="12">
        <f t="shared" ref="T290:T310" si="10">AVERAGE(I290,N290)</f>
        <v>13489</v>
      </c>
      <c r="U290" s="13">
        <f t="shared" ref="U290:U310" si="11">T290*(1+$B$2)</f>
        <v>14837.900000000001</v>
      </c>
    </row>
    <row r="291" spans="1:21" ht="15" customHeight="1" x14ac:dyDescent="0.35">
      <c r="A291" s="14" t="s">
        <v>493</v>
      </c>
      <c r="B291" s="15" t="s">
        <v>495</v>
      </c>
      <c r="C291" s="16" t="s">
        <v>219</v>
      </c>
      <c r="D291" s="17">
        <v>0.03</v>
      </c>
      <c r="E291" s="67" t="s">
        <v>160</v>
      </c>
      <c r="F291" s="68" t="str">
        <f>IFERROR(VLOOKUP(E291,PROVEEDORES!$A$3:$G$42,2,0),"")</f>
        <v>CARNES</v>
      </c>
      <c r="G291" s="69" t="str">
        <f>IFERROR(VLOOKUP(E291,PROVEEDORES!$A$3:$G$42,4,0),"")</f>
        <v>gr.ganaderareal@gmail.com</v>
      </c>
      <c r="H291" s="18" t="str">
        <f>IFERROR(VLOOKUP(E291,PROVEEDORES!$A$3:$G$42,5,0),"")</f>
        <v>56983670527</v>
      </c>
      <c r="I291" s="19">
        <v>19485</v>
      </c>
      <c r="J291" s="67" t="s">
        <v>149</v>
      </c>
      <c r="K291" s="68" t="str">
        <f>IFERROR(VLOOKUP(J291,PROVEEDORES!$A$3:$G$42,2,0),"")</f>
        <v>CARNES Y LACTEOS</v>
      </c>
      <c r="L291" s="69" t="str">
        <f>IFERROR(VLOOKUP(J291,PROVEEDORES!$A$3:$G$42,4,0),"")</f>
        <v>grivas@palaisgourmet.cl</v>
      </c>
      <c r="M291" s="18" t="str">
        <f>IFERROR(VLOOKUP(J291,PROVEEDORES!$A$3:$G$42,5,0),"")</f>
        <v>56942132129</v>
      </c>
      <c r="N291" s="19">
        <v>32930</v>
      </c>
      <c r="O291" s="67"/>
      <c r="P291" s="68"/>
      <c r="Q291" s="69"/>
      <c r="R291" s="18"/>
      <c r="S291" s="19"/>
      <c r="T291" s="20">
        <f t="shared" si="10"/>
        <v>26207.5</v>
      </c>
      <c r="U291" s="21">
        <f t="shared" si="11"/>
        <v>28828.250000000004</v>
      </c>
    </row>
    <row r="292" spans="1:21" ht="15" customHeight="1" x14ac:dyDescent="0.35">
      <c r="A292" s="6" t="s">
        <v>493</v>
      </c>
      <c r="B292" s="7" t="s">
        <v>496</v>
      </c>
      <c r="C292" s="8" t="s">
        <v>239</v>
      </c>
      <c r="D292" s="9">
        <v>0.5</v>
      </c>
      <c r="E292" s="64" t="s">
        <v>160</v>
      </c>
      <c r="F292" s="65" t="str">
        <f>IFERROR(VLOOKUP(E292,PROVEEDORES!$A$3:$G$42,2,0),"")</f>
        <v>CARNES</v>
      </c>
      <c r="G292" s="66" t="str">
        <f>IFERROR(VLOOKUP(E292,PROVEEDORES!$A$3:$G$42,4,0),"")</f>
        <v>gr.ganaderareal@gmail.com</v>
      </c>
      <c r="H292" s="10" t="str">
        <f>IFERROR(VLOOKUP(E292,PROVEEDORES!$A$3:$G$42,5,0),"")</f>
        <v>56983670527</v>
      </c>
      <c r="I292" s="11">
        <v>3300</v>
      </c>
      <c r="J292" s="64" t="s">
        <v>149</v>
      </c>
      <c r="K292" s="65" t="str">
        <f>IFERROR(VLOOKUP(J292,PROVEEDORES!$A$3:$G$42,2,0),"")</f>
        <v>CARNES Y LACTEOS</v>
      </c>
      <c r="L292" s="66" t="str">
        <f>IFERROR(VLOOKUP(J292,PROVEEDORES!$A$3:$G$42,4,0),"")</f>
        <v>grivas@palaisgourmet.cl</v>
      </c>
      <c r="M292" s="10" t="str">
        <f>IFERROR(VLOOKUP(J292,PROVEEDORES!$A$3:$G$42,5,0),"")</f>
        <v>56942132129</v>
      </c>
      <c r="N292" s="11">
        <v>3112</v>
      </c>
      <c r="O292" s="64"/>
      <c r="P292" s="65"/>
      <c r="Q292" s="66"/>
      <c r="R292" s="10"/>
      <c r="S292" s="11"/>
      <c r="T292" s="12">
        <f t="shared" si="10"/>
        <v>3206</v>
      </c>
      <c r="U292" s="13">
        <f t="shared" si="11"/>
        <v>3526.6000000000004</v>
      </c>
    </row>
    <row r="293" spans="1:21" ht="15" customHeight="1" x14ac:dyDescent="0.35">
      <c r="A293" s="14" t="s">
        <v>493</v>
      </c>
      <c r="B293" s="15" t="s">
        <v>497</v>
      </c>
      <c r="C293" s="16" t="s">
        <v>219</v>
      </c>
      <c r="D293" s="17">
        <v>0.22500000000000001</v>
      </c>
      <c r="E293" s="67" t="s">
        <v>160</v>
      </c>
      <c r="F293" s="68" t="str">
        <f>IFERROR(VLOOKUP(E293,PROVEEDORES!$A$3:$G$42,2,0),"")</f>
        <v>CARNES</v>
      </c>
      <c r="G293" s="69" t="str">
        <f>IFERROR(VLOOKUP(E293,PROVEEDORES!$A$3:$G$42,4,0),"")</f>
        <v>gr.ganaderareal@gmail.com</v>
      </c>
      <c r="H293" s="18" t="str">
        <f>IFERROR(VLOOKUP(E293,PROVEEDORES!$A$3:$G$42,5,0),"")</f>
        <v>56983670527</v>
      </c>
      <c r="I293" s="19">
        <v>11388</v>
      </c>
      <c r="J293" s="67" t="s">
        <v>149</v>
      </c>
      <c r="K293" s="68" t="str">
        <f>IFERROR(VLOOKUP(J293,PROVEEDORES!$A$3:$G$42,2,0),"")</f>
        <v>CARNES Y LACTEOS</v>
      </c>
      <c r="L293" s="69" t="str">
        <f>IFERROR(VLOOKUP(J293,PROVEEDORES!$A$3:$G$42,4,0),"")</f>
        <v>grivas@palaisgourmet.cl</v>
      </c>
      <c r="M293" s="18" t="str">
        <f>IFERROR(VLOOKUP(J293,PROVEEDORES!$A$3:$G$42,5,0),"")</f>
        <v>56942132129</v>
      </c>
      <c r="N293" s="19">
        <v>15231</v>
      </c>
      <c r="O293" s="67"/>
      <c r="P293" s="68"/>
      <c r="Q293" s="69"/>
      <c r="R293" s="18"/>
      <c r="S293" s="19"/>
      <c r="T293" s="20">
        <f t="shared" si="10"/>
        <v>13309.5</v>
      </c>
      <c r="U293" s="21">
        <f t="shared" si="11"/>
        <v>14640.45</v>
      </c>
    </row>
    <row r="294" spans="1:21" ht="15" customHeight="1" x14ac:dyDescent="0.35">
      <c r="A294" s="6" t="s">
        <v>493</v>
      </c>
      <c r="B294" s="7" t="s">
        <v>498</v>
      </c>
      <c r="C294" s="8" t="s">
        <v>219</v>
      </c>
      <c r="D294" s="9">
        <v>0.03</v>
      </c>
      <c r="E294" s="64" t="s">
        <v>160</v>
      </c>
      <c r="F294" s="65" t="str">
        <f>IFERROR(VLOOKUP(E294,PROVEEDORES!$A$3:$G$42,2,0),"")</f>
        <v>CARNES</v>
      </c>
      <c r="G294" s="66" t="str">
        <f>IFERROR(VLOOKUP(E294,PROVEEDORES!$A$3:$G$42,4,0),"")</f>
        <v>gr.ganaderareal@gmail.com</v>
      </c>
      <c r="H294" s="10" t="str">
        <f>IFERROR(VLOOKUP(E294,PROVEEDORES!$A$3:$G$42,5,0),"")</f>
        <v>56983670527</v>
      </c>
      <c r="I294" s="11">
        <v>4605</v>
      </c>
      <c r="J294" s="64" t="s">
        <v>149</v>
      </c>
      <c r="K294" s="65" t="str">
        <f>IFERROR(VLOOKUP(J294,PROVEEDORES!$A$3:$G$42,2,0),"")</f>
        <v>CARNES Y LACTEOS</v>
      </c>
      <c r="L294" s="66" t="str">
        <f>IFERROR(VLOOKUP(J294,PROVEEDORES!$A$3:$G$42,4,0),"")</f>
        <v>grivas@palaisgourmet.cl</v>
      </c>
      <c r="M294" s="10" t="str">
        <f>IFERROR(VLOOKUP(J294,PROVEEDORES!$A$3:$G$42,5,0),"")</f>
        <v>56942132129</v>
      </c>
      <c r="N294" s="11">
        <v>6705</v>
      </c>
      <c r="O294" s="64"/>
      <c r="P294" s="65"/>
      <c r="Q294" s="66"/>
      <c r="R294" s="10"/>
      <c r="S294" s="11"/>
      <c r="T294" s="12">
        <f t="shared" si="10"/>
        <v>5655</v>
      </c>
      <c r="U294" s="13">
        <f t="shared" si="11"/>
        <v>6220.5000000000009</v>
      </c>
    </row>
    <row r="295" spans="1:21" ht="15" customHeight="1" x14ac:dyDescent="0.35">
      <c r="A295" s="14" t="s">
        <v>493</v>
      </c>
      <c r="B295" s="15" t="s">
        <v>499</v>
      </c>
      <c r="C295" s="16" t="s">
        <v>219</v>
      </c>
      <c r="D295" s="17">
        <v>0.31812499999999999</v>
      </c>
      <c r="E295" s="67" t="s">
        <v>160</v>
      </c>
      <c r="F295" s="68" t="str">
        <f>IFERROR(VLOOKUP(E295,PROVEEDORES!$A$3:$G$42,2,0),"")</f>
        <v>CARNES</v>
      </c>
      <c r="G295" s="69" t="str">
        <f>IFERROR(VLOOKUP(E295,PROVEEDORES!$A$3:$G$42,4,0),"")</f>
        <v>gr.ganaderareal@gmail.com</v>
      </c>
      <c r="H295" s="18" t="str">
        <f>IFERROR(VLOOKUP(E295,PROVEEDORES!$A$3:$G$42,5,0),"")</f>
        <v>56983670527</v>
      </c>
      <c r="I295" s="19">
        <v>3534</v>
      </c>
      <c r="J295" s="67" t="s">
        <v>149</v>
      </c>
      <c r="K295" s="68" t="str">
        <f>IFERROR(VLOOKUP(J295,PROVEEDORES!$A$3:$G$42,2,0),"")</f>
        <v>CARNES Y LACTEOS</v>
      </c>
      <c r="L295" s="69" t="str">
        <f>IFERROR(VLOOKUP(J295,PROVEEDORES!$A$3:$G$42,4,0),"")</f>
        <v>grivas@palaisgourmet.cl</v>
      </c>
      <c r="M295" s="18" t="str">
        <f>IFERROR(VLOOKUP(J295,PROVEEDORES!$A$3:$G$42,5,0),"")</f>
        <v>56942132129</v>
      </c>
      <c r="N295" s="19">
        <v>4605</v>
      </c>
      <c r="O295" s="67"/>
      <c r="P295" s="68"/>
      <c r="Q295" s="69"/>
      <c r="R295" s="18"/>
      <c r="S295" s="19"/>
      <c r="T295" s="20">
        <f t="shared" si="10"/>
        <v>4069.5</v>
      </c>
      <c r="U295" s="21">
        <f t="shared" si="11"/>
        <v>4476.4500000000007</v>
      </c>
    </row>
    <row r="296" spans="1:21" ht="15" customHeight="1" x14ac:dyDescent="0.35">
      <c r="A296" s="6" t="s">
        <v>493</v>
      </c>
      <c r="B296" s="7" t="s">
        <v>500</v>
      </c>
      <c r="C296" s="8" t="s">
        <v>219</v>
      </c>
      <c r="D296" s="9">
        <v>0.46625</v>
      </c>
      <c r="E296" s="64" t="s">
        <v>160</v>
      </c>
      <c r="F296" s="65" t="str">
        <f>IFERROR(VLOOKUP(E296,PROVEEDORES!$A$3:$G$42,2,0),"")</f>
        <v>CARNES</v>
      </c>
      <c r="G296" s="66" t="str">
        <f>IFERROR(VLOOKUP(E296,PROVEEDORES!$A$3:$G$42,4,0),"")</f>
        <v>gr.ganaderareal@gmail.com</v>
      </c>
      <c r="H296" s="10" t="str">
        <f>IFERROR(VLOOKUP(E296,PROVEEDORES!$A$3:$G$42,5,0),"")</f>
        <v>56983670527</v>
      </c>
      <c r="I296" s="11">
        <v>9420</v>
      </c>
      <c r="J296" s="64" t="s">
        <v>149</v>
      </c>
      <c r="K296" s="65" t="str">
        <f>IFERROR(VLOOKUP(J296,PROVEEDORES!$A$3:$G$42,2,0),"")</f>
        <v>CARNES Y LACTEOS</v>
      </c>
      <c r="L296" s="66" t="str">
        <f>IFERROR(VLOOKUP(J296,PROVEEDORES!$A$3:$G$42,4,0),"")</f>
        <v>grivas@palaisgourmet.cl</v>
      </c>
      <c r="M296" s="10" t="str">
        <f>IFERROR(VLOOKUP(J296,PROVEEDORES!$A$3:$G$42,5,0),"")</f>
        <v>56942132129</v>
      </c>
      <c r="N296" s="11">
        <v>14238</v>
      </c>
      <c r="O296" s="64"/>
      <c r="P296" s="65"/>
      <c r="Q296" s="66"/>
      <c r="R296" s="10"/>
      <c r="S296" s="11"/>
      <c r="T296" s="12">
        <f t="shared" si="10"/>
        <v>11829</v>
      </c>
      <c r="U296" s="13">
        <f t="shared" si="11"/>
        <v>13011.900000000001</v>
      </c>
    </row>
    <row r="297" spans="1:21" ht="15" customHeight="1" x14ac:dyDescent="0.35">
      <c r="A297" s="14" t="s">
        <v>493</v>
      </c>
      <c r="B297" s="15" t="s">
        <v>501</v>
      </c>
      <c r="C297" s="16" t="s">
        <v>219</v>
      </c>
      <c r="D297" s="17">
        <v>0.06</v>
      </c>
      <c r="E297" s="67" t="s">
        <v>160</v>
      </c>
      <c r="F297" s="68" t="str">
        <f>IFERROR(VLOOKUP(E297,PROVEEDORES!$A$3:$G$42,2,0),"")</f>
        <v>CARNES</v>
      </c>
      <c r="G297" s="69" t="str">
        <f>IFERROR(VLOOKUP(E297,PROVEEDORES!$A$3:$G$42,4,0),"")</f>
        <v>gr.ganaderareal@gmail.com</v>
      </c>
      <c r="H297" s="18" t="str">
        <f>IFERROR(VLOOKUP(E297,PROVEEDORES!$A$3:$G$42,5,0),"")</f>
        <v>56983670527</v>
      </c>
      <c r="I297" s="19">
        <v>12102</v>
      </c>
      <c r="J297" s="67" t="s">
        <v>149</v>
      </c>
      <c r="K297" s="68" t="str">
        <f>IFERROR(VLOOKUP(J297,PROVEEDORES!$A$3:$G$42,2,0),"")</f>
        <v>CARNES Y LACTEOS</v>
      </c>
      <c r="L297" s="69" t="str">
        <f>IFERROR(VLOOKUP(J297,PROVEEDORES!$A$3:$G$42,4,0),"")</f>
        <v>grivas@palaisgourmet.cl</v>
      </c>
      <c r="M297" s="18" t="str">
        <f>IFERROR(VLOOKUP(J297,PROVEEDORES!$A$3:$G$42,5,0),"")</f>
        <v>56942132129</v>
      </c>
      <c r="N297" s="19">
        <v>11957</v>
      </c>
      <c r="O297" s="67"/>
      <c r="P297" s="68"/>
      <c r="Q297" s="69"/>
      <c r="R297" s="18"/>
      <c r="S297" s="19"/>
      <c r="T297" s="20">
        <f t="shared" si="10"/>
        <v>12029.5</v>
      </c>
      <c r="U297" s="21">
        <f t="shared" si="11"/>
        <v>13232.45</v>
      </c>
    </row>
    <row r="298" spans="1:21" ht="15" customHeight="1" x14ac:dyDescent="0.35">
      <c r="A298" s="6" t="s">
        <v>493</v>
      </c>
      <c r="B298" s="7" t="s">
        <v>502</v>
      </c>
      <c r="C298" s="8" t="s">
        <v>219</v>
      </c>
      <c r="D298" s="9">
        <v>0.125</v>
      </c>
      <c r="E298" s="64" t="s">
        <v>160</v>
      </c>
      <c r="F298" s="65" t="str">
        <f>IFERROR(VLOOKUP(E298,PROVEEDORES!$A$3:$G$42,2,0),"")</f>
        <v>CARNES</v>
      </c>
      <c r="G298" s="66" t="str">
        <f>IFERROR(VLOOKUP(E298,PROVEEDORES!$A$3:$G$42,4,0),"")</f>
        <v>gr.ganaderareal@gmail.com</v>
      </c>
      <c r="H298" s="10" t="str">
        <f>IFERROR(VLOOKUP(E298,PROVEEDORES!$A$3:$G$42,5,0),"")</f>
        <v>56983670527</v>
      </c>
      <c r="I298" s="11">
        <v>17993</v>
      </c>
      <c r="J298" s="64" t="s">
        <v>149</v>
      </c>
      <c r="K298" s="65" t="str">
        <f>IFERROR(VLOOKUP(J298,PROVEEDORES!$A$3:$G$42,2,0),"")</f>
        <v>CARNES Y LACTEOS</v>
      </c>
      <c r="L298" s="66" t="str">
        <f>IFERROR(VLOOKUP(J298,PROVEEDORES!$A$3:$G$42,4,0),"")</f>
        <v>grivas@palaisgourmet.cl</v>
      </c>
      <c r="M298" s="10" t="str">
        <f>IFERROR(VLOOKUP(J298,PROVEEDORES!$A$3:$G$42,5,0),"")</f>
        <v>56942132129</v>
      </c>
      <c r="N298" s="11">
        <v>21826</v>
      </c>
      <c r="O298" s="64"/>
      <c r="P298" s="65"/>
      <c r="Q298" s="66"/>
      <c r="R298" s="10"/>
      <c r="S298" s="11"/>
      <c r="T298" s="12">
        <f t="shared" si="10"/>
        <v>19909.5</v>
      </c>
      <c r="U298" s="13">
        <f t="shared" si="11"/>
        <v>21900.45</v>
      </c>
    </row>
    <row r="299" spans="1:21" ht="15" customHeight="1" x14ac:dyDescent="0.35">
      <c r="A299" s="14" t="s">
        <v>493</v>
      </c>
      <c r="B299" s="15" t="s">
        <v>503</v>
      </c>
      <c r="C299" s="16" t="s">
        <v>219</v>
      </c>
      <c r="D299" s="17">
        <v>8.4375000000000006E-2</v>
      </c>
      <c r="E299" s="67" t="s">
        <v>160</v>
      </c>
      <c r="F299" s="68" t="str">
        <f>IFERROR(VLOOKUP(E299,PROVEEDORES!$A$3:$G$42,2,0),"")</f>
        <v>CARNES</v>
      </c>
      <c r="G299" s="69" t="str">
        <f>IFERROR(VLOOKUP(E299,PROVEEDORES!$A$3:$G$42,4,0),"")</f>
        <v>gr.ganaderareal@gmail.com</v>
      </c>
      <c r="H299" s="18" t="str">
        <f>IFERROR(VLOOKUP(E299,PROVEEDORES!$A$3:$G$42,5,0),"")</f>
        <v>56983670527</v>
      </c>
      <c r="I299" s="19">
        <v>8970</v>
      </c>
      <c r="J299" s="67" t="s">
        <v>149</v>
      </c>
      <c r="K299" s="68" t="str">
        <f>IFERROR(VLOOKUP(J299,PROVEEDORES!$A$3:$G$42,2,0),"")</f>
        <v>CARNES Y LACTEOS</v>
      </c>
      <c r="L299" s="69" t="str">
        <f>IFERROR(VLOOKUP(J299,PROVEEDORES!$A$3:$G$42,4,0),"")</f>
        <v>grivas@palaisgourmet.cl</v>
      </c>
      <c r="M299" s="18" t="str">
        <f>IFERROR(VLOOKUP(J299,PROVEEDORES!$A$3:$G$42,5,0),"")</f>
        <v>56942132129</v>
      </c>
      <c r="N299" s="19">
        <v>15025</v>
      </c>
      <c r="O299" s="67"/>
      <c r="P299" s="68"/>
      <c r="Q299" s="69"/>
      <c r="R299" s="18"/>
      <c r="S299" s="19"/>
      <c r="T299" s="20">
        <f t="shared" si="10"/>
        <v>11997.5</v>
      </c>
      <c r="U299" s="21">
        <f t="shared" si="11"/>
        <v>13197.250000000002</v>
      </c>
    </row>
    <row r="300" spans="1:21" ht="15" customHeight="1" x14ac:dyDescent="0.35">
      <c r="A300" s="6" t="s">
        <v>493</v>
      </c>
      <c r="B300" s="7" t="s">
        <v>504</v>
      </c>
      <c r="C300" s="8" t="s">
        <v>239</v>
      </c>
      <c r="D300" s="9">
        <v>0.5</v>
      </c>
      <c r="E300" s="64" t="s">
        <v>160</v>
      </c>
      <c r="F300" s="65" t="str">
        <f>IFERROR(VLOOKUP(E300,PROVEEDORES!$A$3:$G$42,2,0),"")</f>
        <v>CARNES</v>
      </c>
      <c r="G300" s="66" t="str">
        <f>IFERROR(VLOOKUP(E300,PROVEEDORES!$A$3:$G$42,4,0),"")</f>
        <v>gr.ganaderareal@gmail.com</v>
      </c>
      <c r="H300" s="10" t="str">
        <f>IFERROR(VLOOKUP(E300,PROVEEDORES!$A$3:$G$42,5,0),"")</f>
        <v>56983670527</v>
      </c>
      <c r="I300" s="11">
        <v>4320</v>
      </c>
      <c r="J300" s="64" t="s">
        <v>149</v>
      </c>
      <c r="K300" s="65" t="str">
        <f>IFERROR(VLOOKUP(J300,PROVEEDORES!$A$3:$G$42,2,0),"")</f>
        <v>CARNES Y LACTEOS</v>
      </c>
      <c r="L300" s="66" t="str">
        <f>IFERROR(VLOOKUP(J300,PROVEEDORES!$A$3:$G$42,4,0),"")</f>
        <v>grivas@palaisgourmet.cl</v>
      </c>
      <c r="M300" s="10" t="str">
        <f>IFERROR(VLOOKUP(J300,PROVEEDORES!$A$3:$G$42,5,0),"")</f>
        <v>56942132129</v>
      </c>
      <c r="N300" s="11">
        <v>1981</v>
      </c>
      <c r="O300" s="64"/>
      <c r="P300" s="65"/>
      <c r="Q300" s="66"/>
      <c r="R300" s="10"/>
      <c r="S300" s="11"/>
      <c r="T300" s="12">
        <f t="shared" si="10"/>
        <v>3150.5</v>
      </c>
      <c r="U300" s="13">
        <f t="shared" si="11"/>
        <v>3465.55</v>
      </c>
    </row>
    <row r="301" spans="1:21" ht="15" customHeight="1" x14ac:dyDescent="0.35">
      <c r="A301" s="14" t="s">
        <v>493</v>
      </c>
      <c r="B301" s="15" t="s">
        <v>505</v>
      </c>
      <c r="C301" s="16" t="s">
        <v>219</v>
      </c>
      <c r="D301" s="17">
        <v>0.2</v>
      </c>
      <c r="E301" s="67" t="s">
        <v>160</v>
      </c>
      <c r="F301" s="68" t="str">
        <f>IFERROR(VLOOKUP(E301,PROVEEDORES!$A$3:$G$42,2,0),"")</f>
        <v>CARNES</v>
      </c>
      <c r="G301" s="69" t="str">
        <f>IFERROR(VLOOKUP(E301,PROVEEDORES!$A$3:$G$42,4,0),"")</f>
        <v>gr.ganaderareal@gmail.com</v>
      </c>
      <c r="H301" s="18" t="str">
        <f>IFERROR(VLOOKUP(E301,PROVEEDORES!$A$3:$G$42,5,0),"")</f>
        <v>56983670527</v>
      </c>
      <c r="I301" s="19">
        <v>5370</v>
      </c>
      <c r="J301" s="67" t="s">
        <v>149</v>
      </c>
      <c r="K301" s="68" t="str">
        <f>IFERROR(VLOOKUP(J301,PROVEEDORES!$A$3:$G$42,2,0),"")</f>
        <v>CARNES Y LACTEOS</v>
      </c>
      <c r="L301" s="69" t="str">
        <f>IFERROR(VLOOKUP(J301,PROVEEDORES!$A$3:$G$42,4,0),"")</f>
        <v>grivas@palaisgourmet.cl</v>
      </c>
      <c r="M301" s="18" t="str">
        <f>IFERROR(VLOOKUP(J301,PROVEEDORES!$A$3:$G$42,5,0),"")</f>
        <v>56942132129</v>
      </c>
      <c r="N301" s="19">
        <v>8455</v>
      </c>
      <c r="O301" s="67"/>
      <c r="P301" s="68"/>
      <c r="Q301" s="69"/>
      <c r="R301" s="18"/>
      <c r="S301" s="19"/>
      <c r="T301" s="20">
        <f t="shared" si="10"/>
        <v>6912.5</v>
      </c>
      <c r="U301" s="21">
        <f t="shared" si="11"/>
        <v>7603.7500000000009</v>
      </c>
    </row>
    <row r="302" spans="1:21" ht="15" customHeight="1" x14ac:dyDescent="0.35">
      <c r="A302" s="6" t="s">
        <v>493</v>
      </c>
      <c r="B302" s="7" t="s">
        <v>506</v>
      </c>
      <c r="C302" s="8" t="s">
        <v>219</v>
      </c>
      <c r="D302" s="9">
        <v>0.32500000000000001</v>
      </c>
      <c r="E302" s="64" t="s">
        <v>160</v>
      </c>
      <c r="F302" s="65" t="str">
        <f>IFERROR(VLOOKUP(E302,PROVEEDORES!$A$3:$G$42,2,0),"")</f>
        <v>CARNES</v>
      </c>
      <c r="G302" s="66" t="str">
        <f>IFERROR(VLOOKUP(E302,PROVEEDORES!$A$3:$G$42,4,0),"")</f>
        <v>gr.ganaderareal@gmail.com</v>
      </c>
      <c r="H302" s="10" t="str">
        <f>IFERROR(VLOOKUP(E302,PROVEEDORES!$A$3:$G$42,5,0),"")</f>
        <v>56983670527</v>
      </c>
      <c r="I302" s="11">
        <v>6420</v>
      </c>
      <c r="J302" s="64" t="s">
        <v>149</v>
      </c>
      <c r="K302" s="65" t="str">
        <f>IFERROR(VLOOKUP(J302,PROVEEDORES!$A$3:$G$42,2,0),"")</f>
        <v>CARNES Y LACTEOS</v>
      </c>
      <c r="L302" s="66" t="str">
        <f>IFERROR(VLOOKUP(J302,PROVEEDORES!$A$3:$G$42,4,0),"")</f>
        <v>grivas@palaisgourmet.cl</v>
      </c>
      <c r="M302" s="10" t="str">
        <f>IFERROR(VLOOKUP(J302,PROVEEDORES!$A$3:$G$42,5,0),"")</f>
        <v>56942132129</v>
      </c>
      <c r="N302" s="11">
        <v>6083</v>
      </c>
      <c r="O302" s="64"/>
      <c r="P302" s="65"/>
      <c r="Q302" s="66"/>
      <c r="R302" s="10"/>
      <c r="S302" s="11"/>
      <c r="T302" s="12">
        <f t="shared" si="10"/>
        <v>6251.5</v>
      </c>
      <c r="U302" s="13">
        <f t="shared" si="11"/>
        <v>6876.6500000000005</v>
      </c>
    </row>
    <row r="303" spans="1:21" ht="15" customHeight="1" x14ac:dyDescent="0.35">
      <c r="A303" s="14" t="s">
        <v>493</v>
      </c>
      <c r="B303" s="15" t="s">
        <v>507</v>
      </c>
      <c r="C303" s="16" t="s">
        <v>219</v>
      </c>
      <c r="D303" s="17">
        <v>0.42499999999999999</v>
      </c>
      <c r="E303" s="67" t="s">
        <v>160</v>
      </c>
      <c r="F303" s="68" t="str">
        <f>IFERROR(VLOOKUP(E303,PROVEEDORES!$A$3:$G$42,2,0),"")</f>
        <v>CARNES</v>
      </c>
      <c r="G303" s="69" t="str">
        <f>IFERROR(VLOOKUP(E303,PROVEEDORES!$A$3:$G$42,4,0),"")</f>
        <v>gr.ganaderareal@gmail.com</v>
      </c>
      <c r="H303" s="18" t="str">
        <f>IFERROR(VLOOKUP(E303,PROVEEDORES!$A$3:$G$42,5,0),"")</f>
        <v>56983670527</v>
      </c>
      <c r="I303" s="19">
        <v>7470</v>
      </c>
      <c r="J303" s="67" t="s">
        <v>149</v>
      </c>
      <c r="K303" s="68" t="str">
        <f>IFERROR(VLOOKUP(J303,PROVEEDORES!$A$3:$G$42,2,0),"")</f>
        <v>CARNES Y LACTEOS</v>
      </c>
      <c r="L303" s="69" t="str">
        <f>IFERROR(VLOOKUP(J303,PROVEEDORES!$A$3:$G$42,4,0),"")</f>
        <v>grivas@palaisgourmet.cl</v>
      </c>
      <c r="M303" s="18" t="str">
        <f>IFERROR(VLOOKUP(J303,PROVEEDORES!$A$3:$G$42,5,0),"")</f>
        <v>56942132129</v>
      </c>
      <c r="N303" s="19">
        <v>11717</v>
      </c>
      <c r="O303" s="67"/>
      <c r="P303" s="68"/>
      <c r="Q303" s="69"/>
      <c r="R303" s="18"/>
      <c r="S303" s="19"/>
      <c r="T303" s="20">
        <f t="shared" si="10"/>
        <v>9593.5</v>
      </c>
      <c r="U303" s="21">
        <f t="shared" si="11"/>
        <v>10552.85</v>
      </c>
    </row>
    <row r="304" spans="1:21" ht="15" customHeight="1" x14ac:dyDescent="0.35">
      <c r="A304" s="6" t="s">
        <v>493</v>
      </c>
      <c r="B304" s="7" t="s">
        <v>508</v>
      </c>
      <c r="C304" s="8" t="s">
        <v>219</v>
      </c>
      <c r="D304" s="9">
        <v>3.7499999999999999E-2</v>
      </c>
      <c r="E304" s="64" t="s">
        <v>160</v>
      </c>
      <c r="F304" s="65" t="str">
        <f>IFERROR(VLOOKUP(E304,PROVEEDORES!$A$3:$G$42,2,0),"")</f>
        <v>CARNES</v>
      </c>
      <c r="G304" s="66" t="str">
        <f>IFERROR(VLOOKUP(E304,PROVEEDORES!$A$3:$G$42,4,0),"")</f>
        <v>gr.ganaderareal@gmail.com</v>
      </c>
      <c r="H304" s="10" t="str">
        <f>IFERROR(VLOOKUP(E304,PROVEEDORES!$A$3:$G$42,5,0),"")</f>
        <v>56983670527</v>
      </c>
      <c r="I304" s="11">
        <v>22286</v>
      </c>
      <c r="J304" s="64" t="s">
        <v>149</v>
      </c>
      <c r="K304" s="65" t="str">
        <f>IFERROR(VLOOKUP(J304,PROVEEDORES!$A$3:$G$42,2,0),"")</f>
        <v>CARNES Y LACTEOS</v>
      </c>
      <c r="L304" s="66" t="str">
        <f>IFERROR(VLOOKUP(J304,PROVEEDORES!$A$3:$G$42,4,0),"")</f>
        <v>grivas@palaisgourmet.cl</v>
      </c>
      <c r="M304" s="10" t="str">
        <f>IFERROR(VLOOKUP(J304,PROVEEDORES!$A$3:$G$42,5,0),"")</f>
        <v>56942132129</v>
      </c>
      <c r="N304" s="11">
        <v>16102</v>
      </c>
      <c r="O304" s="64"/>
      <c r="P304" s="65"/>
      <c r="Q304" s="66"/>
      <c r="R304" s="10"/>
      <c r="S304" s="11"/>
      <c r="T304" s="12">
        <f t="shared" si="10"/>
        <v>19194</v>
      </c>
      <c r="U304" s="13">
        <f t="shared" si="11"/>
        <v>21113.4</v>
      </c>
    </row>
    <row r="305" spans="1:21" ht="15" customHeight="1" x14ac:dyDescent="0.35">
      <c r="A305" s="14" t="s">
        <v>493</v>
      </c>
      <c r="B305" s="15" t="s">
        <v>509</v>
      </c>
      <c r="C305" s="16" t="s">
        <v>219</v>
      </c>
      <c r="D305" s="17">
        <v>3.3125000000000002E-2</v>
      </c>
      <c r="E305" s="67" t="s">
        <v>160</v>
      </c>
      <c r="F305" s="68" t="str">
        <f>IFERROR(VLOOKUP(E305,PROVEEDORES!$A$3:$G$42,2,0),"")</f>
        <v>CARNES</v>
      </c>
      <c r="G305" s="69" t="str">
        <f>IFERROR(VLOOKUP(E305,PROVEEDORES!$A$3:$G$42,4,0),"")</f>
        <v>gr.ganaderareal@gmail.com</v>
      </c>
      <c r="H305" s="18" t="str">
        <f>IFERROR(VLOOKUP(E305,PROVEEDORES!$A$3:$G$42,5,0),"")</f>
        <v>56983670527</v>
      </c>
      <c r="I305" s="19">
        <v>15870</v>
      </c>
      <c r="J305" s="67" t="s">
        <v>149</v>
      </c>
      <c r="K305" s="68" t="str">
        <f>IFERROR(VLOOKUP(J305,PROVEEDORES!$A$3:$G$42,2,0),"")</f>
        <v>CARNES Y LACTEOS</v>
      </c>
      <c r="L305" s="69" t="str">
        <f>IFERROR(VLOOKUP(J305,PROVEEDORES!$A$3:$G$42,4,0),"")</f>
        <v>grivas@palaisgourmet.cl</v>
      </c>
      <c r="M305" s="18" t="str">
        <f>IFERROR(VLOOKUP(J305,PROVEEDORES!$A$3:$G$42,5,0),"")</f>
        <v>56942132129</v>
      </c>
      <c r="N305" s="19">
        <v>19941</v>
      </c>
      <c r="O305" s="67"/>
      <c r="P305" s="68"/>
      <c r="Q305" s="69"/>
      <c r="R305" s="18"/>
      <c r="S305" s="19"/>
      <c r="T305" s="20">
        <f t="shared" si="10"/>
        <v>17905.5</v>
      </c>
      <c r="U305" s="21">
        <f t="shared" si="11"/>
        <v>19696.050000000003</v>
      </c>
    </row>
    <row r="306" spans="1:21" ht="15" customHeight="1" x14ac:dyDescent="0.35">
      <c r="A306" s="6" t="s">
        <v>493</v>
      </c>
      <c r="B306" s="7" t="s">
        <v>510</v>
      </c>
      <c r="C306" s="8" t="s">
        <v>219</v>
      </c>
      <c r="D306" s="9">
        <v>0.17</v>
      </c>
      <c r="E306" s="64" t="s">
        <v>160</v>
      </c>
      <c r="F306" s="65" t="str">
        <f>IFERROR(VLOOKUP(E306,PROVEEDORES!$A$3:$G$42,2,0),"")</f>
        <v>CARNES</v>
      </c>
      <c r="G306" s="66" t="str">
        <f>IFERROR(VLOOKUP(E306,PROVEEDORES!$A$3:$G$42,4,0),"")</f>
        <v>gr.ganaderareal@gmail.com</v>
      </c>
      <c r="H306" s="10" t="str">
        <f>IFERROR(VLOOKUP(E306,PROVEEDORES!$A$3:$G$42,5,0),"")</f>
        <v>56983670527</v>
      </c>
      <c r="I306" s="11">
        <v>5250</v>
      </c>
      <c r="J306" s="64" t="s">
        <v>149</v>
      </c>
      <c r="K306" s="65" t="str">
        <f>IFERROR(VLOOKUP(J306,PROVEEDORES!$A$3:$G$42,2,0),"")</f>
        <v>CARNES Y LACTEOS</v>
      </c>
      <c r="L306" s="66" t="str">
        <f>IFERROR(VLOOKUP(J306,PROVEEDORES!$A$3:$G$42,4,0),"")</f>
        <v>grivas@palaisgourmet.cl</v>
      </c>
      <c r="M306" s="10" t="str">
        <f>IFERROR(VLOOKUP(J306,PROVEEDORES!$A$3:$G$42,5,0),"")</f>
        <v>56942132129</v>
      </c>
      <c r="N306" s="11">
        <v>4360</v>
      </c>
      <c r="O306" s="64"/>
      <c r="P306" s="65"/>
      <c r="Q306" s="66"/>
      <c r="R306" s="10"/>
      <c r="S306" s="11"/>
      <c r="T306" s="12">
        <f t="shared" si="10"/>
        <v>4805</v>
      </c>
      <c r="U306" s="13">
        <f t="shared" si="11"/>
        <v>5285.5</v>
      </c>
    </row>
    <row r="307" spans="1:21" ht="15" customHeight="1" x14ac:dyDescent="0.35">
      <c r="A307" s="14" t="s">
        <v>493</v>
      </c>
      <c r="B307" s="15" t="s">
        <v>511</v>
      </c>
      <c r="C307" s="16" t="s">
        <v>219</v>
      </c>
      <c r="D307" s="17">
        <v>3.5000000000000003E-2</v>
      </c>
      <c r="E307" s="67" t="s">
        <v>160</v>
      </c>
      <c r="F307" s="68" t="str">
        <f>IFERROR(VLOOKUP(E307,PROVEEDORES!$A$3:$G$42,2,0),"")</f>
        <v>CARNES</v>
      </c>
      <c r="G307" s="69" t="str">
        <f>IFERROR(VLOOKUP(E307,PROVEEDORES!$A$3:$G$42,4,0),"")</f>
        <v>gr.ganaderareal@gmail.com</v>
      </c>
      <c r="H307" s="18" t="str">
        <f>IFERROR(VLOOKUP(E307,PROVEEDORES!$A$3:$G$42,5,0),"")</f>
        <v>56983670527</v>
      </c>
      <c r="I307" s="19">
        <v>27732</v>
      </c>
      <c r="J307" s="67" t="s">
        <v>149</v>
      </c>
      <c r="K307" s="68" t="str">
        <f>IFERROR(VLOOKUP(J307,PROVEEDORES!$A$3:$G$42,2,0),"")</f>
        <v>CARNES Y LACTEOS</v>
      </c>
      <c r="L307" s="69" t="str">
        <f>IFERROR(VLOOKUP(J307,PROVEEDORES!$A$3:$G$42,4,0),"")</f>
        <v>grivas@palaisgourmet.cl</v>
      </c>
      <c r="M307" s="18" t="str">
        <f>IFERROR(VLOOKUP(J307,PROVEEDORES!$A$3:$G$42,5,0),"")</f>
        <v>56942132129</v>
      </c>
      <c r="N307" s="19">
        <v>27482</v>
      </c>
      <c r="O307" s="67"/>
      <c r="P307" s="68"/>
      <c r="Q307" s="69"/>
      <c r="R307" s="18"/>
      <c r="S307" s="19"/>
      <c r="T307" s="20">
        <f t="shared" si="10"/>
        <v>27607</v>
      </c>
      <c r="U307" s="21">
        <f t="shared" si="11"/>
        <v>30367.7</v>
      </c>
    </row>
    <row r="308" spans="1:21" ht="15" customHeight="1" x14ac:dyDescent="0.35">
      <c r="A308" s="6" t="s">
        <v>493</v>
      </c>
      <c r="B308" s="7" t="s">
        <v>512</v>
      </c>
      <c r="C308" s="8" t="s">
        <v>219</v>
      </c>
      <c r="D308" s="9">
        <v>9.1249999999999998E-2</v>
      </c>
      <c r="E308" s="64" t="s">
        <v>160</v>
      </c>
      <c r="F308" s="65" t="str">
        <f>IFERROR(VLOOKUP(E308,PROVEEDORES!$A$3:$G$42,2,0),"")</f>
        <v>CARNES</v>
      </c>
      <c r="G308" s="66" t="str">
        <f>IFERROR(VLOOKUP(E308,PROVEEDORES!$A$3:$G$42,4,0),"")</f>
        <v>gr.ganaderareal@gmail.com</v>
      </c>
      <c r="H308" s="10" t="str">
        <f>IFERROR(VLOOKUP(E308,PROVEEDORES!$A$3:$G$42,5,0),"")</f>
        <v>56983670527</v>
      </c>
      <c r="I308" s="11">
        <v>23223</v>
      </c>
      <c r="J308" s="64" t="s">
        <v>149</v>
      </c>
      <c r="K308" s="65" t="str">
        <f>IFERROR(VLOOKUP(J308,PROVEEDORES!$A$3:$G$42,2,0),"")</f>
        <v>CARNES Y LACTEOS</v>
      </c>
      <c r="L308" s="66" t="str">
        <f>IFERROR(VLOOKUP(J308,PROVEEDORES!$A$3:$G$42,4,0),"")</f>
        <v>grivas@palaisgourmet.cl</v>
      </c>
      <c r="M308" s="10" t="str">
        <f>IFERROR(VLOOKUP(J308,PROVEEDORES!$A$3:$G$42,5,0),"")</f>
        <v>56942132129</v>
      </c>
      <c r="N308" s="11">
        <v>22387</v>
      </c>
      <c r="O308" s="64"/>
      <c r="P308" s="65"/>
      <c r="Q308" s="66"/>
      <c r="R308" s="10"/>
      <c r="S308" s="11"/>
      <c r="T308" s="12">
        <f t="shared" si="10"/>
        <v>22805</v>
      </c>
      <c r="U308" s="13">
        <f t="shared" si="11"/>
        <v>25085.500000000004</v>
      </c>
    </row>
    <row r="309" spans="1:21" ht="15" customHeight="1" x14ac:dyDescent="0.35">
      <c r="A309" s="14" t="s">
        <v>493</v>
      </c>
      <c r="B309" s="15" t="s">
        <v>513</v>
      </c>
      <c r="C309" s="16" t="s">
        <v>219</v>
      </c>
      <c r="D309" s="17">
        <v>9.7500000000000003E-2</v>
      </c>
      <c r="E309" s="67" t="s">
        <v>160</v>
      </c>
      <c r="F309" s="68" t="str">
        <f>IFERROR(VLOOKUP(E309,PROVEEDORES!$A$3:$G$42,2,0),"")</f>
        <v>CARNES</v>
      </c>
      <c r="G309" s="69" t="str">
        <f>IFERROR(VLOOKUP(E309,PROVEEDORES!$A$3:$G$42,4,0),"")</f>
        <v>gr.ganaderareal@gmail.com</v>
      </c>
      <c r="H309" s="18" t="str">
        <f>IFERROR(VLOOKUP(E309,PROVEEDORES!$A$3:$G$42,5,0),"")</f>
        <v>56983670527</v>
      </c>
      <c r="I309" s="19">
        <v>21920</v>
      </c>
      <c r="J309" s="67" t="s">
        <v>149</v>
      </c>
      <c r="K309" s="68" t="str">
        <f>IFERROR(VLOOKUP(J309,PROVEEDORES!$A$3:$G$42,2,0),"")</f>
        <v>CARNES Y LACTEOS</v>
      </c>
      <c r="L309" s="69" t="str">
        <f>IFERROR(VLOOKUP(J309,PROVEEDORES!$A$3:$G$42,4,0),"")</f>
        <v>grivas@palaisgourmet.cl</v>
      </c>
      <c r="M309" s="18" t="str">
        <f>IFERROR(VLOOKUP(J309,PROVEEDORES!$A$3:$G$42,5,0),"")</f>
        <v>56942132129</v>
      </c>
      <c r="N309" s="19">
        <v>16659</v>
      </c>
      <c r="O309" s="67"/>
      <c r="P309" s="68"/>
      <c r="Q309" s="69"/>
      <c r="R309" s="18"/>
      <c r="S309" s="19"/>
      <c r="T309" s="20">
        <f t="shared" si="10"/>
        <v>19289.5</v>
      </c>
      <c r="U309" s="21">
        <f t="shared" si="11"/>
        <v>21218.45</v>
      </c>
    </row>
    <row r="310" spans="1:21" ht="15" customHeight="1" x14ac:dyDescent="0.35">
      <c r="A310" s="6" t="s">
        <v>493</v>
      </c>
      <c r="B310" s="7" t="s">
        <v>514</v>
      </c>
      <c r="C310" s="8" t="s">
        <v>219</v>
      </c>
      <c r="D310" s="9">
        <v>3.3750000000000002E-2</v>
      </c>
      <c r="E310" s="64" t="s">
        <v>160</v>
      </c>
      <c r="F310" s="65" t="str">
        <f>IFERROR(VLOOKUP(E310,PROVEEDORES!$A$3:$G$42,2,0),"")</f>
        <v>CARNES</v>
      </c>
      <c r="G310" s="66" t="str">
        <f>IFERROR(VLOOKUP(E310,PROVEEDORES!$A$3:$G$42,4,0),"")</f>
        <v>gr.ganaderareal@gmail.com</v>
      </c>
      <c r="H310" s="10" t="str">
        <f>IFERROR(VLOOKUP(E310,PROVEEDORES!$A$3:$G$42,5,0),"")</f>
        <v>56983670527</v>
      </c>
      <c r="I310" s="11">
        <v>25470</v>
      </c>
      <c r="J310" s="64" t="s">
        <v>149</v>
      </c>
      <c r="K310" s="65" t="str">
        <f>IFERROR(VLOOKUP(J310,PROVEEDORES!$A$3:$G$42,2,0),"")</f>
        <v>CARNES Y LACTEOS</v>
      </c>
      <c r="L310" s="66" t="str">
        <f>IFERROR(VLOOKUP(J310,PROVEEDORES!$A$3:$G$42,4,0),"")</f>
        <v>grivas@palaisgourmet.cl</v>
      </c>
      <c r="M310" s="10" t="str">
        <f>IFERROR(VLOOKUP(J310,PROVEEDORES!$A$3:$G$42,5,0),"")</f>
        <v>56942132129</v>
      </c>
      <c r="N310" s="11">
        <v>11258</v>
      </c>
      <c r="O310" s="64"/>
      <c r="P310" s="65"/>
      <c r="Q310" s="66"/>
      <c r="R310" s="10"/>
      <c r="S310" s="11"/>
      <c r="T310" s="12">
        <f t="shared" si="10"/>
        <v>18364</v>
      </c>
      <c r="U310" s="13">
        <f t="shared" si="11"/>
        <v>20200.400000000001</v>
      </c>
    </row>
    <row r="311" spans="1:21" ht="12" customHeight="1" x14ac:dyDescent="0.35">
      <c r="A311" s="59" t="s">
        <v>515</v>
      </c>
      <c r="B311" s="59"/>
      <c r="C311" s="59"/>
      <c r="D311" s="59"/>
      <c r="E311" s="59"/>
      <c r="F311" s="59"/>
      <c r="G311" s="59"/>
      <c r="H311" s="59"/>
      <c r="I311" s="59"/>
      <c r="J311" s="59"/>
      <c r="K311" s="59"/>
      <c r="L311" s="59"/>
      <c r="M311" s="59"/>
      <c r="N311" s="59"/>
      <c r="O311" s="59"/>
      <c r="P311" s="59"/>
      <c r="Q311" s="59"/>
      <c r="R311" s="59"/>
      <c r="S311" s="59"/>
      <c r="T311" s="59"/>
      <c r="U311" s="59"/>
    </row>
    <row r="312" spans="1:21" ht="15" customHeight="1" x14ac:dyDescent="0.35">
      <c r="A312" s="6" t="s">
        <v>515</v>
      </c>
      <c r="B312" s="7" t="s">
        <v>516</v>
      </c>
      <c r="C312" s="8" t="s">
        <v>209</v>
      </c>
      <c r="D312" s="9">
        <v>8.5000000000000006E-2</v>
      </c>
      <c r="E312" s="64" t="s">
        <v>120</v>
      </c>
      <c r="F312" s="65" t="str">
        <f>IFERROR(VLOOKUP(E312,PROVEEDORES!$A$3:$G$42,2,0),"")</f>
        <v>VINOS Y LICORES</v>
      </c>
      <c r="G312" s="66" t="str">
        <f>IFERROR(VLOOKUP(E312,PROVEEDORES!$A$3:$G$42,4,0),"")</f>
        <v>andrea.aristizabal@lavinoteca.cl, johanna.quiroga@lavinoteca.cl, margarita.arias@lavinoteca.cl</v>
      </c>
      <c r="H312" s="10" t="str">
        <f>IFERROR(VLOOKUP(E312,PROVEEDORES!$A$3:$G$42,5,0),"")</f>
        <v>56228292221 - 56992197824</v>
      </c>
      <c r="I312" s="11">
        <v>3909</v>
      </c>
      <c r="J312" s="64" t="s">
        <v>35</v>
      </c>
      <c r="K312" s="65" t="str">
        <f>IFERROR(VLOOKUP(J312,PROVEEDORES!$A$3:$G$42,2,0),"")</f>
        <v>ABARROTES</v>
      </c>
      <c r="L312" s="66" t="str">
        <f>IFERROR(VLOOKUP(J312,PROVEEDORES!$A$3:$G$42,4,0),"")</f>
        <v>pagos@bidfood.cl,pmolina@bidfood.cl</v>
      </c>
      <c r="M312" s="10" t="str">
        <f>IFERROR(VLOOKUP(J312,PROVEEDORES!$A$3:$G$42,5,0),"")</f>
        <v>56225994444 - 56998038459</v>
      </c>
      <c r="N312" s="11">
        <v>6501</v>
      </c>
      <c r="O312" s="64"/>
      <c r="P312" s="65"/>
      <c r="Q312" s="66"/>
      <c r="R312" s="10"/>
      <c r="S312" s="11"/>
      <c r="T312" s="12">
        <f>AVERAGE(I312,N312)</f>
        <v>5205</v>
      </c>
      <c r="U312" s="13">
        <f>T312*(1+$B$2)</f>
        <v>5725.5000000000009</v>
      </c>
    </row>
    <row r="313" spans="1:21" ht="12" customHeight="1" x14ac:dyDescent="0.35">
      <c r="A313" s="59" t="s">
        <v>170</v>
      </c>
      <c r="B313" s="59"/>
      <c r="C313" s="59"/>
      <c r="D313" s="59"/>
      <c r="E313" s="59"/>
      <c r="F313" s="59"/>
      <c r="G313" s="59"/>
      <c r="H313" s="59"/>
      <c r="I313" s="59"/>
      <c r="J313" s="59"/>
      <c r="K313" s="59"/>
      <c r="L313" s="59"/>
      <c r="M313" s="59"/>
      <c r="N313" s="59"/>
      <c r="O313" s="59"/>
      <c r="P313" s="59"/>
      <c r="Q313" s="59"/>
      <c r="R313" s="59"/>
      <c r="S313" s="59"/>
      <c r="T313" s="59"/>
      <c r="U313" s="59"/>
    </row>
    <row r="314" spans="1:21" ht="15" customHeight="1" x14ac:dyDescent="0.35">
      <c r="A314" s="6" t="s">
        <v>170</v>
      </c>
      <c r="B314" s="7" t="s">
        <v>517</v>
      </c>
      <c r="C314" s="8" t="s">
        <v>239</v>
      </c>
      <c r="D314" s="9">
        <v>12</v>
      </c>
      <c r="E314" s="64" t="s">
        <v>169</v>
      </c>
      <c r="F314" s="65" t="str">
        <f>IFERROR(VLOOKUP(E314,PROVEEDORES!$A$3:$G$42,2,0),"")</f>
        <v>CHOCOLATE</v>
      </c>
      <c r="G314" s="66" t="str">
        <f>IFERROR(VLOOKUP(E314,PROVEEDORES!$A$3:$G$42,4,0),"")</f>
        <v>danielgonzalez@neucober.cl</v>
      </c>
      <c r="H314" s="10" t="str">
        <f>IFERROR(VLOOKUP(E314,PROVEEDORES!$A$3:$G$42,5,0),"")</f>
        <v>56978895811</v>
      </c>
      <c r="I314" s="11">
        <v>63</v>
      </c>
      <c r="J314" s="64" t="s">
        <v>180</v>
      </c>
      <c r="K314" s="65" t="str">
        <f>IFERROR(VLOOKUP(J314,PROVEEDORES!$A$3:$G$42,2,0),"")</f>
        <v>Chocolateria</v>
      </c>
      <c r="L314" s="66" t="str">
        <f>IFERROR(VLOOKUP(J314,PROVEEDORES!$A$3:$G$42,4,0),"")</f>
        <v>carolina@agourmet.cl</v>
      </c>
      <c r="M314" s="10" t="str">
        <f>IFERROR(VLOOKUP(J314,PROVEEDORES!$A$3:$G$42,5,0),"")</f>
        <v>56990220710</v>
      </c>
      <c r="N314" s="11">
        <v>66</v>
      </c>
      <c r="O314" s="64" t="s">
        <v>105</v>
      </c>
      <c r="P314" s="65" t="str">
        <f>IFERROR(VLOOKUP(O314,PROVEEDORES!$A$3:$G$42,2,0),"")</f>
        <v>ESPECIES</v>
      </c>
      <c r="Q314" s="66" t="str">
        <f>IFERROR(VLOOKUP(O314,PROVEEDORES!$A$3:$G$42,4,0),"")</f>
        <v>chef@gourmetselect.cl,contabilidad@gourmetselect.cl,pedidos@gourmetselect.cl,info@gourmetselect.cl</v>
      </c>
      <c r="R314" s="10" t="str">
        <f>IFERROR(VLOOKUP(O314,PROVEEDORES!$A$3:$G$42,5,0),"")</f>
        <v>56944921093</v>
      </c>
      <c r="S314" s="11">
        <v>126</v>
      </c>
      <c r="T314" s="12">
        <f t="shared" ref="T314:T334" si="12">AVERAGE(I314,N314,S314)</f>
        <v>85</v>
      </c>
      <c r="U314" s="13">
        <f t="shared" ref="U314:U334" si="13">T314*(1+$B$2)</f>
        <v>93.500000000000014</v>
      </c>
    </row>
    <row r="315" spans="1:21" ht="15" customHeight="1" x14ac:dyDescent="0.35">
      <c r="A315" s="14" t="s">
        <v>170</v>
      </c>
      <c r="B315" s="15" t="s">
        <v>518</v>
      </c>
      <c r="C315" s="16" t="s">
        <v>219</v>
      </c>
      <c r="D315" s="17">
        <v>0.35699999999999998</v>
      </c>
      <c r="E315" s="67" t="s">
        <v>169</v>
      </c>
      <c r="F315" s="68" t="str">
        <f>IFERROR(VLOOKUP(E315,PROVEEDORES!$A$3:$G$42,2,0),"")</f>
        <v>CHOCOLATE</v>
      </c>
      <c r="G315" s="69" t="str">
        <f>IFERROR(VLOOKUP(E315,PROVEEDORES!$A$3:$G$42,4,0),"")</f>
        <v>danielgonzalez@neucober.cl</v>
      </c>
      <c r="H315" s="18" t="str">
        <f>IFERROR(VLOOKUP(E315,PROVEEDORES!$A$3:$G$42,5,0),"")</f>
        <v>56978895811</v>
      </c>
      <c r="I315" s="19">
        <v>11662</v>
      </c>
      <c r="J315" s="67" t="s">
        <v>180</v>
      </c>
      <c r="K315" s="68" t="str">
        <f>IFERROR(VLOOKUP(J315,PROVEEDORES!$A$3:$G$42,2,0),"")</f>
        <v>Chocolateria</v>
      </c>
      <c r="L315" s="69" t="str">
        <f>IFERROR(VLOOKUP(J315,PROVEEDORES!$A$3:$G$42,4,0),"")</f>
        <v>carolina@agourmet.cl</v>
      </c>
      <c r="M315" s="18" t="str">
        <f>IFERROR(VLOOKUP(J315,PROVEEDORES!$A$3:$G$42,5,0),"")</f>
        <v>56990220710</v>
      </c>
      <c r="N315" s="19">
        <v>16508</v>
      </c>
      <c r="O315" s="67" t="s">
        <v>105</v>
      </c>
      <c r="P315" s="68" t="str">
        <f>IFERROR(VLOOKUP(O315,PROVEEDORES!$A$3:$G$42,2,0),"")</f>
        <v>ESPECIES</v>
      </c>
      <c r="Q315" s="69" t="str">
        <f>IFERROR(VLOOKUP(O315,PROVEEDORES!$A$3:$G$42,4,0),"")</f>
        <v>chef@gourmetselect.cl,contabilidad@gourmetselect.cl,pedidos@gourmetselect.cl,info@gourmetselect.cl</v>
      </c>
      <c r="R315" s="18" t="str">
        <f>IFERROR(VLOOKUP(O315,PROVEEDORES!$A$3:$G$42,5,0),"")</f>
        <v>56944921093</v>
      </c>
      <c r="S315" s="19">
        <v>18025</v>
      </c>
      <c r="T315" s="20">
        <f t="shared" si="12"/>
        <v>15398.333333333334</v>
      </c>
      <c r="U315" s="21">
        <f t="shared" si="13"/>
        <v>16938.166666666668</v>
      </c>
    </row>
    <row r="316" spans="1:21" ht="15" customHeight="1" x14ac:dyDescent="0.35">
      <c r="A316" s="6" t="s">
        <v>170</v>
      </c>
      <c r="B316" s="7" t="s">
        <v>519</v>
      </c>
      <c r="C316" s="8" t="s">
        <v>219</v>
      </c>
      <c r="D316" s="9">
        <v>0.21762500000000001</v>
      </c>
      <c r="E316" s="64" t="s">
        <v>169</v>
      </c>
      <c r="F316" s="65" t="str">
        <f>IFERROR(VLOOKUP(E316,PROVEEDORES!$A$3:$G$42,2,0),"")</f>
        <v>CHOCOLATE</v>
      </c>
      <c r="G316" s="66" t="str">
        <f>IFERROR(VLOOKUP(E316,PROVEEDORES!$A$3:$G$42,4,0),"")</f>
        <v>danielgonzalez@neucober.cl</v>
      </c>
      <c r="H316" s="10" t="str">
        <f>IFERROR(VLOOKUP(E316,PROVEEDORES!$A$3:$G$42,5,0),"")</f>
        <v>56978895811</v>
      </c>
      <c r="I316" s="11">
        <v>9786</v>
      </c>
      <c r="J316" s="64" t="s">
        <v>180</v>
      </c>
      <c r="K316" s="65" t="str">
        <f>IFERROR(VLOOKUP(J316,PROVEEDORES!$A$3:$G$42,2,0),"")</f>
        <v>Chocolateria</v>
      </c>
      <c r="L316" s="66" t="str">
        <f>IFERROR(VLOOKUP(J316,PROVEEDORES!$A$3:$G$42,4,0),"")</f>
        <v>carolina@agourmet.cl</v>
      </c>
      <c r="M316" s="10" t="str">
        <f>IFERROR(VLOOKUP(J316,PROVEEDORES!$A$3:$G$42,5,0),"")</f>
        <v>56990220710</v>
      </c>
      <c r="N316" s="11">
        <v>8553</v>
      </c>
      <c r="O316" s="64" t="s">
        <v>105</v>
      </c>
      <c r="P316" s="65" t="str">
        <f>IFERROR(VLOOKUP(O316,PROVEEDORES!$A$3:$G$42,2,0),"")</f>
        <v>ESPECIES</v>
      </c>
      <c r="Q316" s="66" t="str">
        <f>IFERROR(VLOOKUP(O316,PROVEEDORES!$A$3:$G$42,4,0),"")</f>
        <v>chef@gourmetselect.cl,contabilidad@gourmetselect.cl,pedidos@gourmetselect.cl,info@gourmetselect.cl</v>
      </c>
      <c r="R316" s="10" t="str">
        <f>IFERROR(VLOOKUP(O316,PROVEEDORES!$A$3:$G$42,5,0),"")</f>
        <v>56944921093</v>
      </c>
      <c r="S316" s="11">
        <v>141</v>
      </c>
      <c r="T316" s="12">
        <f t="shared" si="12"/>
        <v>6160</v>
      </c>
      <c r="U316" s="13">
        <f t="shared" si="13"/>
        <v>6776.0000000000009</v>
      </c>
    </row>
    <row r="317" spans="1:21" ht="15" customHeight="1" x14ac:dyDescent="0.35">
      <c r="A317" s="14" t="s">
        <v>170</v>
      </c>
      <c r="B317" s="15" t="s">
        <v>520</v>
      </c>
      <c r="C317" s="16" t="s">
        <v>219</v>
      </c>
      <c r="D317" s="17">
        <v>5.5E-2</v>
      </c>
      <c r="E317" s="67" t="s">
        <v>169</v>
      </c>
      <c r="F317" s="68" t="str">
        <f>IFERROR(VLOOKUP(E317,PROVEEDORES!$A$3:$G$42,2,0),"")</f>
        <v>CHOCOLATE</v>
      </c>
      <c r="G317" s="69" t="str">
        <f>IFERROR(VLOOKUP(E317,PROVEEDORES!$A$3:$G$42,4,0),"")</f>
        <v>danielgonzalez@neucober.cl</v>
      </c>
      <c r="H317" s="18" t="str">
        <f>IFERROR(VLOOKUP(E317,PROVEEDORES!$A$3:$G$42,5,0),"")</f>
        <v>56978895811</v>
      </c>
      <c r="I317" s="19">
        <v>16169</v>
      </c>
      <c r="J317" s="67" t="s">
        <v>180</v>
      </c>
      <c r="K317" s="68" t="str">
        <f>IFERROR(VLOOKUP(J317,PROVEEDORES!$A$3:$G$42,2,0),"")</f>
        <v>Chocolateria</v>
      </c>
      <c r="L317" s="69" t="str">
        <f>IFERROR(VLOOKUP(J317,PROVEEDORES!$A$3:$G$42,4,0),"")</f>
        <v>carolina@agourmet.cl</v>
      </c>
      <c r="M317" s="18" t="str">
        <f>IFERROR(VLOOKUP(J317,PROVEEDORES!$A$3:$G$42,5,0),"")</f>
        <v>56990220710</v>
      </c>
      <c r="N317" s="19">
        <v>20389</v>
      </c>
      <c r="O317" s="67" t="s">
        <v>105</v>
      </c>
      <c r="P317" s="68" t="str">
        <f>IFERROR(VLOOKUP(O317,PROVEEDORES!$A$3:$G$42,2,0),"")</f>
        <v>ESPECIES</v>
      </c>
      <c r="Q317" s="69" t="str">
        <f>IFERROR(VLOOKUP(O317,PROVEEDORES!$A$3:$G$42,4,0),"")</f>
        <v>chef@gourmetselect.cl,contabilidad@gourmetselect.cl,pedidos@gourmetselect.cl,info@gourmetselect.cl</v>
      </c>
      <c r="R317" s="18" t="str">
        <f>IFERROR(VLOOKUP(O317,PROVEEDORES!$A$3:$G$42,5,0),"")</f>
        <v>56944921093</v>
      </c>
      <c r="S317" s="19">
        <v>25418</v>
      </c>
      <c r="T317" s="20">
        <f t="shared" si="12"/>
        <v>20658.666666666668</v>
      </c>
      <c r="U317" s="21">
        <f t="shared" si="13"/>
        <v>22724.533333333336</v>
      </c>
    </row>
    <row r="318" spans="1:21" ht="15" customHeight="1" x14ac:dyDescent="0.35">
      <c r="A318" s="6" t="s">
        <v>170</v>
      </c>
      <c r="B318" s="7" t="s">
        <v>521</v>
      </c>
      <c r="C318" s="8" t="s">
        <v>219</v>
      </c>
      <c r="D318" s="9">
        <v>0.520625</v>
      </c>
      <c r="E318" s="64" t="s">
        <v>169</v>
      </c>
      <c r="F318" s="65" t="str">
        <f>IFERROR(VLOOKUP(E318,PROVEEDORES!$A$3:$G$42,2,0),"")</f>
        <v>CHOCOLATE</v>
      </c>
      <c r="G318" s="66" t="str">
        <f>IFERROR(VLOOKUP(E318,PROVEEDORES!$A$3:$G$42,4,0),"")</f>
        <v>danielgonzalez@neucober.cl</v>
      </c>
      <c r="H318" s="10" t="str">
        <f>IFERROR(VLOOKUP(E318,PROVEEDORES!$A$3:$G$42,5,0),"")</f>
        <v>56978895811</v>
      </c>
      <c r="I318" s="11">
        <v>18894</v>
      </c>
      <c r="J318" s="64" t="s">
        <v>180</v>
      </c>
      <c r="K318" s="65" t="str">
        <f>IFERROR(VLOOKUP(J318,PROVEEDORES!$A$3:$G$42,2,0),"")</f>
        <v>Chocolateria</v>
      </c>
      <c r="L318" s="66" t="str">
        <f>IFERROR(VLOOKUP(J318,PROVEEDORES!$A$3:$G$42,4,0),"")</f>
        <v>carolina@agourmet.cl</v>
      </c>
      <c r="M318" s="10" t="str">
        <f>IFERROR(VLOOKUP(J318,PROVEEDORES!$A$3:$G$42,5,0),"")</f>
        <v>56990220710</v>
      </c>
      <c r="N318" s="11">
        <v>13991</v>
      </c>
      <c r="O318" s="64" t="s">
        <v>105</v>
      </c>
      <c r="P318" s="65" t="str">
        <f>IFERROR(VLOOKUP(O318,PROVEEDORES!$A$3:$G$42,2,0),"")</f>
        <v>ESPECIES</v>
      </c>
      <c r="Q318" s="66" t="str">
        <f>IFERROR(VLOOKUP(O318,PROVEEDORES!$A$3:$G$42,4,0),"")</f>
        <v>chef@gourmetselect.cl,contabilidad@gourmetselect.cl,pedidos@gourmetselect.cl,info@gourmetselect.cl</v>
      </c>
      <c r="R318" s="10" t="str">
        <f>IFERROR(VLOOKUP(O318,PROVEEDORES!$A$3:$G$42,5,0),"")</f>
        <v>56944921093</v>
      </c>
      <c r="S318" s="11">
        <v>36352</v>
      </c>
      <c r="T318" s="12">
        <f t="shared" si="12"/>
        <v>23079</v>
      </c>
      <c r="U318" s="13">
        <f t="shared" si="13"/>
        <v>25386.9</v>
      </c>
    </row>
    <row r="319" spans="1:21" ht="15" customHeight="1" x14ac:dyDescent="0.35">
      <c r="A319" s="14" t="s">
        <v>170</v>
      </c>
      <c r="B319" s="15" t="s">
        <v>522</v>
      </c>
      <c r="C319" s="16" t="s">
        <v>219</v>
      </c>
      <c r="D319" s="17">
        <v>0.47</v>
      </c>
      <c r="E319" s="67" t="s">
        <v>169</v>
      </c>
      <c r="F319" s="68" t="str">
        <f>IFERROR(VLOOKUP(E319,PROVEEDORES!$A$3:$G$42,2,0),"")</f>
        <v>CHOCOLATE</v>
      </c>
      <c r="G319" s="69" t="str">
        <f>IFERROR(VLOOKUP(E319,PROVEEDORES!$A$3:$G$42,4,0),"")</f>
        <v>danielgonzalez@neucober.cl</v>
      </c>
      <c r="H319" s="18" t="str">
        <f>IFERROR(VLOOKUP(E319,PROVEEDORES!$A$3:$G$42,5,0),"")</f>
        <v>56978895811</v>
      </c>
      <c r="I319" s="19">
        <v>18894</v>
      </c>
      <c r="J319" s="67" t="s">
        <v>180</v>
      </c>
      <c r="K319" s="68" t="str">
        <f>IFERROR(VLOOKUP(J319,PROVEEDORES!$A$3:$G$42,2,0),"")</f>
        <v>Chocolateria</v>
      </c>
      <c r="L319" s="69" t="str">
        <f>IFERROR(VLOOKUP(J319,PROVEEDORES!$A$3:$G$42,4,0),"")</f>
        <v>carolina@agourmet.cl</v>
      </c>
      <c r="M319" s="18" t="str">
        <f>IFERROR(VLOOKUP(J319,PROVEEDORES!$A$3:$G$42,5,0),"")</f>
        <v>56990220710</v>
      </c>
      <c r="N319" s="19">
        <v>14048</v>
      </c>
      <c r="O319" s="67" t="s">
        <v>105</v>
      </c>
      <c r="P319" s="68" t="str">
        <f>IFERROR(VLOOKUP(O319,PROVEEDORES!$A$3:$G$42,2,0),"")</f>
        <v>ESPECIES</v>
      </c>
      <c r="Q319" s="69" t="str">
        <f>IFERROR(VLOOKUP(O319,PROVEEDORES!$A$3:$G$42,4,0),"")</f>
        <v>chef@gourmetselect.cl,contabilidad@gourmetselect.cl,pedidos@gourmetselect.cl,info@gourmetselect.cl</v>
      </c>
      <c r="R319" s="18" t="str">
        <f>IFERROR(VLOOKUP(O319,PROVEEDORES!$A$3:$G$42,5,0),"")</f>
        <v>56944921093</v>
      </c>
      <c r="S319" s="19">
        <v>22261</v>
      </c>
      <c r="T319" s="20">
        <f t="shared" si="12"/>
        <v>18401</v>
      </c>
      <c r="U319" s="21">
        <f t="shared" si="13"/>
        <v>20241.100000000002</v>
      </c>
    </row>
    <row r="320" spans="1:21" ht="15" customHeight="1" x14ac:dyDescent="0.35">
      <c r="A320" s="6" t="s">
        <v>170</v>
      </c>
      <c r="B320" s="7" t="s">
        <v>523</v>
      </c>
      <c r="C320" s="8" t="s">
        <v>219</v>
      </c>
      <c r="D320" s="9">
        <v>0.105</v>
      </c>
      <c r="E320" s="64" t="s">
        <v>169</v>
      </c>
      <c r="F320" s="65" t="str">
        <f>IFERROR(VLOOKUP(E320,PROVEEDORES!$A$3:$G$42,2,0),"")</f>
        <v>CHOCOLATE</v>
      </c>
      <c r="G320" s="66" t="str">
        <f>IFERROR(VLOOKUP(E320,PROVEEDORES!$A$3:$G$42,4,0),"")</f>
        <v>danielgonzalez@neucober.cl</v>
      </c>
      <c r="H320" s="10" t="str">
        <f>IFERROR(VLOOKUP(E320,PROVEEDORES!$A$3:$G$42,5,0),"")</f>
        <v>56978895811</v>
      </c>
      <c r="I320" s="11">
        <v>14647</v>
      </c>
      <c r="J320" s="64" t="s">
        <v>180</v>
      </c>
      <c r="K320" s="65" t="str">
        <f>IFERROR(VLOOKUP(J320,PROVEEDORES!$A$3:$G$42,2,0),"")</f>
        <v>Chocolateria</v>
      </c>
      <c r="L320" s="66" t="str">
        <f>IFERROR(VLOOKUP(J320,PROVEEDORES!$A$3:$G$42,4,0),"")</f>
        <v>carolina@agourmet.cl</v>
      </c>
      <c r="M320" s="10" t="str">
        <f>IFERROR(VLOOKUP(J320,PROVEEDORES!$A$3:$G$42,5,0),"")</f>
        <v>56990220710</v>
      </c>
      <c r="N320" s="11">
        <v>5397</v>
      </c>
      <c r="O320" s="64" t="s">
        <v>105</v>
      </c>
      <c r="P320" s="65" t="str">
        <f>IFERROR(VLOOKUP(O320,PROVEEDORES!$A$3:$G$42,2,0),"")</f>
        <v>ESPECIES</v>
      </c>
      <c r="Q320" s="66" t="str">
        <f>IFERROR(VLOOKUP(O320,PROVEEDORES!$A$3:$G$42,4,0),"")</f>
        <v>chef@gourmetselect.cl,contabilidad@gourmetselect.cl,pedidos@gourmetselect.cl,info@gourmetselect.cl</v>
      </c>
      <c r="R320" s="10" t="str">
        <f>IFERROR(VLOOKUP(O320,PROVEEDORES!$A$3:$G$42,5,0),"")</f>
        <v>56944921093</v>
      </c>
      <c r="S320" s="11">
        <v>24765</v>
      </c>
      <c r="T320" s="12">
        <f t="shared" si="12"/>
        <v>14936.333333333334</v>
      </c>
      <c r="U320" s="13">
        <f t="shared" si="13"/>
        <v>16429.966666666667</v>
      </c>
    </row>
    <row r="321" spans="1:21" ht="15" customHeight="1" x14ac:dyDescent="0.35">
      <c r="A321" s="14" t="s">
        <v>170</v>
      </c>
      <c r="B321" s="15" t="s">
        <v>524</v>
      </c>
      <c r="C321" s="16" t="s">
        <v>219</v>
      </c>
      <c r="D321" s="17">
        <v>0.2545</v>
      </c>
      <c r="E321" s="67" t="s">
        <v>169</v>
      </c>
      <c r="F321" s="68" t="str">
        <f>IFERROR(VLOOKUP(E321,PROVEEDORES!$A$3:$G$42,2,0),"")</f>
        <v>CHOCOLATE</v>
      </c>
      <c r="G321" s="69" t="str">
        <f>IFERROR(VLOOKUP(E321,PROVEEDORES!$A$3:$G$42,4,0),"")</f>
        <v>danielgonzalez@neucober.cl</v>
      </c>
      <c r="H321" s="18" t="str">
        <f>IFERROR(VLOOKUP(E321,PROVEEDORES!$A$3:$G$42,5,0),"")</f>
        <v>56978895811</v>
      </c>
      <c r="I321" s="19">
        <v>21736</v>
      </c>
      <c r="J321" s="67" t="s">
        <v>180</v>
      </c>
      <c r="K321" s="68" t="str">
        <f>IFERROR(VLOOKUP(J321,PROVEEDORES!$A$3:$G$42,2,0),"")</f>
        <v>Chocolateria</v>
      </c>
      <c r="L321" s="69" t="str">
        <f>IFERROR(VLOOKUP(J321,PROVEEDORES!$A$3:$G$42,4,0),"")</f>
        <v>carolina@agourmet.cl</v>
      </c>
      <c r="M321" s="18" t="str">
        <f>IFERROR(VLOOKUP(J321,PROVEEDORES!$A$3:$G$42,5,0),"")</f>
        <v>56990220710</v>
      </c>
      <c r="N321" s="19">
        <v>7521</v>
      </c>
      <c r="O321" s="67" t="s">
        <v>105</v>
      </c>
      <c r="P321" s="68" t="str">
        <f>IFERROR(VLOOKUP(O321,PROVEEDORES!$A$3:$G$42,2,0),"")</f>
        <v>ESPECIES</v>
      </c>
      <c r="Q321" s="69" t="str">
        <f>IFERROR(VLOOKUP(O321,PROVEEDORES!$A$3:$G$42,4,0),"")</f>
        <v>chef@gourmetselect.cl,contabilidad@gourmetselect.cl,pedidos@gourmetselect.cl,info@gourmetselect.cl</v>
      </c>
      <c r="R321" s="18" t="str">
        <f>IFERROR(VLOOKUP(O321,PROVEEDORES!$A$3:$G$42,5,0),"")</f>
        <v>56944921093</v>
      </c>
      <c r="S321" s="19">
        <v>19106</v>
      </c>
      <c r="T321" s="20">
        <f t="shared" si="12"/>
        <v>16121</v>
      </c>
      <c r="U321" s="21">
        <f t="shared" si="13"/>
        <v>17733.100000000002</v>
      </c>
    </row>
    <row r="322" spans="1:21" ht="15" customHeight="1" x14ac:dyDescent="0.35">
      <c r="A322" s="6" t="s">
        <v>170</v>
      </c>
      <c r="B322" s="7" t="s">
        <v>525</v>
      </c>
      <c r="C322" s="8" t="s">
        <v>219</v>
      </c>
      <c r="D322" s="9">
        <v>0.42825000000000002</v>
      </c>
      <c r="E322" s="64" t="s">
        <v>169</v>
      </c>
      <c r="F322" s="65" t="str">
        <f>IFERROR(VLOOKUP(E322,PROVEEDORES!$A$3:$G$42,2,0),"")</f>
        <v>CHOCOLATE</v>
      </c>
      <c r="G322" s="66" t="str">
        <f>IFERROR(VLOOKUP(E322,PROVEEDORES!$A$3:$G$42,4,0),"")</f>
        <v>danielgonzalez@neucober.cl</v>
      </c>
      <c r="H322" s="10" t="str">
        <f>IFERROR(VLOOKUP(E322,PROVEEDORES!$A$3:$G$42,5,0),"")</f>
        <v>56978895811</v>
      </c>
      <c r="I322" s="11">
        <v>20197</v>
      </c>
      <c r="J322" s="64" t="s">
        <v>180</v>
      </c>
      <c r="K322" s="65" t="str">
        <f>IFERROR(VLOOKUP(J322,PROVEEDORES!$A$3:$G$42,2,0),"")</f>
        <v>Chocolateria</v>
      </c>
      <c r="L322" s="66" t="str">
        <f>IFERROR(VLOOKUP(J322,PROVEEDORES!$A$3:$G$42,4,0),"")</f>
        <v>carolina@agourmet.cl</v>
      </c>
      <c r="M322" s="10" t="str">
        <f>IFERROR(VLOOKUP(J322,PROVEEDORES!$A$3:$G$42,5,0),"")</f>
        <v>56990220710</v>
      </c>
      <c r="N322" s="11">
        <v>18985</v>
      </c>
      <c r="O322" s="64" t="s">
        <v>105</v>
      </c>
      <c r="P322" s="65" t="str">
        <f>IFERROR(VLOOKUP(O322,PROVEEDORES!$A$3:$G$42,2,0),"")</f>
        <v>ESPECIES</v>
      </c>
      <c r="Q322" s="66" t="str">
        <f>IFERROR(VLOOKUP(O322,PROVEEDORES!$A$3:$G$42,4,0),"")</f>
        <v>chef@gourmetselect.cl,contabilidad@gourmetselect.cl,pedidos@gourmetselect.cl,info@gourmetselect.cl</v>
      </c>
      <c r="R322" s="10" t="str">
        <f>IFERROR(VLOOKUP(O322,PROVEEDORES!$A$3:$G$42,5,0),"")</f>
        <v>56944921093</v>
      </c>
      <c r="S322" s="11">
        <v>16998</v>
      </c>
      <c r="T322" s="12">
        <f t="shared" si="12"/>
        <v>18726.666666666668</v>
      </c>
      <c r="U322" s="13">
        <f t="shared" si="13"/>
        <v>20599.333333333336</v>
      </c>
    </row>
    <row r="323" spans="1:21" ht="15" customHeight="1" x14ac:dyDescent="0.35">
      <c r="A323" s="14" t="s">
        <v>170</v>
      </c>
      <c r="B323" s="15" t="s">
        <v>526</v>
      </c>
      <c r="C323" s="16" t="s">
        <v>219</v>
      </c>
      <c r="D323" s="17">
        <v>0.73</v>
      </c>
      <c r="E323" s="67" t="s">
        <v>169</v>
      </c>
      <c r="F323" s="68" t="str">
        <f>IFERROR(VLOOKUP(E323,PROVEEDORES!$A$3:$G$42,2,0),"")</f>
        <v>CHOCOLATE</v>
      </c>
      <c r="G323" s="69" t="str">
        <f>IFERROR(VLOOKUP(E323,PROVEEDORES!$A$3:$G$42,4,0),"")</f>
        <v>danielgonzalez@neucober.cl</v>
      </c>
      <c r="H323" s="18" t="str">
        <f>IFERROR(VLOOKUP(E323,PROVEEDORES!$A$3:$G$42,5,0),"")</f>
        <v>56978895811</v>
      </c>
      <c r="I323" s="19">
        <v>14360</v>
      </c>
      <c r="J323" s="67" t="s">
        <v>180</v>
      </c>
      <c r="K323" s="68" t="str">
        <f>IFERROR(VLOOKUP(J323,PROVEEDORES!$A$3:$G$42,2,0),"")</f>
        <v>Chocolateria</v>
      </c>
      <c r="L323" s="69" t="str">
        <f>IFERROR(VLOOKUP(J323,PROVEEDORES!$A$3:$G$42,4,0),"")</f>
        <v>carolina@agourmet.cl</v>
      </c>
      <c r="M323" s="18" t="str">
        <f>IFERROR(VLOOKUP(J323,PROVEEDORES!$A$3:$G$42,5,0),"")</f>
        <v>56990220710</v>
      </c>
      <c r="N323" s="19">
        <v>8910</v>
      </c>
      <c r="O323" s="67" t="s">
        <v>105</v>
      </c>
      <c r="P323" s="68" t="str">
        <f>IFERROR(VLOOKUP(O323,PROVEEDORES!$A$3:$G$42,2,0),"")</f>
        <v>ESPECIES</v>
      </c>
      <c r="Q323" s="69" t="str">
        <f>IFERROR(VLOOKUP(O323,PROVEEDORES!$A$3:$G$42,4,0),"")</f>
        <v>chef@gourmetselect.cl,contabilidad@gourmetselect.cl,pedidos@gourmetselect.cl,info@gourmetselect.cl</v>
      </c>
      <c r="R323" s="18" t="str">
        <f>IFERROR(VLOOKUP(O323,PROVEEDORES!$A$3:$G$42,5,0),"")</f>
        <v>56944921093</v>
      </c>
      <c r="S323" s="19">
        <v>12243</v>
      </c>
      <c r="T323" s="20">
        <f t="shared" si="12"/>
        <v>11837.666666666666</v>
      </c>
      <c r="U323" s="21">
        <f t="shared" si="13"/>
        <v>13021.433333333334</v>
      </c>
    </row>
    <row r="324" spans="1:21" ht="15" customHeight="1" x14ac:dyDescent="0.35">
      <c r="A324" s="6" t="s">
        <v>170</v>
      </c>
      <c r="B324" s="7" t="s">
        <v>527</v>
      </c>
      <c r="C324" s="8" t="s">
        <v>219</v>
      </c>
      <c r="D324" s="9">
        <v>0.7</v>
      </c>
      <c r="E324" s="64" t="s">
        <v>169</v>
      </c>
      <c r="F324" s="65" t="str">
        <f>IFERROR(VLOOKUP(E324,PROVEEDORES!$A$3:$G$42,2,0),"")</f>
        <v>CHOCOLATE</v>
      </c>
      <c r="G324" s="66" t="str">
        <f>IFERROR(VLOOKUP(E324,PROVEEDORES!$A$3:$G$42,4,0),"")</f>
        <v>danielgonzalez@neucober.cl</v>
      </c>
      <c r="H324" s="10" t="str">
        <f>IFERROR(VLOOKUP(E324,PROVEEDORES!$A$3:$G$42,5,0),"")</f>
        <v>56978895811</v>
      </c>
      <c r="I324" s="11">
        <v>17918</v>
      </c>
      <c r="J324" s="64" t="s">
        <v>180</v>
      </c>
      <c r="K324" s="65" t="str">
        <f>IFERROR(VLOOKUP(J324,PROVEEDORES!$A$3:$G$42,2,0),"")</f>
        <v>Chocolateria</v>
      </c>
      <c r="L324" s="66" t="str">
        <f>IFERROR(VLOOKUP(J324,PROVEEDORES!$A$3:$G$42,4,0),"")</f>
        <v>carolina@agourmet.cl</v>
      </c>
      <c r="M324" s="10" t="str">
        <f>IFERROR(VLOOKUP(J324,PROVEEDORES!$A$3:$G$42,5,0),"")</f>
        <v>56990220710</v>
      </c>
      <c r="N324" s="11">
        <v>18563</v>
      </c>
      <c r="O324" s="64" t="s">
        <v>105</v>
      </c>
      <c r="P324" s="65" t="str">
        <f>IFERROR(VLOOKUP(O324,PROVEEDORES!$A$3:$G$42,2,0),"")</f>
        <v>ESPECIES</v>
      </c>
      <c r="Q324" s="66" t="str">
        <f>IFERROR(VLOOKUP(O324,PROVEEDORES!$A$3:$G$42,4,0),"")</f>
        <v>chef@gourmetselect.cl,contabilidad@gourmetselect.cl,pedidos@gourmetselect.cl,info@gourmetselect.cl</v>
      </c>
      <c r="R324" s="10" t="str">
        <f>IFERROR(VLOOKUP(O324,PROVEEDORES!$A$3:$G$42,5,0),"")</f>
        <v>56944921093</v>
      </c>
      <c r="S324" s="11">
        <v>31951</v>
      </c>
      <c r="T324" s="12">
        <f t="shared" si="12"/>
        <v>22810.666666666668</v>
      </c>
      <c r="U324" s="13">
        <f t="shared" si="13"/>
        <v>25091.733333333337</v>
      </c>
    </row>
    <row r="325" spans="1:21" ht="15" customHeight="1" x14ac:dyDescent="0.35">
      <c r="A325" s="14" t="s">
        <v>170</v>
      </c>
      <c r="B325" s="15" t="s">
        <v>528</v>
      </c>
      <c r="C325" s="16" t="s">
        <v>219</v>
      </c>
      <c r="D325" s="17">
        <v>0.1</v>
      </c>
      <c r="E325" s="67" t="s">
        <v>169</v>
      </c>
      <c r="F325" s="68" t="str">
        <f>IFERROR(VLOOKUP(E325,PROVEEDORES!$A$3:$G$42,2,0),"")</f>
        <v>CHOCOLATE</v>
      </c>
      <c r="G325" s="69" t="str">
        <f>IFERROR(VLOOKUP(E325,PROVEEDORES!$A$3:$G$42,4,0),"")</f>
        <v>danielgonzalez@neucober.cl</v>
      </c>
      <c r="H325" s="18" t="str">
        <f>IFERROR(VLOOKUP(E325,PROVEEDORES!$A$3:$G$42,5,0),"")</f>
        <v>56978895811</v>
      </c>
      <c r="I325" s="19">
        <v>20036</v>
      </c>
      <c r="J325" s="67" t="s">
        <v>180</v>
      </c>
      <c r="K325" s="68" t="str">
        <f>IFERROR(VLOOKUP(J325,PROVEEDORES!$A$3:$G$42,2,0),"")</f>
        <v>Chocolateria</v>
      </c>
      <c r="L325" s="69" t="str">
        <f>IFERROR(VLOOKUP(J325,PROVEEDORES!$A$3:$G$42,4,0),"")</f>
        <v>carolina@agourmet.cl</v>
      </c>
      <c r="M325" s="18" t="str">
        <f>IFERROR(VLOOKUP(J325,PROVEEDORES!$A$3:$G$42,5,0),"")</f>
        <v>56990220710</v>
      </c>
      <c r="N325" s="19">
        <v>34221</v>
      </c>
      <c r="O325" s="67" t="s">
        <v>105</v>
      </c>
      <c r="P325" s="68" t="str">
        <f>IFERROR(VLOOKUP(O325,PROVEEDORES!$A$3:$G$42,2,0),"")</f>
        <v>ESPECIES</v>
      </c>
      <c r="Q325" s="69" t="str">
        <f>IFERROR(VLOOKUP(O325,PROVEEDORES!$A$3:$G$42,4,0),"")</f>
        <v>chef@gourmetselect.cl,contabilidad@gourmetselect.cl,pedidos@gourmetselect.cl,info@gourmetselect.cl</v>
      </c>
      <c r="R325" s="18" t="str">
        <f>IFERROR(VLOOKUP(O325,PROVEEDORES!$A$3:$G$42,5,0),"")</f>
        <v>56944921093</v>
      </c>
      <c r="S325" s="19">
        <v>9545</v>
      </c>
      <c r="T325" s="20">
        <f t="shared" si="12"/>
        <v>21267.333333333332</v>
      </c>
      <c r="U325" s="21">
        <f t="shared" si="13"/>
        <v>23394.066666666666</v>
      </c>
    </row>
    <row r="326" spans="1:21" ht="15" customHeight="1" x14ac:dyDescent="0.35">
      <c r="A326" s="6" t="s">
        <v>170</v>
      </c>
      <c r="B326" s="7" t="s">
        <v>529</v>
      </c>
      <c r="C326" s="8" t="s">
        <v>219</v>
      </c>
      <c r="D326" s="9">
        <v>0.05</v>
      </c>
      <c r="E326" s="64" t="s">
        <v>169</v>
      </c>
      <c r="F326" s="65" t="str">
        <f>IFERROR(VLOOKUP(E326,PROVEEDORES!$A$3:$G$42,2,0),"")</f>
        <v>CHOCOLATE</v>
      </c>
      <c r="G326" s="66" t="str">
        <f>IFERROR(VLOOKUP(E326,PROVEEDORES!$A$3:$G$42,4,0),"")</f>
        <v>danielgonzalez@neucober.cl</v>
      </c>
      <c r="H326" s="10" t="str">
        <f>IFERROR(VLOOKUP(E326,PROVEEDORES!$A$3:$G$42,5,0),"")</f>
        <v>56978895811</v>
      </c>
      <c r="I326" s="11">
        <v>16347</v>
      </c>
      <c r="J326" s="64" t="s">
        <v>180</v>
      </c>
      <c r="K326" s="65" t="str">
        <f>IFERROR(VLOOKUP(J326,PROVEEDORES!$A$3:$G$42,2,0),"")</f>
        <v>Chocolateria</v>
      </c>
      <c r="L326" s="66" t="str">
        <f>IFERROR(VLOOKUP(J326,PROVEEDORES!$A$3:$G$42,4,0),"")</f>
        <v>carolina@agourmet.cl</v>
      </c>
      <c r="M326" s="10" t="str">
        <f>IFERROR(VLOOKUP(J326,PROVEEDORES!$A$3:$G$42,5,0),"")</f>
        <v>56990220710</v>
      </c>
      <c r="N326" s="11">
        <v>8648</v>
      </c>
      <c r="O326" s="64" t="s">
        <v>105</v>
      </c>
      <c r="P326" s="65" t="str">
        <f>IFERROR(VLOOKUP(O326,PROVEEDORES!$A$3:$G$42,2,0),"")</f>
        <v>ESPECIES</v>
      </c>
      <c r="Q326" s="66" t="str">
        <f>IFERROR(VLOOKUP(O326,PROVEEDORES!$A$3:$G$42,4,0),"")</f>
        <v>chef@gourmetselect.cl,contabilidad@gourmetselect.cl,pedidos@gourmetselect.cl,info@gourmetselect.cl</v>
      </c>
      <c r="R326" s="10" t="str">
        <f>IFERROR(VLOOKUP(O326,PROVEEDORES!$A$3:$G$42,5,0),"")</f>
        <v>56944921093</v>
      </c>
      <c r="S326" s="11">
        <v>12679</v>
      </c>
      <c r="T326" s="12">
        <f t="shared" si="12"/>
        <v>12558</v>
      </c>
      <c r="U326" s="13">
        <f t="shared" si="13"/>
        <v>13813.800000000001</v>
      </c>
    </row>
    <row r="327" spans="1:21" ht="15" customHeight="1" x14ac:dyDescent="0.35">
      <c r="A327" s="14" t="s">
        <v>170</v>
      </c>
      <c r="B327" s="15" t="s">
        <v>530</v>
      </c>
      <c r="C327" s="16" t="s">
        <v>219</v>
      </c>
      <c r="D327" s="17">
        <v>2.0379999999999998</v>
      </c>
      <c r="E327" s="67" t="s">
        <v>169</v>
      </c>
      <c r="F327" s="68" t="str">
        <f>IFERROR(VLOOKUP(E327,PROVEEDORES!$A$3:$G$42,2,0),"")</f>
        <v>CHOCOLATE</v>
      </c>
      <c r="G327" s="69" t="str">
        <f>IFERROR(VLOOKUP(E327,PROVEEDORES!$A$3:$G$42,4,0),"")</f>
        <v>danielgonzalez@neucober.cl</v>
      </c>
      <c r="H327" s="18" t="str">
        <f>IFERROR(VLOOKUP(E327,PROVEEDORES!$A$3:$G$42,5,0),"")</f>
        <v>56978895811</v>
      </c>
      <c r="I327" s="19">
        <v>6479</v>
      </c>
      <c r="J327" s="67" t="s">
        <v>180</v>
      </c>
      <c r="K327" s="68" t="str">
        <f>IFERROR(VLOOKUP(J327,PROVEEDORES!$A$3:$G$42,2,0),"")</f>
        <v>Chocolateria</v>
      </c>
      <c r="L327" s="69" t="str">
        <f>IFERROR(VLOOKUP(J327,PROVEEDORES!$A$3:$G$42,4,0),"")</f>
        <v>carolina@agourmet.cl</v>
      </c>
      <c r="M327" s="18" t="str">
        <f>IFERROR(VLOOKUP(J327,PROVEEDORES!$A$3:$G$42,5,0),"")</f>
        <v>56990220710</v>
      </c>
      <c r="N327" s="19">
        <v>4244</v>
      </c>
      <c r="O327" s="67" t="s">
        <v>105</v>
      </c>
      <c r="P327" s="68" t="str">
        <f>IFERROR(VLOOKUP(O327,PROVEEDORES!$A$3:$G$42,2,0),"")</f>
        <v>ESPECIES</v>
      </c>
      <c r="Q327" s="69" t="str">
        <f>IFERROR(VLOOKUP(O327,PROVEEDORES!$A$3:$G$42,4,0),"")</f>
        <v>chef@gourmetselect.cl,contabilidad@gourmetselect.cl,pedidos@gourmetselect.cl,info@gourmetselect.cl</v>
      </c>
      <c r="R327" s="18" t="str">
        <f>IFERROR(VLOOKUP(O327,PROVEEDORES!$A$3:$G$42,5,0),"")</f>
        <v>56944921093</v>
      </c>
      <c r="S327" s="19">
        <v>1134</v>
      </c>
      <c r="T327" s="20">
        <f t="shared" si="12"/>
        <v>3952.3333333333335</v>
      </c>
      <c r="U327" s="21">
        <f t="shared" si="13"/>
        <v>4347.5666666666675</v>
      </c>
    </row>
    <row r="328" spans="1:21" ht="15" customHeight="1" x14ac:dyDescent="0.35">
      <c r="A328" s="6" t="s">
        <v>170</v>
      </c>
      <c r="B328" s="7" t="s">
        <v>531</v>
      </c>
      <c r="C328" s="8" t="s">
        <v>219</v>
      </c>
      <c r="D328" s="9">
        <v>0.81330000000000002</v>
      </c>
      <c r="E328" s="64" t="s">
        <v>169</v>
      </c>
      <c r="F328" s="65" t="str">
        <f>IFERROR(VLOOKUP(E328,PROVEEDORES!$A$3:$G$42,2,0),"")</f>
        <v>CHOCOLATE</v>
      </c>
      <c r="G328" s="66" t="str">
        <f>IFERROR(VLOOKUP(E328,PROVEEDORES!$A$3:$G$42,4,0),"")</f>
        <v>danielgonzalez@neucober.cl</v>
      </c>
      <c r="H328" s="10" t="str">
        <f>IFERROR(VLOOKUP(E328,PROVEEDORES!$A$3:$G$42,5,0),"")</f>
        <v>56978895811</v>
      </c>
      <c r="I328" s="11">
        <v>5521</v>
      </c>
      <c r="J328" s="64" t="s">
        <v>180</v>
      </c>
      <c r="K328" s="65" t="str">
        <f>IFERROR(VLOOKUP(J328,PROVEEDORES!$A$3:$G$42,2,0),"")</f>
        <v>Chocolateria</v>
      </c>
      <c r="L328" s="66" t="str">
        <f>IFERROR(VLOOKUP(J328,PROVEEDORES!$A$3:$G$42,4,0),"")</f>
        <v>carolina@agourmet.cl</v>
      </c>
      <c r="M328" s="10" t="str">
        <f>IFERROR(VLOOKUP(J328,PROVEEDORES!$A$3:$G$42,5,0),"")</f>
        <v>56990220710</v>
      </c>
      <c r="N328" s="11">
        <v>4511</v>
      </c>
      <c r="O328" s="64" t="s">
        <v>105</v>
      </c>
      <c r="P328" s="65" t="str">
        <f>IFERROR(VLOOKUP(O328,PROVEEDORES!$A$3:$G$42,2,0),"")</f>
        <v>ESPECIES</v>
      </c>
      <c r="Q328" s="66" t="str">
        <f>IFERROR(VLOOKUP(O328,PROVEEDORES!$A$3:$G$42,4,0),"")</f>
        <v>chef@gourmetselect.cl,contabilidad@gourmetselect.cl,pedidos@gourmetselect.cl,info@gourmetselect.cl</v>
      </c>
      <c r="R328" s="10" t="str">
        <f>IFERROR(VLOOKUP(O328,PROVEEDORES!$A$3:$G$42,5,0),"")</f>
        <v>56944921093</v>
      </c>
      <c r="S328" s="11">
        <v>5485</v>
      </c>
      <c r="T328" s="12">
        <f t="shared" si="12"/>
        <v>5172.333333333333</v>
      </c>
      <c r="U328" s="13">
        <f t="shared" si="13"/>
        <v>5689.5666666666666</v>
      </c>
    </row>
    <row r="329" spans="1:21" ht="15" customHeight="1" x14ac:dyDescent="0.35">
      <c r="A329" s="14" t="s">
        <v>170</v>
      </c>
      <c r="B329" s="15" t="s">
        <v>532</v>
      </c>
      <c r="C329" s="16" t="s">
        <v>219</v>
      </c>
      <c r="D329" s="17">
        <v>0.35</v>
      </c>
      <c r="E329" s="67" t="s">
        <v>169</v>
      </c>
      <c r="F329" s="68" t="str">
        <f>IFERROR(VLOOKUP(E329,PROVEEDORES!$A$3:$G$42,2,0),"")</f>
        <v>CHOCOLATE</v>
      </c>
      <c r="G329" s="69" t="str">
        <f>IFERROR(VLOOKUP(E329,PROVEEDORES!$A$3:$G$42,4,0),"")</f>
        <v>danielgonzalez@neucober.cl</v>
      </c>
      <c r="H329" s="18" t="str">
        <f>IFERROR(VLOOKUP(E329,PROVEEDORES!$A$3:$G$42,5,0),"")</f>
        <v>56978895811</v>
      </c>
      <c r="I329" s="19">
        <v>6788</v>
      </c>
      <c r="J329" s="67" t="s">
        <v>180</v>
      </c>
      <c r="K329" s="68" t="str">
        <f>IFERROR(VLOOKUP(J329,PROVEEDORES!$A$3:$G$42,2,0),"")</f>
        <v>Chocolateria</v>
      </c>
      <c r="L329" s="69" t="str">
        <f>IFERROR(VLOOKUP(J329,PROVEEDORES!$A$3:$G$42,4,0),"")</f>
        <v>carolina@agourmet.cl</v>
      </c>
      <c r="M329" s="18" t="str">
        <f>IFERROR(VLOOKUP(J329,PROVEEDORES!$A$3:$G$42,5,0),"")</f>
        <v>56990220710</v>
      </c>
      <c r="N329" s="19">
        <v>4752</v>
      </c>
      <c r="O329" s="67" t="s">
        <v>105</v>
      </c>
      <c r="P329" s="68" t="str">
        <f>IFERROR(VLOOKUP(O329,PROVEEDORES!$A$3:$G$42,2,0),"")</f>
        <v>ESPECIES</v>
      </c>
      <c r="Q329" s="69" t="str">
        <f>IFERROR(VLOOKUP(O329,PROVEEDORES!$A$3:$G$42,4,0),"")</f>
        <v>chef@gourmetselect.cl,contabilidad@gourmetselect.cl,pedidos@gourmetselect.cl,info@gourmetselect.cl</v>
      </c>
      <c r="R329" s="18" t="str">
        <f>IFERROR(VLOOKUP(O329,PROVEEDORES!$A$3:$G$42,5,0),"")</f>
        <v>56944921093</v>
      </c>
      <c r="S329" s="19">
        <v>13448</v>
      </c>
      <c r="T329" s="20">
        <f t="shared" si="12"/>
        <v>8329.3333333333339</v>
      </c>
      <c r="U329" s="21">
        <f t="shared" si="13"/>
        <v>9162.2666666666682</v>
      </c>
    </row>
    <row r="330" spans="1:21" ht="15" customHeight="1" x14ac:dyDescent="0.35">
      <c r="A330" s="6" t="s">
        <v>170</v>
      </c>
      <c r="B330" s="7" t="s">
        <v>533</v>
      </c>
      <c r="C330" s="8" t="s">
        <v>219</v>
      </c>
      <c r="D330" s="9">
        <v>0.08</v>
      </c>
      <c r="E330" s="64" t="s">
        <v>169</v>
      </c>
      <c r="F330" s="65" t="str">
        <f>IFERROR(VLOOKUP(E330,PROVEEDORES!$A$3:$G$42,2,0),"")</f>
        <v>CHOCOLATE</v>
      </c>
      <c r="G330" s="66" t="str">
        <f>IFERROR(VLOOKUP(E330,PROVEEDORES!$A$3:$G$42,4,0),"")</f>
        <v>danielgonzalez@neucober.cl</v>
      </c>
      <c r="H330" s="10" t="str">
        <f>IFERROR(VLOOKUP(E330,PROVEEDORES!$A$3:$G$42,5,0),"")</f>
        <v>56978895811</v>
      </c>
      <c r="I330" s="11">
        <v>6695</v>
      </c>
      <c r="J330" s="64" t="s">
        <v>180</v>
      </c>
      <c r="K330" s="65" t="str">
        <f>IFERROR(VLOOKUP(J330,PROVEEDORES!$A$3:$G$42,2,0),"")</f>
        <v>Chocolateria</v>
      </c>
      <c r="L330" s="66" t="str">
        <f>IFERROR(VLOOKUP(J330,PROVEEDORES!$A$3:$G$42,4,0),"")</f>
        <v>carolina@agourmet.cl</v>
      </c>
      <c r="M330" s="10" t="str">
        <f>IFERROR(VLOOKUP(J330,PROVEEDORES!$A$3:$G$42,5,0),"")</f>
        <v>56990220710</v>
      </c>
      <c r="N330" s="11">
        <v>9607</v>
      </c>
      <c r="O330" s="64" t="s">
        <v>105</v>
      </c>
      <c r="P330" s="65" t="str">
        <f>IFERROR(VLOOKUP(O330,PROVEEDORES!$A$3:$G$42,2,0),"")</f>
        <v>ESPECIES</v>
      </c>
      <c r="Q330" s="66" t="str">
        <f>IFERROR(VLOOKUP(O330,PROVEEDORES!$A$3:$G$42,4,0),"")</f>
        <v>chef@gourmetselect.cl,contabilidad@gourmetselect.cl,pedidos@gourmetselect.cl,info@gourmetselect.cl</v>
      </c>
      <c r="R330" s="10" t="str">
        <f>IFERROR(VLOOKUP(O330,PROVEEDORES!$A$3:$G$42,5,0),"")</f>
        <v>56944921093</v>
      </c>
      <c r="S330" s="11">
        <v>303</v>
      </c>
      <c r="T330" s="12">
        <f t="shared" si="12"/>
        <v>5535</v>
      </c>
      <c r="U330" s="13">
        <f t="shared" si="13"/>
        <v>6088.5000000000009</v>
      </c>
    </row>
    <row r="331" spans="1:21" ht="15" customHeight="1" x14ac:dyDescent="0.35">
      <c r="A331" s="14" t="s">
        <v>170</v>
      </c>
      <c r="B331" s="15" t="s">
        <v>534</v>
      </c>
      <c r="C331" s="16" t="s">
        <v>219</v>
      </c>
      <c r="D331" s="17">
        <v>1.6249999999999999E-3</v>
      </c>
      <c r="E331" s="67" t="s">
        <v>169</v>
      </c>
      <c r="F331" s="68" t="str">
        <f>IFERROR(VLOOKUP(E331,PROVEEDORES!$A$3:$G$42,2,0),"")</f>
        <v>CHOCOLATE</v>
      </c>
      <c r="G331" s="69" t="str">
        <f>IFERROR(VLOOKUP(E331,PROVEEDORES!$A$3:$G$42,4,0),"")</f>
        <v>danielgonzalez@neucober.cl</v>
      </c>
      <c r="H331" s="18" t="str">
        <f>IFERROR(VLOOKUP(E331,PROVEEDORES!$A$3:$G$42,5,0),"")</f>
        <v>56978895811</v>
      </c>
      <c r="I331" s="19">
        <v>22865</v>
      </c>
      <c r="J331" s="67" t="s">
        <v>180</v>
      </c>
      <c r="K331" s="68" t="str">
        <f>IFERROR(VLOOKUP(J331,PROVEEDORES!$A$3:$G$42,2,0),"")</f>
        <v>Chocolateria</v>
      </c>
      <c r="L331" s="69" t="str">
        <f>IFERROR(VLOOKUP(J331,PROVEEDORES!$A$3:$G$42,4,0),"")</f>
        <v>carolina@agourmet.cl</v>
      </c>
      <c r="M331" s="18" t="str">
        <f>IFERROR(VLOOKUP(J331,PROVEEDORES!$A$3:$G$42,5,0),"")</f>
        <v>56990220710</v>
      </c>
      <c r="N331" s="19">
        <v>39774</v>
      </c>
      <c r="O331" s="67" t="s">
        <v>105</v>
      </c>
      <c r="P331" s="68" t="str">
        <f>IFERROR(VLOOKUP(O331,PROVEEDORES!$A$3:$G$42,2,0),"")</f>
        <v>ESPECIES</v>
      </c>
      <c r="Q331" s="69" t="str">
        <f>IFERROR(VLOOKUP(O331,PROVEEDORES!$A$3:$G$42,4,0),"")</f>
        <v>chef@gourmetselect.cl,contabilidad@gourmetselect.cl,pedidos@gourmetselect.cl,info@gourmetselect.cl</v>
      </c>
      <c r="R331" s="18" t="str">
        <f>IFERROR(VLOOKUP(O331,PROVEEDORES!$A$3:$G$42,5,0),"")</f>
        <v>56944921093</v>
      </c>
      <c r="S331" s="19">
        <v>25531</v>
      </c>
      <c r="T331" s="20">
        <f t="shared" si="12"/>
        <v>29390</v>
      </c>
      <c r="U331" s="21">
        <f t="shared" si="13"/>
        <v>32329.000000000004</v>
      </c>
    </row>
    <row r="332" spans="1:21" ht="15" customHeight="1" x14ac:dyDescent="0.35">
      <c r="A332" s="6" t="s">
        <v>170</v>
      </c>
      <c r="B332" s="7" t="s">
        <v>535</v>
      </c>
      <c r="C332" s="8" t="s">
        <v>219</v>
      </c>
      <c r="D332" s="9">
        <v>0.215</v>
      </c>
      <c r="E332" s="64" t="s">
        <v>169</v>
      </c>
      <c r="F332" s="65" t="str">
        <f>IFERROR(VLOOKUP(E332,PROVEEDORES!$A$3:$G$42,2,0),"")</f>
        <v>CHOCOLATE</v>
      </c>
      <c r="G332" s="66" t="str">
        <f>IFERROR(VLOOKUP(E332,PROVEEDORES!$A$3:$G$42,4,0),"")</f>
        <v>danielgonzalez@neucober.cl</v>
      </c>
      <c r="H332" s="10" t="str">
        <f>IFERROR(VLOOKUP(E332,PROVEEDORES!$A$3:$G$42,5,0),"")</f>
        <v>56978895811</v>
      </c>
      <c r="I332" s="11">
        <v>34998</v>
      </c>
      <c r="J332" s="64" t="s">
        <v>180</v>
      </c>
      <c r="K332" s="65" t="str">
        <f>IFERROR(VLOOKUP(J332,PROVEEDORES!$A$3:$G$42,2,0),"")</f>
        <v>Chocolateria</v>
      </c>
      <c r="L332" s="66" t="str">
        <f>IFERROR(VLOOKUP(J332,PROVEEDORES!$A$3:$G$42,4,0),"")</f>
        <v>carolina@agourmet.cl</v>
      </c>
      <c r="M332" s="10" t="str">
        <f>IFERROR(VLOOKUP(J332,PROVEEDORES!$A$3:$G$42,5,0),"")</f>
        <v>56990220710</v>
      </c>
      <c r="N332" s="11">
        <v>15259</v>
      </c>
      <c r="O332" s="64" t="s">
        <v>105</v>
      </c>
      <c r="P332" s="65" t="str">
        <f>IFERROR(VLOOKUP(O332,PROVEEDORES!$A$3:$G$42,2,0),"")</f>
        <v>ESPECIES</v>
      </c>
      <c r="Q332" s="66" t="str">
        <f>IFERROR(VLOOKUP(O332,PROVEEDORES!$A$3:$G$42,4,0),"")</f>
        <v>chef@gourmetselect.cl,contabilidad@gourmetselect.cl,pedidos@gourmetselect.cl,info@gourmetselect.cl</v>
      </c>
      <c r="R332" s="10" t="str">
        <f>IFERROR(VLOOKUP(O332,PROVEEDORES!$A$3:$G$42,5,0),"")</f>
        <v>56944921093</v>
      </c>
      <c r="S332" s="11">
        <v>37154</v>
      </c>
      <c r="T332" s="12">
        <f t="shared" si="12"/>
        <v>29137</v>
      </c>
      <c r="U332" s="13">
        <f t="shared" si="13"/>
        <v>32050.700000000004</v>
      </c>
    </row>
    <row r="333" spans="1:21" ht="15" customHeight="1" x14ac:dyDescent="0.35">
      <c r="A333" s="14" t="s">
        <v>170</v>
      </c>
      <c r="B333" s="15" t="s">
        <v>536</v>
      </c>
      <c r="C333" s="16" t="s">
        <v>239</v>
      </c>
      <c r="D333" s="17">
        <v>0.13</v>
      </c>
      <c r="E333" s="67" t="s">
        <v>169</v>
      </c>
      <c r="F333" s="68" t="str">
        <f>IFERROR(VLOOKUP(E333,PROVEEDORES!$A$3:$G$42,2,0),"")</f>
        <v>CHOCOLATE</v>
      </c>
      <c r="G333" s="69" t="str">
        <f>IFERROR(VLOOKUP(E333,PROVEEDORES!$A$3:$G$42,4,0),"")</f>
        <v>danielgonzalez@neucober.cl</v>
      </c>
      <c r="H333" s="18" t="str">
        <f>IFERROR(VLOOKUP(E333,PROVEEDORES!$A$3:$G$42,5,0),"")</f>
        <v>56978895811</v>
      </c>
      <c r="I333" s="19">
        <v>29160</v>
      </c>
      <c r="J333" s="67" t="s">
        <v>180</v>
      </c>
      <c r="K333" s="68" t="str">
        <f>IFERROR(VLOOKUP(J333,PROVEEDORES!$A$3:$G$42,2,0),"")</f>
        <v>Chocolateria</v>
      </c>
      <c r="L333" s="69" t="str">
        <f>IFERROR(VLOOKUP(J333,PROVEEDORES!$A$3:$G$42,4,0),"")</f>
        <v>carolina@agourmet.cl</v>
      </c>
      <c r="M333" s="18" t="str">
        <f>IFERROR(VLOOKUP(J333,PROVEEDORES!$A$3:$G$42,5,0),"")</f>
        <v>56990220710</v>
      </c>
      <c r="N333" s="19">
        <v>23255</v>
      </c>
      <c r="O333" s="67" t="s">
        <v>105</v>
      </c>
      <c r="P333" s="68" t="str">
        <f>IFERROR(VLOOKUP(O333,PROVEEDORES!$A$3:$G$42,2,0),"")</f>
        <v>ESPECIES</v>
      </c>
      <c r="Q333" s="69" t="str">
        <f>IFERROR(VLOOKUP(O333,PROVEEDORES!$A$3:$G$42,4,0),"")</f>
        <v>chef@gourmetselect.cl,contabilidad@gourmetselect.cl,pedidos@gourmetselect.cl,info@gourmetselect.cl</v>
      </c>
      <c r="R333" s="18" t="str">
        <f>IFERROR(VLOOKUP(O333,PROVEEDORES!$A$3:$G$42,5,0),"")</f>
        <v>56944921093</v>
      </c>
      <c r="S333" s="19">
        <v>56745</v>
      </c>
      <c r="T333" s="20">
        <f t="shared" si="12"/>
        <v>36386.666666666664</v>
      </c>
      <c r="U333" s="21">
        <f t="shared" si="13"/>
        <v>40025.333333333336</v>
      </c>
    </row>
    <row r="334" spans="1:21" ht="15" customHeight="1" x14ac:dyDescent="0.35">
      <c r="A334" s="6" t="s">
        <v>170</v>
      </c>
      <c r="B334" s="7" t="s">
        <v>537</v>
      </c>
      <c r="C334" s="8" t="s">
        <v>219</v>
      </c>
      <c r="D334" s="9">
        <v>5.0000000000000001E-3</v>
      </c>
      <c r="E334" s="64" t="s">
        <v>169</v>
      </c>
      <c r="F334" s="65" t="str">
        <f>IFERROR(VLOOKUP(E334,PROVEEDORES!$A$3:$G$42,2,0),"")</f>
        <v>CHOCOLATE</v>
      </c>
      <c r="G334" s="66" t="str">
        <f>IFERROR(VLOOKUP(E334,PROVEEDORES!$A$3:$G$42,4,0),"")</f>
        <v>danielgonzalez@neucober.cl</v>
      </c>
      <c r="H334" s="10" t="str">
        <f>IFERROR(VLOOKUP(E334,PROVEEDORES!$A$3:$G$42,5,0),"")</f>
        <v>56978895811</v>
      </c>
      <c r="I334" s="11">
        <v>6094</v>
      </c>
      <c r="J334" s="64" t="s">
        <v>180</v>
      </c>
      <c r="K334" s="65" t="str">
        <f>IFERROR(VLOOKUP(J334,PROVEEDORES!$A$3:$G$42,2,0),"")</f>
        <v>Chocolateria</v>
      </c>
      <c r="L334" s="66" t="str">
        <f>IFERROR(VLOOKUP(J334,PROVEEDORES!$A$3:$G$42,4,0),"")</f>
        <v>carolina@agourmet.cl</v>
      </c>
      <c r="M334" s="10" t="str">
        <f>IFERROR(VLOOKUP(J334,PROVEEDORES!$A$3:$G$42,5,0),"")</f>
        <v>56990220710</v>
      </c>
      <c r="N334" s="11">
        <v>9604</v>
      </c>
      <c r="O334" s="64" t="s">
        <v>105</v>
      </c>
      <c r="P334" s="65" t="str">
        <f>IFERROR(VLOOKUP(O334,PROVEEDORES!$A$3:$G$42,2,0),"")</f>
        <v>ESPECIES</v>
      </c>
      <c r="Q334" s="66" t="str">
        <f>IFERROR(VLOOKUP(O334,PROVEEDORES!$A$3:$G$42,4,0),"")</f>
        <v>chef@gourmetselect.cl,contabilidad@gourmetselect.cl,pedidos@gourmetselect.cl,info@gourmetselect.cl</v>
      </c>
      <c r="R334" s="10" t="str">
        <f>IFERROR(VLOOKUP(O334,PROVEEDORES!$A$3:$G$42,5,0),"")</f>
        <v>56944921093</v>
      </c>
      <c r="S334" s="11">
        <v>3748</v>
      </c>
      <c r="T334" s="12">
        <f t="shared" si="12"/>
        <v>6482</v>
      </c>
      <c r="U334" s="13">
        <f t="shared" si="13"/>
        <v>7130.2000000000007</v>
      </c>
    </row>
    <row r="335" spans="1:21" ht="12" customHeight="1" x14ac:dyDescent="0.35">
      <c r="A335" s="59" t="s">
        <v>538</v>
      </c>
      <c r="B335" s="59"/>
      <c r="C335" s="59"/>
      <c r="D335" s="59"/>
      <c r="E335" s="59"/>
      <c r="F335" s="59"/>
      <c r="G335" s="59"/>
      <c r="H335" s="59"/>
      <c r="I335" s="59"/>
      <c r="J335" s="59"/>
      <c r="K335" s="59"/>
      <c r="L335" s="59"/>
      <c r="M335" s="59"/>
      <c r="N335" s="59"/>
      <c r="O335" s="59"/>
      <c r="P335" s="59"/>
      <c r="Q335" s="59"/>
      <c r="R335" s="59"/>
      <c r="S335" s="59"/>
      <c r="T335" s="59"/>
      <c r="U335" s="59"/>
    </row>
    <row r="336" spans="1:21" ht="15" customHeight="1" x14ac:dyDescent="0.35">
      <c r="A336" s="6" t="s">
        <v>538</v>
      </c>
      <c r="B336" s="7" t="s">
        <v>539</v>
      </c>
      <c r="C336" s="8" t="s">
        <v>239</v>
      </c>
      <c r="D336" s="9">
        <v>0.11</v>
      </c>
      <c r="E336" s="64" t="s">
        <v>35</v>
      </c>
      <c r="F336" s="65" t="str">
        <f>IFERROR(VLOOKUP(E336,PROVEEDORES!$A$3:$G$42,2,0),"")</f>
        <v>ABARROTES</v>
      </c>
      <c r="G336" s="66" t="str">
        <f>IFERROR(VLOOKUP(E336,PROVEEDORES!$A$3:$G$42,4,0),"")</f>
        <v>pagos@bidfood.cl,pmolina@bidfood.cl</v>
      </c>
      <c r="H336" s="10" t="str">
        <f>IFERROR(VLOOKUP(E336,PROVEEDORES!$A$3:$G$42,5,0),"")</f>
        <v>56225994444 - 56998038459</v>
      </c>
      <c r="I336" s="11">
        <v>3800</v>
      </c>
      <c r="J336" s="64" t="s">
        <v>105</v>
      </c>
      <c r="K336" s="65" t="str">
        <f>IFERROR(VLOOKUP(J336,PROVEEDORES!$A$3:$G$42,2,0),"")</f>
        <v>ESPECIES</v>
      </c>
      <c r="L336" s="66" t="str">
        <f>IFERROR(VLOOKUP(J336,PROVEEDORES!$A$3:$G$42,4,0),"")</f>
        <v>chef@gourmetselect.cl,contabilidad@gourmetselect.cl,pedidos@gourmetselect.cl,info@gourmetselect.cl</v>
      </c>
      <c r="M336" s="10" t="str">
        <f>IFERROR(VLOOKUP(J336,PROVEEDORES!$A$3:$G$42,5,0),"")</f>
        <v>56944921093</v>
      </c>
      <c r="N336" s="11">
        <v>1771</v>
      </c>
      <c r="O336" s="64" t="s">
        <v>41</v>
      </c>
      <c r="P336" s="65" t="str">
        <f>IFERROR(VLOOKUP(O336,PROVEEDORES!$A$3:$G$42,2,0),"")</f>
        <v>FRUTAS Y VERDURAS</v>
      </c>
      <c r="Q336" s="66" t="str">
        <f>IFERROR(VLOOKUP(O336,PROVEEDORES!$A$3:$G$42,4,0),"")</f>
        <v>caseritaencasa@gmail.com</v>
      </c>
      <c r="R336" s="10" t="str">
        <f>IFERROR(VLOOKUP(O336,PROVEEDORES!$A$3:$G$42,5,0),"")</f>
        <v>56952069703</v>
      </c>
      <c r="S336" s="11">
        <v>7537</v>
      </c>
      <c r="T336" s="12">
        <f t="shared" ref="T336:T348" si="14">AVERAGE(I336,N336,S336)</f>
        <v>4369.333333333333</v>
      </c>
      <c r="U336" s="13">
        <f t="shared" ref="U336:U348" si="15">T336*(1+$B$2)</f>
        <v>4806.2666666666664</v>
      </c>
    </row>
    <row r="337" spans="1:21" ht="15" customHeight="1" x14ac:dyDescent="0.35">
      <c r="A337" s="14" t="s">
        <v>538</v>
      </c>
      <c r="B337" s="15" t="s">
        <v>540</v>
      </c>
      <c r="C337" s="16" t="s">
        <v>239</v>
      </c>
      <c r="D337" s="17">
        <v>0.2</v>
      </c>
      <c r="E337" s="67" t="s">
        <v>35</v>
      </c>
      <c r="F337" s="68" t="str">
        <f>IFERROR(VLOOKUP(E337,PROVEEDORES!$A$3:$G$42,2,0),"")</f>
        <v>ABARROTES</v>
      </c>
      <c r="G337" s="69" t="str">
        <f>IFERROR(VLOOKUP(E337,PROVEEDORES!$A$3:$G$42,4,0),"")</f>
        <v>pagos@bidfood.cl,pmolina@bidfood.cl</v>
      </c>
      <c r="H337" s="18" t="str">
        <f>IFERROR(VLOOKUP(E337,PROVEEDORES!$A$3:$G$42,5,0),"")</f>
        <v>56225994444 - 56998038459</v>
      </c>
      <c r="I337" s="19">
        <v>3800</v>
      </c>
      <c r="J337" s="67" t="s">
        <v>105</v>
      </c>
      <c r="K337" s="68" t="str">
        <f>IFERROR(VLOOKUP(J337,PROVEEDORES!$A$3:$G$42,2,0),"")</f>
        <v>ESPECIES</v>
      </c>
      <c r="L337" s="69" t="str">
        <f>IFERROR(VLOOKUP(J337,PROVEEDORES!$A$3:$G$42,4,0),"")</f>
        <v>chef@gourmetselect.cl,contabilidad@gourmetselect.cl,pedidos@gourmetselect.cl,info@gourmetselect.cl</v>
      </c>
      <c r="M337" s="18" t="str">
        <f>IFERROR(VLOOKUP(J337,PROVEEDORES!$A$3:$G$42,5,0),"")</f>
        <v>56944921093</v>
      </c>
      <c r="N337" s="19">
        <v>1224</v>
      </c>
      <c r="O337" s="67" t="s">
        <v>41</v>
      </c>
      <c r="P337" s="68" t="str">
        <f>IFERROR(VLOOKUP(O337,PROVEEDORES!$A$3:$G$42,2,0),"")</f>
        <v>FRUTAS Y VERDURAS</v>
      </c>
      <c r="Q337" s="69" t="str">
        <f>IFERROR(VLOOKUP(O337,PROVEEDORES!$A$3:$G$42,4,0),"")</f>
        <v>caseritaencasa@gmail.com</v>
      </c>
      <c r="R337" s="18" t="str">
        <f>IFERROR(VLOOKUP(O337,PROVEEDORES!$A$3:$G$42,5,0),"")</f>
        <v>56952069703</v>
      </c>
      <c r="S337" s="19">
        <v>5614</v>
      </c>
      <c r="T337" s="20">
        <f t="shared" si="14"/>
        <v>3546</v>
      </c>
      <c r="U337" s="21">
        <f t="shared" si="15"/>
        <v>3900.6000000000004</v>
      </c>
    </row>
    <row r="338" spans="1:21" ht="15" customHeight="1" x14ac:dyDescent="0.35">
      <c r="A338" s="6" t="s">
        <v>538</v>
      </c>
      <c r="B338" s="7" t="s">
        <v>541</v>
      </c>
      <c r="C338" s="8" t="s">
        <v>239</v>
      </c>
      <c r="D338" s="9">
        <v>6.8000000000000005E-2</v>
      </c>
      <c r="E338" s="64" t="s">
        <v>35</v>
      </c>
      <c r="F338" s="65" t="str">
        <f>IFERROR(VLOOKUP(E338,PROVEEDORES!$A$3:$G$42,2,0),"")</f>
        <v>ABARROTES</v>
      </c>
      <c r="G338" s="66" t="str">
        <f>IFERROR(VLOOKUP(E338,PROVEEDORES!$A$3:$G$42,4,0),"")</f>
        <v>pagos@bidfood.cl,pmolina@bidfood.cl</v>
      </c>
      <c r="H338" s="10" t="str">
        <f>IFERROR(VLOOKUP(E338,PROVEEDORES!$A$3:$G$42,5,0),"")</f>
        <v>56225994444 - 56998038459</v>
      </c>
      <c r="I338" s="11">
        <v>6840</v>
      </c>
      <c r="J338" s="64" t="s">
        <v>105</v>
      </c>
      <c r="K338" s="65" t="str">
        <f>IFERROR(VLOOKUP(J338,PROVEEDORES!$A$3:$G$42,2,0),"")</f>
        <v>ESPECIES</v>
      </c>
      <c r="L338" s="66" t="str">
        <f>IFERROR(VLOOKUP(J338,PROVEEDORES!$A$3:$G$42,4,0),"")</f>
        <v>chef@gourmetselect.cl,contabilidad@gourmetselect.cl,pedidos@gourmetselect.cl,info@gourmetselect.cl</v>
      </c>
      <c r="M338" s="10" t="str">
        <f>IFERROR(VLOOKUP(J338,PROVEEDORES!$A$3:$G$42,5,0),"")</f>
        <v>56944921093</v>
      </c>
      <c r="N338" s="11">
        <v>3783</v>
      </c>
      <c r="O338" s="64" t="s">
        <v>41</v>
      </c>
      <c r="P338" s="65" t="str">
        <f>IFERROR(VLOOKUP(O338,PROVEEDORES!$A$3:$G$42,2,0),"")</f>
        <v>FRUTAS Y VERDURAS</v>
      </c>
      <c r="Q338" s="66" t="str">
        <f>IFERROR(VLOOKUP(O338,PROVEEDORES!$A$3:$G$42,4,0),"")</f>
        <v>caseritaencasa@gmail.com</v>
      </c>
      <c r="R338" s="10" t="str">
        <f>IFERROR(VLOOKUP(O338,PROVEEDORES!$A$3:$G$42,5,0),"")</f>
        <v>56952069703</v>
      </c>
      <c r="S338" s="11">
        <v>8902</v>
      </c>
      <c r="T338" s="12">
        <f t="shared" si="14"/>
        <v>6508.333333333333</v>
      </c>
      <c r="U338" s="13">
        <f t="shared" si="15"/>
        <v>7159.166666666667</v>
      </c>
    </row>
    <row r="339" spans="1:21" ht="15" customHeight="1" x14ac:dyDescent="0.35">
      <c r="A339" s="14" t="s">
        <v>538</v>
      </c>
      <c r="B339" s="15" t="s">
        <v>542</v>
      </c>
      <c r="C339" s="16" t="s">
        <v>239</v>
      </c>
      <c r="D339" s="17">
        <v>7.8E-2</v>
      </c>
      <c r="E339" s="67" t="s">
        <v>35</v>
      </c>
      <c r="F339" s="68" t="str">
        <f>IFERROR(VLOOKUP(E339,PROVEEDORES!$A$3:$G$42,2,0),"")</f>
        <v>ABARROTES</v>
      </c>
      <c r="G339" s="69" t="str">
        <f>IFERROR(VLOOKUP(E339,PROVEEDORES!$A$3:$G$42,4,0),"")</f>
        <v>pagos@bidfood.cl,pmolina@bidfood.cl</v>
      </c>
      <c r="H339" s="18" t="str">
        <f>IFERROR(VLOOKUP(E339,PROVEEDORES!$A$3:$G$42,5,0),"")</f>
        <v>56225994444 - 56998038459</v>
      </c>
      <c r="I339" s="19">
        <v>9000</v>
      </c>
      <c r="J339" s="67" t="s">
        <v>105</v>
      </c>
      <c r="K339" s="68" t="str">
        <f>IFERROR(VLOOKUP(J339,PROVEEDORES!$A$3:$G$42,2,0),"")</f>
        <v>ESPECIES</v>
      </c>
      <c r="L339" s="69" t="str">
        <f>IFERROR(VLOOKUP(J339,PROVEEDORES!$A$3:$G$42,4,0),"")</f>
        <v>chef@gourmetselect.cl,contabilidad@gourmetselect.cl,pedidos@gourmetselect.cl,info@gourmetselect.cl</v>
      </c>
      <c r="M339" s="18" t="str">
        <f>IFERROR(VLOOKUP(J339,PROVEEDORES!$A$3:$G$42,5,0),"")</f>
        <v>56944921093</v>
      </c>
      <c r="N339" s="19">
        <v>6462</v>
      </c>
      <c r="O339" s="67" t="s">
        <v>41</v>
      </c>
      <c r="P339" s="68" t="str">
        <f>IFERROR(VLOOKUP(O339,PROVEEDORES!$A$3:$G$42,2,0),"")</f>
        <v>FRUTAS Y VERDURAS</v>
      </c>
      <c r="Q339" s="69" t="str">
        <f>IFERROR(VLOOKUP(O339,PROVEEDORES!$A$3:$G$42,4,0),"")</f>
        <v>caseritaencasa@gmail.com</v>
      </c>
      <c r="R339" s="18" t="str">
        <f>IFERROR(VLOOKUP(O339,PROVEEDORES!$A$3:$G$42,5,0),"")</f>
        <v>56952069703</v>
      </c>
      <c r="S339" s="19">
        <v>5179</v>
      </c>
      <c r="T339" s="20">
        <f t="shared" si="14"/>
        <v>6880.333333333333</v>
      </c>
      <c r="U339" s="21">
        <f t="shared" si="15"/>
        <v>7568.3666666666668</v>
      </c>
    </row>
    <row r="340" spans="1:21" ht="15" customHeight="1" x14ac:dyDescent="0.35">
      <c r="A340" s="6" t="s">
        <v>538</v>
      </c>
      <c r="B340" s="7" t="s">
        <v>543</v>
      </c>
      <c r="C340" s="8" t="s">
        <v>239</v>
      </c>
      <c r="D340" s="9">
        <v>6.5000000000000002E-2</v>
      </c>
      <c r="E340" s="64" t="s">
        <v>35</v>
      </c>
      <c r="F340" s="65" t="str">
        <f>IFERROR(VLOOKUP(E340,PROVEEDORES!$A$3:$G$42,2,0),"")</f>
        <v>ABARROTES</v>
      </c>
      <c r="G340" s="66" t="str">
        <f>IFERROR(VLOOKUP(E340,PROVEEDORES!$A$3:$G$42,4,0),"")</f>
        <v>pagos@bidfood.cl,pmolina@bidfood.cl</v>
      </c>
      <c r="H340" s="10" t="str">
        <f>IFERROR(VLOOKUP(E340,PROVEEDORES!$A$3:$G$42,5,0),"")</f>
        <v>56225994444 - 56998038459</v>
      </c>
      <c r="I340" s="11">
        <v>22770</v>
      </c>
      <c r="J340" s="64" t="s">
        <v>105</v>
      </c>
      <c r="K340" s="65" t="str">
        <f>IFERROR(VLOOKUP(J340,PROVEEDORES!$A$3:$G$42,2,0),"")</f>
        <v>ESPECIES</v>
      </c>
      <c r="L340" s="66" t="str">
        <f>IFERROR(VLOOKUP(J340,PROVEEDORES!$A$3:$G$42,4,0),"")</f>
        <v>chef@gourmetselect.cl,contabilidad@gourmetselect.cl,pedidos@gourmetselect.cl,info@gourmetselect.cl</v>
      </c>
      <c r="M340" s="10" t="str">
        <f>IFERROR(VLOOKUP(J340,PROVEEDORES!$A$3:$G$42,5,0),"")</f>
        <v>56944921093</v>
      </c>
      <c r="N340" s="11">
        <v>22702</v>
      </c>
      <c r="O340" s="64" t="s">
        <v>41</v>
      </c>
      <c r="P340" s="65" t="str">
        <f>IFERROR(VLOOKUP(O340,PROVEEDORES!$A$3:$G$42,2,0),"")</f>
        <v>FRUTAS Y VERDURAS</v>
      </c>
      <c r="Q340" s="66" t="str">
        <f>IFERROR(VLOOKUP(O340,PROVEEDORES!$A$3:$G$42,4,0),"")</f>
        <v>caseritaencasa@gmail.com</v>
      </c>
      <c r="R340" s="10" t="str">
        <f>IFERROR(VLOOKUP(O340,PROVEEDORES!$A$3:$G$42,5,0),"")</f>
        <v>56952069703</v>
      </c>
      <c r="S340" s="11">
        <v>17210</v>
      </c>
      <c r="T340" s="12">
        <f t="shared" si="14"/>
        <v>20894</v>
      </c>
      <c r="U340" s="13">
        <f t="shared" si="15"/>
        <v>22983.4</v>
      </c>
    </row>
    <row r="341" spans="1:21" ht="15" customHeight="1" x14ac:dyDescent="0.35">
      <c r="A341" s="14" t="s">
        <v>538</v>
      </c>
      <c r="B341" s="15" t="s">
        <v>544</v>
      </c>
      <c r="C341" s="16" t="s">
        <v>239</v>
      </c>
      <c r="D341" s="17">
        <v>0.03</v>
      </c>
      <c r="E341" s="67" t="s">
        <v>35</v>
      </c>
      <c r="F341" s="68" t="str">
        <f>IFERROR(VLOOKUP(E341,PROVEEDORES!$A$3:$G$42,2,0),"")</f>
        <v>ABARROTES</v>
      </c>
      <c r="G341" s="69" t="str">
        <f>IFERROR(VLOOKUP(E341,PROVEEDORES!$A$3:$G$42,4,0),"")</f>
        <v>pagos@bidfood.cl,pmolina@bidfood.cl</v>
      </c>
      <c r="H341" s="18" t="str">
        <f>IFERROR(VLOOKUP(E341,PROVEEDORES!$A$3:$G$42,5,0),"")</f>
        <v>56225994444 - 56998038459</v>
      </c>
      <c r="I341" s="19">
        <v>37600</v>
      </c>
      <c r="J341" s="67" t="s">
        <v>105</v>
      </c>
      <c r="K341" s="68" t="str">
        <f>IFERROR(VLOOKUP(J341,PROVEEDORES!$A$3:$G$42,2,0),"")</f>
        <v>ESPECIES</v>
      </c>
      <c r="L341" s="69" t="str">
        <f>IFERROR(VLOOKUP(J341,PROVEEDORES!$A$3:$G$42,4,0),"")</f>
        <v>chef@gourmetselect.cl,contabilidad@gourmetselect.cl,pedidos@gourmetselect.cl,info@gourmetselect.cl</v>
      </c>
      <c r="M341" s="18" t="str">
        <f>IFERROR(VLOOKUP(J341,PROVEEDORES!$A$3:$G$42,5,0),"")</f>
        <v>56944921093</v>
      </c>
      <c r="N341" s="19">
        <v>45552</v>
      </c>
      <c r="O341" s="67" t="s">
        <v>41</v>
      </c>
      <c r="P341" s="68" t="str">
        <f>IFERROR(VLOOKUP(O341,PROVEEDORES!$A$3:$G$42,2,0),"")</f>
        <v>FRUTAS Y VERDURAS</v>
      </c>
      <c r="Q341" s="69" t="str">
        <f>IFERROR(VLOOKUP(O341,PROVEEDORES!$A$3:$G$42,4,0),"")</f>
        <v>caseritaencasa@gmail.com</v>
      </c>
      <c r="R341" s="18" t="str">
        <f>IFERROR(VLOOKUP(O341,PROVEEDORES!$A$3:$G$42,5,0),"")</f>
        <v>56952069703</v>
      </c>
      <c r="S341" s="19">
        <v>69695</v>
      </c>
      <c r="T341" s="20">
        <f t="shared" si="14"/>
        <v>50949</v>
      </c>
      <c r="U341" s="21">
        <f t="shared" si="15"/>
        <v>56043.9</v>
      </c>
    </row>
    <row r="342" spans="1:21" ht="15" customHeight="1" x14ac:dyDescent="0.35">
      <c r="A342" s="6" t="s">
        <v>538</v>
      </c>
      <c r="B342" s="7" t="s">
        <v>545</v>
      </c>
      <c r="C342" s="8" t="s">
        <v>239</v>
      </c>
      <c r="D342" s="9">
        <v>0.03</v>
      </c>
      <c r="E342" s="64" t="s">
        <v>35</v>
      </c>
      <c r="F342" s="65" t="str">
        <f>IFERROR(VLOOKUP(E342,PROVEEDORES!$A$3:$G$42,2,0),"")</f>
        <v>ABARROTES</v>
      </c>
      <c r="G342" s="66" t="str">
        <f>IFERROR(VLOOKUP(E342,PROVEEDORES!$A$3:$G$42,4,0),"")</f>
        <v>pagos@bidfood.cl,pmolina@bidfood.cl</v>
      </c>
      <c r="H342" s="10" t="str">
        <f>IFERROR(VLOOKUP(E342,PROVEEDORES!$A$3:$G$42,5,0),"")</f>
        <v>56225994444 - 56998038459</v>
      </c>
      <c r="I342" s="11">
        <v>22320</v>
      </c>
      <c r="J342" s="64" t="s">
        <v>105</v>
      </c>
      <c r="K342" s="65" t="str">
        <f>IFERROR(VLOOKUP(J342,PROVEEDORES!$A$3:$G$42,2,0),"")</f>
        <v>ESPECIES</v>
      </c>
      <c r="L342" s="66" t="str">
        <f>IFERROR(VLOOKUP(J342,PROVEEDORES!$A$3:$G$42,4,0),"")</f>
        <v>chef@gourmetselect.cl,contabilidad@gourmetselect.cl,pedidos@gourmetselect.cl,info@gourmetselect.cl</v>
      </c>
      <c r="M342" s="10" t="str">
        <f>IFERROR(VLOOKUP(J342,PROVEEDORES!$A$3:$G$42,5,0),"")</f>
        <v>56944921093</v>
      </c>
      <c r="N342" s="11">
        <v>9832</v>
      </c>
      <c r="O342" s="64" t="s">
        <v>41</v>
      </c>
      <c r="P342" s="65" t="str">
        <f>IFERROR(VLOOKUP(O342,PROVEEDORES!$A$3:$G$42,2,0),"")</f>
        <v>FRUTAS Y VERDURAS</v>
      </c>
      <c r="Q342" s="66" t="str">
        <f>IFERROR(VLOOKUP(O342,PROVEEDORES!$A$3:$G$42,4,0),"")</f>
        <v>caseritaencasa@gmail.com</v>
      </c>
      <c r="R342" s="10" t="str">
        <f>IFERROR(VLOOKUP(O342,PROVEEDORES!$A$3:$G$42,5,0),"")</f>
        <v>56952069703</v>
      </c>
      <c r="S342" s="11">
        <v>9848</v>
      </c>
      <c r="T342" s="12">
        <f t="shared" si="14"/>
        <v>14000</v>
      </c>
      <c r="U342" s="13">
        <f t="shared" si="15"/>
        <v>15400.000000000002</v>
      </c>
    </row>
    <row r="343" spans="1:21" ht="15" customHeight="1" x14ac:dyDescent="0.35">
      <c r="A343" s="14" t="s">
        <v>538</v>
      </c>
      <c r="B343" s="15" t="s">
        <v>546</v>
      </c>
      <c r="C343" s="16" t="s">
        <v>239</v>
      </c>
      <c r="D343" s="17">
        <v>0.03</v>
      </c>
      <c r="E343" s="67" t="s">
        <v>35</v>
      </c>
      <c r="F343" s="68" t="str">
        <f>IFERROR(VLOOKUP(E343,PROVEEDORES!$A$3:$G$42,2,0),"")</f>
        <v>ABARROTES</v>
      </c>
      <c r="G343" s="69" t="str">
        <f>IFERROR(VLOOKUP(E343,PROVEEDORES!$A$3:$G$42,4,0),"")</f>
        <v>pagos@bidfood.cl,pmolina@bidfood.cl</v>
      </c>
      <c r="H343" s="18" t="str">
        <f>IFERROR(VLOOKUP(E343,PROVEEDORES!$A$3:$G$42,5,0),"")</f>
        <v>56225994444 - 56998038459</v>
      </c>
      <c r="I343" s="19">
        <v>6480</v>
      </c>
      <c r="J343" s="67" t="s">
        <v>105</v>
      </c>
      <c r="K343" s="68" t="str">
        <f>IFERROR(VLOOKUP(J343,PROVEEDORES!$A$3:$G$42,2,0),"")</f>
        <v>ESPECIES</v>
      </c>
      <c r="L343" s="69" t="str">
        <f>IFERROR(VLOOKUP(J343,PROVEEDORES!$A$3:$G$42,4,0),"")</f>
        <v>chef@gourmetselect.cl,contabilidad@gourmetselect.cl,pedidos@gourmetselect.cl,info@gourmetselect.cl</v>
      </c>
      <c r="M343" s="18" t="str">
        <f>IFERROR(VLOOKUP(J343,PROVEEDORES!$A$3:$G$42,5,0),"")</f>
        <v>56944921093</v>
      </c>
      <c r="N343" s="19">
        <v>6772</v>
      </c>
      <c r="O343" s="67" t="s">
        <v>41</v>
      </c>
      <c r="P343" s="68" t="str">
        <f>IFERROR(VLOOKUP(O343,PROVEEDORES!$A$3:$G$42,2,0),"")</f>
        <v>FRUTAS Y VERDURAS</v>
      </c>
      <c r="Q343" s="69" t="str">
        <f>IFERROR(VLOOKUP(O343,PROVEEDORES!$A$3:$G$42,4,0),"")</f>
        <v>caseritaencasa@gmail.com</v>
      </c>
      <c r="R343" s="18" t="str">
        <f>IFERROR(VLOOKUP(O343,PROVEEDORES!$A$3:$G$42,5,0),"")</f>
        <v>56952069703</v>
      </c>
      <c r="S343" s="19">
        <v>4484</v>
      </c>
      <c r="T343" s="20">
        <f t="shared" si="14"/>
        <v>5912</v>
      </c>
      <c r="U343" s="21">
        <f t="shared" si="15"/>
        <v>6503.2000000000007</v>
      </c>
    </row>
    <row r="344" spans="1:21" ht="15" customHeight="1" x14ac:dyDescent="0.35">
      <c r="A344" s="6" t="s">
        <v>538</v>
      </c>
      <c r="B344" s="7" t="s">
        <v>547</v>
      </c>
      <c r="C344" s="8" t="s">
        <v>239</v>
      </c>
      <c r="D344" s="9">
        <v>1.7999999999999999E-2</v>
      </c>
      <c r="E344" s="64" t="s">
        <v>35</v>
      </c>
      <c r="F344" s="65" t="str">
        <f>IFERROR(VLOOKUP(E344,PROVEEDORES!$A$3:$G$42,2,0),"")</f>
        <v>ABARROTES</v>
      </c>
      <c r="G344" s="66" t="str">
        <f>IFERROR(VLOOKUP(E344,PROVEEDORES!$A$3:$G$42,4,0),"")</f>
        <v>pagos@bidfood.cl,pmolina@bidfood.cl</v>
      </c>
      <c r="H344" s="10" t="str">
        <f>IFERROR(VLOOKUP(E344,PROVEEDORES!$A$3:$G$42,5,0),"")</f>
        <v>56225994444 - 56998038459</v>
      </c>
      <c r="I344" s="11">
        <v>20790</v>
      </c>
      <c r="J344" s="64" t="s">
        <v>105</v>
      </c>
      <c r="K344" s="65" t="str">
        <f>IFERROR(VLOOKUP(J344,PROVEEDORES!$A$3:$G$42,2,0),"")</f>
        <v>ESPECIES</v>
      </c>
      <c r="L344" s="66" t="str">
        <f>IFERROR(VLOOKUP(J344,PROVEEDORES!$A$3:$G$42,4,0),"")</f>
        <v>chef@gourmetselect.cl,contabilidad@gourmetselect.cl,pedidos@gourmetselect.cl,info@gourmetselect.cl</v>
      </c>
      <c r="M344" s="10" t="str">
        <f>IFERROR(VLOOKUP(J344,PROVEEDORES!$A$3:$G$42,5,0),"")</f>
        <v>56944921093</v>
      </c>
      <c r="N344" s="11">
        <v>28742</v>
      </c>
      <c r="O344" s="64" t="s">
        <v>41</v>
      </c>
      <c r="P344" s="65" t="str">
        <f>IFERROR(VLOOKUP(O344,PROVEEDORES!$A$3:$G$42,2,0),"")</f>
        <v>FRUTAS Y VERDURAS</v>
      </c>
      <c r="Q344" s="66" t="str">
        <f>IFERROR(VLOOKUP(O344,PROVEEDORES!$A$3:$G$42,4,0),"")</f>
        <v>caseritaencasa@gmail.com</v>
      </c>
      <c r="R344" s="10" t="str">
        <f>IFERROR(VLOOKUP(O344,PROVEEDORES!$A$3:$G$42,5,0),"")</f>
        <v>56952069703</v>
      </c>
      <c r="S344" s="11">
        <v>37530</v>
      </c>
      <c r="T344" s="12">
        <f t="shared" si="14"/>
        <v>29020.666666666668</v>
      </c>
      <c r="U344" s="13">
        <f t="shared" si="15"/>
        <v>31922.733333333337</v>
      </c>
    </row>
    <row r="345" spans="1:21" ht="15" customHeight="1" x14ac:dyDescent="0.35">
      <c r="A345" s="14" t="s">
        <v>538</v>
      </c>
      <c r="B345" s="15" t="s">
        <v>548</v>
      </c>
      <c r="C345" s="16" t="s">
        <v>239</v>
      </c>
      <c r="D345" s="17">
        <v>1.7999999999999999E-2</v>
      </c>
      <c r="E345" s="67" t="s">
        <v>35</v>
      </c>
      <c r="F345" s="68" t="str">
        <f>IFERROR(VLOOKUP(E345,PROVEEDORES!$A$3:$G$42,2,0),"")</f>
        <v>ABARROTES</v>
      </c>
      <c r="G345" s="69" t="str">
        <f>IFERROR(VLOOKUP(E345,PROVEEDORES!$A$3:$G$42,4,0),"")</f>
        <v>pagos@bidfood.cl,pmolina@bidfood.cl</v>
      </c>
      <c r="H345" s="18" t="str">
        <f>IFERROR(VLOOKUP(E345,PROVEEDORES!$A$3:$G$42,5,0),"")</f>
        <v>56225994444 - 56998038459</v>
      </c>
      <c r="I345" s="19">
        <v>16920</v>
      </c>
      <c r="J345" s="67" t="s">
        <v>105</v>
      </c>
      <c r="K345" s="68" t="str">
        <f>IFERROR(VLOOKUP(J345,PROVEEDORES!$A$3:$G$42,2,0),"")</f>
        <v>ESPECIES</v>
      </c>
      <c r="L345" s="69" t="str">
        <f>IFERROR(VLOOKUP(J345,PROVEEDORES!$A$3:$G$42,4,0),"")</f>
        <v>chef@gourmetselect.cl,contabilidad@gourmetselect.cl,pedidos@gourmetselect.cl,info@gourmetselect.cl</v>
      </c>
      <c r="M345" s="18" t="str">
        <f>IFERROR(VLOOKUP(J345,PROVEEDORES!$A$3:$G$42,5,0),"")</f>
        <v>56944921093</v>
      </c>
      <c r="N345" s="19">
        <v>11895</v>
      </c>
      <c r="O345" s="67" t="s">
        <v>41</v>
      </c>
      <c r="P345" s="68" t="str">
        <f>IFERROR(VLOOKUP(O345,PROVEEDORES!$A$3:$G$42,2,0),"")</f>
        <v>FRUTAS Y VERDURAS</v>
      </c>
      <c r="Q345" s="69" t="str">
        <f>IFERROR(VLOOKUP(O345,PROVEEDORES!$A$3:$G$42,4,0),"")</f>
        <v>caseritaencasa@gmail.com</v>
      </c>
      <c r="R345" s="18" t="str">
        <f>IFERROR(VLOOKUP(O345,PROVEEDORES!$A$3:$G$42,5,0),"")</f>
        <v>56952069703</v>
      </c>
      <c r="S345" s="19">
        <v>28757</v>
      </c>
      <c r="T345" s="20">
        <f t="shared" si="14"/>
        <v>19190.666666666668</v>
      </c>
      <c r="U345" s="21">
        <f t="shared" si="15"/>
        <v>21109.733333333337</v>
      </c>
    </row>
    <row r="346" spans="1:21" ht="15" customHeight="1" x14ac:dyDescent="0.35">
      <c r="A346" s="6" t="s">
        <v>538</v>
      </c>
      <c r="B346" s="7" t="s">
        <v>549</v>
      </c>
      <c r="C346" s="8" t="s">
        <v>239</v>
      </c>
      <c r="D346" s="9">
        <v>1.7999999999999999E-2</v>
      </c>
      <c r="E346" s="64" t="s">
        <v>35</v>
      </c>
      <c r="F346" s="65" t="str">
        <f>IFERROR(VLOOKUP(E346,PROVEEDORES!$A$3:$G$42,2,0),"")</f>
        <v>ABARROTES</v>
      </c>
      <c r="G346" s="66" t="str">
        <f>IFERROR(VLOOKUP(E346,PROVEEDORES!$A$3:$G$42,4,0),"")</f>
        <v>pagos@bidfood.cl,pmolina@bidfood.cl</v>
      </c>
      <c r="H346" s="10" t="str">
        <f>IFERROR(VLOOKUP(E346,PROVEEDORES!$A$3:$G$42,5,0),"")</f>
        <v>56225994444 - 56998038459</v>
      </c>
      <c r="I346" s="11">
        <v>16920</v>
      </c>
      <c r="J346" s="64" t="s">
        <v>105</v>
      </c>
      <c r="K346" s="65" t="str">
        <f>IFERROR(VLOOKUP(J346,PROVEEDORES!$A$3:$G$42,2,0),"")</f>
        <v>ESPECIES</v>
      </c>
      <c r="L346" s="66" t="str">
        <f>IFERROR(VLOOKUP(J346,PROVEEDORES!$A$3:$G$42,4,0),"")</f>
        <v>chef@gourmetselect.cl,contabilidad@gourmetselect.cl,pedidos@gourmetselect.cl,info@gourmetselect.cl</v>
      </c>
      <c r="M346" s="10" t="str">
        <f>IFERROR(VLOOKUP(J346,PROVEEDORES!$A$3:$G$42,5,0),"")</f>
        <v>56944921093</v>
      </c>
      <c r="N346" s="11">
        <v>24534</v>
      </c>
      <c r="O346" s="64" t="s">
        <v>41</v>
      </c>
      <c r="P346" s="65" t="str">
        <f>IFERROR(VLOOKUP(O346,PROVEEDORES!$A$3:$G$42,2,0),"")</f>
        <v>FRUTAS Y VERDURAS</v>
      </c>
      <c r="Q346" s="66" t="str">
        <f>IFERROR(VLOOKUP(O346,PROVEEDORES!$A$3:$G$42,4,0),"")</f>
        <v>caseritaencasa@gmail.com</v>
      </c>
      <c r="R346" s="10" t="str">
        <f>IFERROR(VLOOKUP(O346,PROVEEDORES!$A$3:$G$42,5,0),"")</f>
        <v>56952069703</v>
      </c>
      <c r="S346" s="11">
        <v>9252</v>
      </c>
      <c r="T346" s="12">
        <f t="shared" si="14"/>
        <v>16902</v>
      </c>
      <c r="U346" s="13">
        <f t="shared" si="15"/>
        <v>18592.2</v>
      </c>
    </row>
    <row r="347" spans="1:21" ht="15" customHeight="1" x14ac:dyDescent="0.35">
      <c r="A347" s="14" t="s">
        <v>538</v>
      </c>
      <c r="B347" s="15" t="s">
        <v>550</v>
      </c>
      <c r="C347" s="16" t="s">
        <v>239</v>
      </c>
      <c r="D347" s="17">
        <v>1.7999999999999999E-2</v>
      </c>
      <c r="E347" s="67" t="s">
        <v>35</v>
      </c>
      <c r="F347" s="68" t="str">
        <f>IFERROR(VLOOKUP(E347,PROVEEDORES!$A$3:$G$42,2,0),"")</f>
        <v>ABARROTES</v>
      </c>
      <c r="G347" s="69" t="str">
        <f>IFERROR(VLOOKUP(E347,PROVEEDORES!$A$3:$G$42,4,0),"")</f>
        <v>pagos@bidfood.cl,pmolina@bidfood.cl</v>
      </c>
      <c r="H347" s="18" t="str">
        <f>IFERROR(VLOOKUP(E347,PROVEEDORES!$A$3:$G$42,5,0),"")</f>
        <v>56225994444 - 56998038459</v>
      </c>
      <c r="I347" s="19">
        <v>18630</v>
      </c>
      <c r="J347" s="67" t="s">
        <v>105</v>
      </c>
      <c r="K347" s="68" t="str">
        <f>IFERROR(VLOOKUP(J347,PROVEEDORES!$A$3:$G$42,2,0),"")</f>
        <v>ESPECIES</v>
      </c>
      <c r="L347" s="69" t="str">
        <f>IFERROR(VLOOKUP(J347,PROVEEDORES!$A$3:$G$42,4,0),"")</f>
        <v>chef@gourmetselect.cl,contabilidad@gourmetselect.cl,pedidos@gourmetselect.cl,info@gourmetselect.cl</v>
      </c>
      <c r="M347" s="18" t="str">
        <f>IFERROR(VLOOKUP(J347,PROVEEDORES!$A$3:$G$42,5,0),"")</f>
        <v>56944921093</v>
      </c>
      <c r="N347" s="19">
        <v>32351</v>
      </c>
      <c r="O347" s="67" t="s">
        <v>41</v>
      </c>
      <c r="P347" s="68" t="str">
        <f>IFERROR(VLOOKUP(O347,PROVEEDORES!$A$3:$G$42,2,0),"")</f>
        <v>FRUTAS Y VERDURAS</v>
      </c>
      <c r="Q347" s="69" t="str">
        <f>IFERROR(VLOOKUP(O347,PROVEEDORES!$A$3:$G$42,4,0),"")</f>
        <v>caseritaencasa@gmail.com</v>
      </c>
      <c r="R347" s="18" t="str">
        <f>IFERROR(VLOOKUP(O347,PROVEEDORES!$A$3:$G$42,5,0),"")</f>
        <v>56952069703</v>
      </c>
      <c r="S347" s="19">
        <v>11990</v>
      </c>
      <c r="T347" s="20">
        <f t="shared" si="14"/>
        <v>20990.333333333332</v>
      </c>
      <c r="U347" s="21">
        <f t="shared" si="15"/>
        <v>23089.366666666669</v>
      </c>
    </row>
    <row r="348" spans="1:21" ht="15" customHeight="1" x14ac:dyDescent="0.35">
      <c r="A348" s="6" t="s">
        <v>538</v>
      </c>
      <c r="B348" s="7" t="s">
        <v>551</v>
      </c>
      <c r="C348" s="8" t="s">
        <v>239</v>
      </c>
      <c r="D348" s="9">
        <v>1.4999999999999999E-2</v>
      </c>
      <c r="E348" s="64" t="s">
        <v>35</v>
      </c>
      <c r="F348" s="65" t="str">
        <f>IFERROR(VLOOKUP(E348,PROVEEDORES!$A$3:$G$42,2,0),"")</f>
        <v>ABARROTES</v>
      </c>
      <c r="G348" s="66" t="str">
        <f>IFERROR(VLOOKUP(E348,PROVEEDORES!$A$3:$G$42,4,0),"")</f>
        <v>pagos@bidfood.cl,pmolina@bidfood.cl</v>
      </c>
      <c r="H348" s="10" t="str">
        <f>IFERROR(VLOOKUP(E348,PROVEEDORES!$A$3:$G$42,5,0),"")</f>
        <v>56225994444 - 56998038459</v>
      </c>
      <c r="I348" s="11">
        <v>21960</v>
      </c>
      <c r="J348" s="64" t="s">
        <v>105</v>
      </c>
      <c r="K348" s="65" t="str">
        <f>IFERROR(VLOOKUP(J348,PROVEEDORES!$A$3:$G$42,2,0),"")</f>
        <v>ESPECIES</v>
      </c>
      <c r="L348" s="66" t="str">
        <f>IFERROR(VLOOKUP(J348,PROVEEDORES!$A$3:$G$42,4,0),"")</f>
        <v>chef@gourmetselect.cl,contabilidad@gourmetselect.cl,pedidos@gourmetselect.cl,info@gourmetselect.cl</v>
      </c>
      <c r="M348" s="10" t="str">
        <f>IFERROR(VLOOKUP(J348,PROVEEDORES!$A$3:$G$42,5,0),"")</f>
        <v>56944921093</v>
      </c>
      <c r="N348" s="11">
        <v>26901</v>
      </c>
      <c r="O348" s="64" t="s">
        <v>41</v>
      </c>
      <c r="P348" s="65" t="str">
        <f>IFERROR(VLOOKUP(O348,PROVEEDORES!$A$3:$G$42,2,0),"")</f>
        <v>FRUTAS Y VERDURAS</v>
      </c>
      <c r="Q348" s="66" t="str">
        <f>IFERROR(VLOOKUP(O348,PROVEEDORES!$A$3:$G$42,4,0),"")</f>
        <v>caseritaencasa@gmail.com</v>
      </c>
      <c r="R348" s="10" t="str">
        <f>IFERROR(VLOOKUP(O348,PROVEEDORES!$A$3:$G$42,5,0),"")</f>
        <v>56952069703</v>
      </c>
      <c r="S348" s="11">
        <v>33410</v>
      </c>
      <c r="T348" s="12">
        <f t="shared" si="14"/>
        <v>27423.666666666668</v>
      </c>
      <c r="U348" s="13">
        <f t="shared" si="15"/>
        <v>30166.033333333336</v>
      </c>
    </row>
    <row r="349" spans="1:21" ht="12" customHeight="1" x14ac:dyDescent="0.35">
      <c r="A349" s="59" t="s">
        <v>552</v>
      </c>
      <c r="B349" s="59"/>
      <c r="C349" s="59"/>
      <c r="D349" s="59"/>
      <c r="E349" s="59"/>
      <c r="F349" s="59"/>
      <c r="G349" s="59"/>
      <c r="H349" s="59"/>
      <c r="I349" s="59"/>
      <c r="J349" s="59"/>
      <c r="K349" s="59"/>
      <c r="L349" s="59"/>
      <c r="M349" s="59"/>
      <c r="N349" s="59"/>
      <c r="O349" s="59"/>
      <c r="P349" s="59"/>
      <c r="Q349" s="59"/>
      <c r="R349" s="59"/>
      <c r="S349" s="59"/>
      <c r="T349" s="59"/>
      <c r="U349" s="59"/>
    </row>
    <row r="350" spans="1:21" ht="15" customHeight="1" x14ac:dyDescent="0.35">
      <c r="A350" s="6" t="s">
        <v>552</v>
      </c>
      <c r="B350" s="7" t="s">
        <v>553</v>
      </c>
      <c r="C350" s="8" t="s">
        <v>219</v>
      </c>
      <c r="D350" s="9">
        <v>0.21562500000000001</v>
      </c>
      <c r="E350" s="64" t="s">
        <v>35</v>
      </c>
      <c r="F350" s="65" t="str">
        <f>IFERROR(VLOOKUP(E350,PROVEEDORES!$A$3:$G$42,2,0),"")</f>
        <v>ABARROTES</v>
      </c>
      <c r="G350" s="66" t="str">
        <f>IFERROR(VLOOKUP(E350,PROVEEDORES!$A$3:$G$42,4,0),"")</f>
        <v>pagos@bidfood.cl,pmolina@bidfood.cl</v>
      </c>
      <c r="H350" s="10" t="str">
        <f>IFERROR(VLOOKUP(E350,PROVEEDORES!$A$3:$G$42,5,0),"")</f>
        <v>56225994444 - 56998038459</v>
      </c>
      <c r="I350" s="11">
        <v>2599</v>
      </c>
      <c r="J350" s="64" t="s">
        <v>105</v>
      </c>
      <c r="K350" s="65" t="str">
        <f>IFERROR(VLOOKUP(J350,PROVEEDORES!$A$3:$G$42,2,0),"")</f>
        <v>ESPECIES</v>
      </c>
      <c r="L350" s="66" t="str">
        <f>IFERROR(VLOOKUP(J350,PROVEEDORES!$A$3:$G$42,4,0),"")</f>
        <v>chef@gourmetselect.cl,contabilidad@gourmetselect.cl,pedidos@gourmetselect.cl,info@gourmetselect.cl</v>
      </c>
      <c r="M350" s="10" t="str">
        <f>IFERROR(VLOOKUP(J350,PROVEEDORES!$A$3:$G$42,5,0),"")</f>
        <v>56944921093</v>
      </c>
      <c r="N350" s="11">
        <v>3199</v>
      </c>
      <c r="O350" s="64"/>
      <c r="P350" s="65"/>
      <c r="Q350" s="66"/>
      <c r="R350" s="10"/>
      <c r="S350" s="11"/>
      <c r="T350" s="12">
        <f t="shared" ref="T350:T362" si="16">AVERAGE(I350,N350)</f>
        <v>2899</v>
      </c>
      <c r="U350" s="13">
        <f t="shared" ref="U350:U362" si="17">T350*(1+$B$2)</f>
        <v>3188.9</v>
      </c>
    </row>
    <row r="351" spans="1:21" ht="15" customHeight="1" x14ac:dyDescent="0.35">
      <c r="A351" s="14" t="s">
        <v>552</v>
      </c>
      <c r="B351" s="15" t="s">
        <v>554</v>
      </c>
      <c r="C351" s="16" t="s">
        <v>219</v>
      </c>
      <c r="D351" s="17">
        <v>0.19500000000000001</v>
      </c>
      <c r="E351" s="67" t="s">
        <v>35</v>
      </c>
      <c r="F351" s="68" t="str">
        <f>IFERROR(VLOOKUP(E351,PROVEEDORES!$A$3:$G$42,2,0),"")</f>
        <v>ABARROTES</v>
      </c>
      <c r="G351" s="69" t="str">
        <f>IFERROR(VLOOKUP(E351,PROVEEDORES!$A$3:$G$42,4,0),"")</f>
        <v>pagos@bidfood.cl,pmolina@bidfood.cl</v>
      </c>
      <c r="H351" s="18" t="str">
        <f>IFERROR(VLOOKUP(E351,PROVEEDORES!$A$3:$G$42,5,0),"")</f>
        <v>56225994444 - 56998038459</v>
      </c>
      <c r="I351" s="19">
        <v>1471</v>
      </c>
      <c r="J351" s="67" t="s">
        <v>105</v>
      </c>
      <c r="K351" s="68" t="str">
        <f>IFERROR(VLOOKUP(J351,PROVEEDORES!$A$3:$G$42,2,0),"")</f>
        <v>ESPECIES</v>
      </c>
      <c r="L351" s="69" t="str">
        <f>IFERROR(VLOOKUP(J351,PROVEEDORES!$A$3:$G$42,4,0),"")</f>
        <v>chef@gourmetselect.cl,contabilidad@gourmetselect.cl,pedidos@gourmetselect.cl,info@gourmetselect.cl</v>
      </c>
      <c r="M351" s="18" t="str">
        <f>IFERROR(VLOOKUP(J351,PROVEEDORES!$A$3:$G$42,5,0),"")</f>
        <v>56944921093</v>
      </c>
      <c r="N351" s="19">
        <v>1901</v>
      </c>
      <c r="O351" s="67"/>
      <c r="P351" s="68"/>
      <c r="Q351" s="69"/>
      <c r="R351" s="18"/>
      <c r="S351" s="19"/>
      <c r="T351" s="20">
        <f t="shared" si="16"/>
        <v>1686</v>
      </c>
      <c r="U351" s="21">
        <f t="shared" si="17"/>
        <v>1854.6000000000001</v>
      </c>
    </row>
    <row r="352" spans="1:21" ht="15" customHeight="1" x14ac:dyDescent="0.35">
      <c r="A352" s="6" t="s">
        <v>552</v>
      </c>
      <c r="B352" s="7" t="s">
        <v>555</v>
      </c>
      <c r="C352" s="8" t="s">
        <v>219</v>
      </c>
      <c r="D352" s="9">
        <v>0.18</v>
      </c>
      <c r="E352" s="64" t="s">
        <v>35</v>
      </c>
      <c r="F352" s="65" t="str">
        <f>IFERROR(VLOOKUP(E352,PROVEEDORES!$A$3:$G$42,2,0),"")</f>
        <v>ABARROTES</v>
      </c>
      <c r="G352" s="66" t="str">
        <f>IFERROR(VLOOKUP(E352,PROVEEDORES!$A$3:$G$42,4,0),"")</f>
        <v>pagos@bidfood.cl,pmolina@bidfood.cl</v>
      </c>
      <c r="H352" s="10" t="str">
        <f>IFERROR(VLOOKUP(E352,PROVEEDORES!$A$3:$G$42,5,0),"")</f>
        <v>56225994444 - 56998038459</v>
      </c>
      <c r="I352" s="11">
        <v>5361</v>
      </c>
      <c r="J352" s="64" t="s">
        <v>105</v>
      </c>
      <c r="K352" s="65" t="str">
        <f>IFERROR(VLOOKUP(J352,PROVEEDORES!$A$3:$G$42,2,0),"")</f>
        <v>ESPECIES</v>
      </c>
      <c r="L352" s="66" t="str">
        <f>IFERROR(VLOOKUP(J352,PROVEEDORES!$A$3:$G$42,4,0),"")</f>
        <v>chef@gourmetselect.cl,contabilidad@gourmetselect.cl,pedidos@gourmetselect.cl,info@gourmetselect.cl</v>
      </c>
      <c r="M352" s="10" t="str">
        <f>IFERROR(VLOOKUP(J352,PROVEEDORES!$A$3:$G$42,5,0),"")</f>
        <v>56944921093</v>
      </c>
      <c r="N352" s="11">
        <v>8948</v>
      </c>
      <c r="O352" s="64"/>
      <c r="P352" s="65"/>
      <c r="Q352" s="66"/>
      <c r="R352" s="10"/>
      <c r="S352" s="11"/>
      <c r="T352" s="12">
        <f t="shared" si="16"/>
        <v>7154.5</v>
      </c>
      <c r="U352" s="13">
        <f t="shared" si="17"/>
        <v>7869.9500000000007</v>
      </c>
    </row>
    <row r="353" spans="1:21" ht="15" customHeight="1" x14ac:dyDescent="0.35">
      <c r="A353" s="14" t="s">
        <v>552</v>
      </c>
      <c r="B353" s="15" t="s">
        <v>556</v>
      </c>
      <c r="C353" s="16" t="s">
        <v>219</v>
      </c>
      <c r="D353" s="17">
        <v>0.13</v>
      </c>
      <c r="E353" s="67" t="s">
        <v>35</v>
      </c>
      <c r="F353" s="68" t="str">
        <f>IFERROR(VLOOKUP(E353,PROVEEDORES!$A$3:$G$42,2,0),"")</f>
        <v>ABARROTES</v>
      </c>
      <c r="G353" s="69" t="str">
        <f>IFERROR(VLOOKUP(E353,PROVEEDORES!$A$3:$G$42,4,0),"")</f>
        <v>pagos@bidfood.cl,pmolina@bidfood.cl</v>
      </c>
      <c r="H353" s="18" t="str">
        <f>IFERROR(VLOOKUP(E353,PROVEEDORES!$A$3:$G$42,5,0),"")</f>
        <v>56225994444 - 56998038459</v>
      </c>
      <c r="I353" s="19">
        <v>2970</v>
      </c>
      <c r="J353" s="67" t="s">
        <v>105</v>
      </c>
      <c r="K353" s="68" t="str">
        <f>IFERROR(VLOOKUP(J353,PROVEEDORES!$A$3:$G$42,2,0),"")</f>
        <v>ESPECIES</v>
      </c>
      <c r="L353" s="69" t="str">
        <f>IFERROR(VLOOKUP(J353,PROVEEDORES!$A$3:$G$42,4,0),"")</f>
        <v>chef@gourmetselect.cl,contabilidad@gourmetselect.cl,pedidos@gourmetselect.cl,info@gourmetselect.cl</v>
      </c>
      <c r="M353" s="18" t="str">
        <f>IFERROR(VLOOKUP(J353,PROVEEDORES!$A$3:$G$42,5,0),"")</f>
        <v>56944921093</v>
      </c>
      <c r="N353" s="19">
        <v>3683</v>
      </c>
      <c r="O353" s="67"/>
      <c r="P353" s="68"/>
      <c r="Q353" s="69"/>
      <c r="R353" s="18"/>
      <c r="S353" s="19"/>
      <c r="T353" s="20">
        <f t="shared" si="16"/>
        <v>3326.5</v>
      </c>
      <c r="U353" s="21">
        <f t="shared" si="17"/>
        <v>3659.15</v>
      </c>
    </row>
    <row r="354" spans="1:21" ht="15" customHeight="1" x14ac:dyDescent="0.35">
      <c r="A354" s="6" t="s">
        <v>552</v>
      </c>
      <c r="B354" s="7" t="s">
        <v>557</v>
      </c>
      <c r="C354" s="8" t="s">
        <v>219</v>
      </c>
      <c r="D354" s="9">
        <v>0.06</v>
      </c>
      <c r="E354" s="64" t="s">
        <v>35</v>
      </c>
      <c r="F354" s="65" t="str">
        <f>IFERROR(VLOOKUP(E354,PROVEEDORES!$A$3:$G$42,2,0),"")</f>
        <v>ABARROTES</v>
      </c>
      <c r="G354" s="66" t="str">
        <f>IFERROR(VLOOKUP(E354,PROVEEDORES!$A$3:$G$42,4,0),"")</f>
        <v>pagos@bidfood.cl,pmolina@bidfood.cl</v>
      </c>
      <c r="H354" s="10" t="str">
        <f>IFERROR(VLOOKUP(E354,PROVEEDORES!$A$3:$G$42,5,0),"")</f>
        <v>56225994444 - 56998038459</v>
      </c>
      <c r="I354" s="11">
        <v>6029</v>
      </c>
      <c r="J354" s="64" t="s">
        <v>105</v>
      </c>
      <c r="K354" s="65" t="str">
        <f>IFERROR(VLOOKUP(J354,PROVEEDORES!$A$3:$G$42,2,0),"")</f>
        <v>ESPECIES</v>
      </c>
      <c r="L354" s="66" t="str">
        <f>IFERROR(VLOOKUP(J354,PROVEEDORES!$A$3:$G$42,4,0),"")</f>
        <v>chef@gourmetselect.cl,contabilidad@gourmetselect.cl,pedidos@gourmetselect.cl,info@gourmetselect.cl</v>
      </c>
      <c r="M354" s="10" t="str">
        <f>IFERROR(VLOOKUP(J354,PROVEEDORES!$A$3:$G$42,5,0),"")</f>
        <v>56944921093</v>
      </c>
      <c r="N354" s="11">
        <v>9891</v>
      </c>
      <c r="O354" s="64"/>
      <c r="P354" s="65"/>
      <c r="Q354" s="66"/>
      <c r="R354" s="10"/>
      <c r="S354" s="11"/>
      <c r="T354" s="12">
        <f t="shared" si="16"/>
        <v>7960</v>
      </c>
      <c r="U354" s="13">
        <f t="shared" si="17"/>
        <v>8756</v>
      </c>
    </row>
    <row r="355" spans="1:21" ht="15" customHeight="1" x14ac:dyDescent="0.35">
      <c r="A355" s="14" t="s">
        <v>552</v>
      </c>
      <c r="B355" s="15" t="s">
        <v>558</v>
      </c>
      <c r="C355" s="16" t="s">
        <v>219</v>
      </c>
      <c r="D355" s="17">
        <v>0.66437500000000005</v>
      </c>
      <c r="E355" s="67" t="s">
        <v>35</v>
      </c>
      <c r="F355" s="68" t="str">
        <f>IFERROR(VLOOKUP(E355,PROVEEDORES!$A$3:$G$42,2,0),"")</f>
        <v>ABARROTES</v>
      </c>
      <c r="G355" s="69" t="str">
        <f>IFERROR(VLOOKUP(E355,PROVEEDORES!$A$3:$G$42,4,0),"")</f>
        <v>pagos@bidfood.cl,pmolina@bidfood.cl</v>
      </c>
      <c r="H355" s="18" t="str">
        <f>IFERROR(VLOOKUP(E355,PROVEEDORES!$A$3:$G$42,5,0),"")</f>
        <v>56225994444 - 56998038459</v>
      </c>
      <c r="I355" s="19">
        <v>5895</v>
      </c>
      <c r="J355" s="67" t="s">
        <v>105</v>
      </c>
      <c r="K355" s="68" t="str">
        <f>IFERROR(VLOOKUP(J355,PROVEEDORES!$A$3:$G$42,2,0),"")</f>
        <v>ESPECIES</v>
      </c>
      <c r="L355" s="69" t="str">
        <f>IFERROR(VLOOKUP(J355,PROVEEDORES!$A$3:$G$42,4,0),"")</f>
        <v>chef@gourmetselect.cl,contabilidad@gourmetselect.cl,pedidos@gourmetselect.cl,info@gourmetselect.cl</v>
      </c>
      <c r="M355" s="18" t="str">
        <f>IFERROR(VLOOKUP(J355,PROVEEDORES!$A$3:$G$42,5,0),"")</f>
        <v>56944921093</v>
      </c>
      <c r="N355" s="19">
        <v>1987</v>
      </c>
      <c r="O355" s="67"/>
      <c r="P355" s="68"/>
      <c r="Q355" s="69"/>
      <c r="R355" s="18"/>
      <c r="S355" s="19"/>
      <c r="T355" s="20">
        <f t="shared" si="16"/>
        <v>3941</v>
      </c>
      <c r="U355" s="21">
        <f t="shared" si="17"/>
        <v>4335.1000000000004</v>
      </c>
    </row>
    <row r="356" spans="1:21" ht="15" customHeight="1" x14ac:dyDescent="0.35">
      <c r="A356" s="6" t="s">
        <v>552</v>
      </c>
      <c r="B356" s="7" t="s">
        <v>559</v>
      </c>
      <c r="C356" s="8" t="s">
        <v>219</v>
      </c>
      <c r="D356" s="9">
        <v>0.33</v>
      </c>
      <c r="E356" s="64" t="s">
        <v>35</v>
      </c>
      <c r="F356" s="65" t="str">
        <f>IFERROR(VLOOKUP(E356,PROVEEDORES!$A$3:$G$42,2,0),"")</f>
        <v>ABARROTES</v>
      </c>
      <c r="G356" s="66" t="str">
        <f>IFERROR(VLOOKUP(E356,PROVEEDORES!$A$3:$G$42,4,0),"")</f>
        <v>pagos@bidfood.cl,pmolina@bidfood.cl</v>
      </c>
      <c r="H356" s="10" t="str">
        <f>IFERROR(VLOOKUP(E356,PROVEEDORES!$A$3:$G$42,5,0),"")</f>
        <v>56225994444 - 56998038459</v>
      </c>
      <c r="I356" s="11">
        <v>2972</v>
      </c>
      <c r="J356" s="64" t="s">
        <v>105</v>
      </c>
      <c r="K356" s="65" t="str">
        <f>IFERROR(VLOOKUP(J356,PROVEEDORES!$A$3:$G$42,2,0),"")</f>
        <v>ESPECIES</v>
      </c>
      <c r="L356" s="66" t="str">
        <f>IFERROR(VLOOKUP(J356,PROVEEDORES!$A$3:$G$42,4,0),"")</f>
        <v>chef@gourmetselect.cl,contabilidad@gourmetselect.cl,pedidos@gourmetselect.cl,info@gourmetselect.cl</v>
      </c>
      <c r="M356" s="10" t="str">
        <f>IFERROR(VLOOKUP(J356,PROVEEDORES!$A$3:$G$42,5,0),"")</f>
        <v>56944921093</v>
      </c>
      <c r="N356" s="11">
        <v>4292</v>
      </c>
      <c r="O356" s="64"/>
      <c r="P356" s="65"/>
      <c r="Q356" s="66"/>
      <c r="R356" s="10"/>
      <c r="S356" s="11"/>
      <c r="T356" s="12">
        <f t="shared" si="16"/>
        <v>3632</v>
      </c>
      <c r="U356" s="13">
        <f t="shared" si="17"/>
        <v>3995.2000000000003</v>
      </c>
    </row>
    <row r="357" spans="1:21" ht="15" customHeight="1" x14ac:dyDescent="0.35">
      <c r="A357" s="14" t="s">
        <v>552</v>
      </c>
      <c r="B357" s="15" t="s">
        <v>560</v>
      </c>
      <c r="C357" s="16" t="s">
        <v>219</v>
      </c>
      <c r="D357" s="17">
        <v>0.125</v>
      </c>
      <c r="E357" s="67" t="s">
        <v>35</v>
      </c>
      <c r="F357" s="68" t="str">
        <f>IFERROR(VLOOKUP(E357,PROVEEDORES!$A$3:$G$42,2,0),"")</f>
        <v>ABARROTES</v>
      </c>
      <c r="G357" s="69" t="str">
        <f>IFERROR(VLOOKUP(E357,PROVEEDORES!$A$3:$G$42,4,0),"")</f>
        <v>pagos@bidfood.cl,pmolina@bidfood.cl</v>
      </c>
      <c r="H357" s="18" t="str">
        <f>IFERROR(VLOOKUP(E357,PROVEEDORES!$A$3:$G$42,5,0),"")</f>
        <v>56225994444 - 56998038459</v>
      </c>
      <c r="I357" s="19">
        <v>4500</v>
      </c>
      <c r="J357" s="67" t="s">
        <v>105</v>
      </c>
      <c r="K357" s="68" t="str">
        <f>IFERROR(VLOOKUP(J357,PROVEEDORES!$A$3:$G$42,2,0),"")</f>
        <v>ESPECIES</v>
      </c>
      <c r="L357" s="69" t="str">
        <f>IFERROR(VLOOKUP(J357,PROVEEDORES!$A$3:$G$42,4,0),"")</f>
        <v>chef@gourmetselect.cl,contabilidad@gourmetselect.cl,pedidos@gourmetselect.cl,info@gourmetselect.cl</v>
      </c>
      <c r="M357" s="18" t="str">
        <f>IFERROR(VLOOKUP(J357,PROVEEDORES!$A$3:$G$42,5,0),"")</f>
        <v>56944921093</v>
      </c>
      <c r="N357" s="19">
        <v>7463</v>
      </c>
      <c r="O357" s="67"/>
      <c r="P357" s="68"/>
      <c r="Q357" s="69"/>
      <c r="R357" s="18"/>
      <c r="S357" s="19"/>
      <c r="T357" s="20">
        <f t="shared" si="16"/>
        <v>5981.5</v>
      </c>
      <c r="U357" s="21">
        <f t="shared" si="17"/>
        <v>6579.6500000000005</v>
      </c>
    </row>
    <row r="358" spans="1:21" ht="15" customHeight="1" x14ac:dyDescent="0.35">
      <c r="A358" s="6" t="s">
        <v>552</v>
      </c>
      <c r="B358" s="7" t="s">
        <v>561</v>
      </c>
      <c r="C358" s="8" t="s">
        <v>219</v>
      </c>
      <c r="D358" s="9">
        <v>0.2175</v>
      </c>
      <c r="E358" s="64" t="s">
        <v>35</v>
      </c>
      <c r="F358" s="65" t="str">
        <f>IFERROR(VLOOKUP(E358,PROVEEDORES!$A$3:$G$42,2,0),"")</f>
        <v>ABARROTES</v>
      </c>
      <c r="G358" s="66" t="str">
        <f>IFERROR(VLOOKUP(E358,PROVEEDORES!$A$3:$G$42,4,0),"")</f>
        <v>pagos@bidfood.cl,pmolina@bidfood.cl</v>
      </c>
      <c r="H358" s="10" t="str">
        <f>IFERROR(VLOOKUP(E358,PROVEEDORES!$A$3:$G$42,5,0),"")</f>
        <v>56225994444 - 56998038459</v>
      </c>
      <c r="I358" s="11">
        <v>5865</v>
      </c>
      <c r="J358" s="64" t="s">
        <v>105</v>
      </c>
      <c r="K358" s="65" t="str">
        <f>IFERROR(VLOOKUP(J358,PROVEEDORES!$A$3:$G$42,2,0),"")</f>
        <v>ESPECIES</v>
      </c>
      <c r="L358" s="66" t="str">
        <f>IFERROR(VLOOKUP(J358,PROVEEDORES!$A$3:$G$42,4,0),"")</f>
        <v>chef@gourmetselect.cl,contabilidad@gourmetselect.cl,pedidos@gourmetselect.cl,info@gourmetselect.cl</v>
      </c>
      <c r="M358" s="10" t="str">
        <f>IFERROR(VLOOKUP(J358,PROVEEDORES!$A$3:$G$42,5,0),"")</f>
        <v>56944921093</v>
      </c>
      <c r="N358" s="11">
        <v>2091</v>
      </c>
      <c r="O358" s="64"/>
      <c r="P358" s="65"/>
      <c r="Q358" s="66"/>
      <c r="R358" s="10"/>
      <c r="S358" s="11"/>
      <c r="T358" s="12">
        <f t="shared" si="16"/>
        <v>3978</v>
      </c>
      <c r="U358" s="13">
        <f t="shared" si="17"/>
        <v>4375.8</v>
      </c>
    </row>
    <row r="359" spans="1:21" ht="15" customHeight="1" x14ac:dyDescent="0.35">
      <c r="A359" s="14" t="s">
        <v>552</v>
      </c>
      <c r="B359" s="15" t="s">
        <v>562</v>
      </c>
      <c r="C359" s="16" t="s">
        <v>219</v>
      </c>
      <c r="D359" s="17">
        <v>0.14499999999999999</v>
      </c>
      <c r="E359" s="67" t="s">
        <v>35</v>
      </c>
      <c r="F359" s="68" t="str">
        <f>IFERROR(VLOOKUP(E359,PROVEEDORES!$A$3:$G$42,2,0),"")</f>
        <v>ABARROTES</v>
      </c>
      <c r="G359" s="69" t="str">
        <f>IFERROR(VLOOKUP(E359,PROVEEDORES!$A$3:$G$42,4,0),"")</f>
        <v>pagos@bidfood.cl,pmolina@bidfood.cl</v>
      </c>
      <c r="H359" s="18" t="str">
        <f>IFERROR(VLOOKUP(E359,PROVEEDORES!$A$3:$G$42,5,0),"")</f>
        <v>56225994444 - 56998038459</v>
      </c>
      <c r="I359" s="19">
        <v>6500</v>
      </c>
      <c r="J359" s="67" t="s">
        <v>105</v>
      </c>
      <c r="K359" s="68" t="str">
        <f>IFERROR(VLOOKUP(J359,PROVEEDORES!$A$3:$G$42,2,0),"")</f>
        <v>ESPECIES</v>
      </c>
      <c r="L359" s="69" t="str">
        <f>IFERROR(VLOOKUP(J359,PROVEEDORES!$A$3:$G$42,4,0),"")</f>
        <v>chef@gourmetselect.cl,contabilidad@gourmetselect.cl,pedidos@gourmetselect.cl,info@gourmetselect.cl</v>
      </c>
      <c r="M359" s="18" t="str">
        <f>IFERROR(VLOOKUP(J359,PROVEEDORES!$A$3:$G$42,5,0),"")</f>
        <v>56944921093</v>
      </c>
      <c r="N359" s="19">
        <v>8606</v>
      </c>
      <c r="O359" s="67"/>
      <c r="P359" s="68"/>
      <c r="Q359" s="69"/>
      <c r="R359" s="18"/>
      <c r="S359" s="19"/>
      <c r="T359" s="20">
        <f t="shared" si="16"/>
        <v>7553</v>
      </c>
      <c r="U359" s="21">
        <f t="shared" si="17"/>
        <v>8308.3000000000011</v>
      </c>
    </row>
    <row r="360" spans="1:21" ht="15" customHeight="1" x14ac:dyDescent="0.35">
      <c r="A360" s="6" t="s">
        <v>552</v>
      </c>
      <c r="B360" s="7" t="s">
        <v>563</v>
      </c>
      <c r="C360" s="8" t="s">
        <v>219</v>
      </c>
      <c r="D360" s="9">
        <v>0.2</v>
      </c>
      <c r="E360" s="64" t="s">
        <v>35</v>
      </c>
      <c r="F360" s="65" t="str">
        <f>IFERROR(VLOOKUP(E360,PROVEEDORES!$A$3:$G$42,2,0),"")</f>
        <v>ABARROTES</v>
      </c>
      <c r="G360" s="66" t="str">
        <f>IFERROR(VLOOKUP(E360,PROVEEDORES!$A$3:$G$42,4,0),"")</f>
        <v>pagos@bidfood.cl,pmolina@bidfood.cl</v>
      </c>
      <c r="H360" s="10" t="str">
        <f>IFERROR(VLOOKUP(E360,PROVEEDORES!$A$3:$G$42,5,0),"")</f>
        <v>56225994444 - 56998038459</v>
      </c>
      <c r="I360" s="11">
        <v>8028</v>
      </c>
      <c r="J360" s="64" t="s">
        <v>105</v>
      </c>
      <c r="K360" s="65" t="str">
        <f>IFERROR(VLOOKUP(J360,PROVEEDORES!$A$3:$G$42,2,0),"")</f>
        <v>ESPECIES</v>
      </c>
      <c r="L360" s="66" t="str">
        <f>IFERROR(VLOOKUP(J360,PROVEEDORES!$A$3:$G$42,4,0),"")</f>
        <v>chef@gourmetselect.cl,contabilidad@gourmetselect.cl,pedidos@gourmetselect.cl,info@gourmetselect.cl</v>
      </c>
      <c r="M360" s="10" t="str">
        <f>IFERROR(VLOOKUP(J360,PROVEEDORES!$A$3:$G$42,5,0),"")</f>
        <v>56944921093</v>
      </c>
      <c r="N360" s="11">
        <v>2717</v>
      </c>
      <c r="O360" s="64"/>
      <c r="P360" s="65"/>
      <c r="Q360" s="66"/>
      <c r="R360" s="10"/>
      <c r="S360" s="11"/>
      <c r="T360" s="12">
        <f t="shared" si="16"/>
        <v>5372.5</v>
      </c>
      <c r="U360" s="13">
        <f t="shared" si="17"/>
        <v>5909.7500000000009</v>
      </c>
    </row>
    <row r="361" spans="1:21" ht="15" customHeight="1" x14ac:dyDescent="0.35">
      <c r="A361" s="14" t="s">
        <v>552</v>
      </c>
      <c r="B361" s="15" t="s">
        <v>564</v>
      </c>
      <c r="C361" s="16" t="s">
        <v>219</v>
      </c>
      <c r="D361" s="17">
        <v>0.33774999999999999</v>
      </c>
      <c r="E361" s="67" t="s">
        <v>35</v>
      </c>
      <c r="F361" s="68" t="str">
        <f>IFERROR(VLOOKUP(E361,PROVEEDORES!$A$3:$G$42,2,0),"")</f>
        <v>ABARROTES</v>
      </c>
      <c r="G361" s="69" t="str">
        <f>IFERROR(VLOOKUP(E361,PROVEEDORES!$A$3:$G$42,4,0),"")</f>
        <v>pagos@bidfood.cl,pmolina@bidfood.cl</v>
      </c>
      <c r="H361" s="18" t="str">
        <f>IFERROR(VLOOKUP(E361,PROVEEDORES!$A$3:$G$42,5,0),"")</f>
        <v>56225994444 - 56998038459</v>
      </c>
      <c r="I361" s="19">
        <v>8028</v>
      </c>
      <c r="J361" s="67" t="s">
        <v>105</v>
      </c>
      <c r="K361" s="68" t="str">
        <f>IFERROR(VLOOKUP(J361,PROVEEDORES!$A$3:$G$42,2,0),"")</f>
        <v>ESPECIES</v>
      </c>
      <c r="L361" s="69" t="str">
        <f>IFERROR(VLOOKUP(J361,PROVEEDORES!$A$3:$G$42,4,0),"")</f>
        <v>chef@gourmetselect.cl,contabilidad@gourmetselect.cl,pedidos@gourmetselect.cl,info@gourmetselect.cl</v>
      </c>
      <c r="M361" s="18" t="str">
        <f>IFERROR(VLOOKUP(J361,PROVEEDORES!$A$3:$G$42,5,0),"")</f>
        <v>56944921093</v>
      </c>
      <c r="N361" s="19">
        <v>13567</v>
      </c>
      <c r="O361" s="67"/>
      <c r="P361" s="68"/>
      <c r="Q361" s="69"/>
      <c r="R361" s="18"/>
      <c r="S361" s="19"/>
      <c r="T361" s="20">
        <f t="shared" si="16"/>
        <v>10797.5</v>
      </c>
      <c r="U361" s="21">
        <f t="shared" si="17"/>
        <v>11877.250000000002</v>
      </c>
    </row>
    <row r="362" spans="1:21" ht="15" customHeight="1" x14ac:dyDescent="0.35">
      <c r="A362" s="6" t="s">
        <v>552</v>
      </c>
      <c r="B362" s="7" t="s">
        <v>565</v>
      </c>
      <c r="C362" s="8" t="s">
        <v>219</v>
      </c>
      <c r="D362" s="9">
        <v>2.5000000000000001E-2</v>
      </c>
      <c r="E362" s="64" t="s">
        <v>35</v>
      </c>
      <c r="F362" s="65" t="str">
        <f>IFERROR(VLOOKUP(E362,PROVEEDORES!$A$3:$G$42,2,0),"")</f>
        <v>ABARROTES</v>
      </c>
      <c r="G362" s="66" t="str">
        <f>IFERROR(VLOOKUP(E362,PROVEEDORES!$A$3:$G$42,4,0),"")</f>
        <v>pagos@bidfood.cl,pmolina@bidfood.cl</v>
      </c>
      <c r="H362" s="10" t="str">
        <f>IFERROR(VLOOKUP(E362,PROVEEDORES!$A$3:$G$42,5,0),"")</f>
        <v>56225994444 - 56998038459</v>
      </c>
      <c r="I362" s="11">
        <v>4709</v>
      </c>
      <c r="J362" s="64" t="s">
        <v>105</v>
      </c>
      <c r="K362" s="65" t="str">
        <f>IFERROR(VLOOKUP(J362,PROVEEDORES!$A$3:$G$42,2,0),"")</f>
        <v>ESPECIES</v>
      </c>
      <c r="L362" s="66" t="str">
        <f>IFERROR(VLOOKUP(J362,PROVEEDORES!$A$3:$G$42,4,0),"")</f>
        <v>chef@gourmetselect.cl,contabilidad@gourmetselect.cl,pedidos@gourmetselect.cl,info@gourmetselect.cl</v>
      </c>
      <c r="M362" s="10" t="str">
        <f>IFERROR(VLOOKUP(J362,PROVEEDORES!$A$3:$G$42,5,0),"")</f>
        <v>56944921093</v>
      </c>
      <c r="N362" s="11">
        <v>4603</v>
      </c>
      <c r="O362" s="64"/>
      <c r="P362" s="65"/>
      <c r="Q362" s="66"/>
      <c r="R362" s="10"/>
      <c r="S362" s="11"/>
      <c r="T362" s="12">
        <f t="shared" si="16"/>
        <v>4656</v>
      </c>
      <c r="U362" s="13">
        <f t="shared" si="17"/>
        <v>5121.6000000000004</v>
      </c>
    </row>
    <row r="363" spans="1:21" ht="12" customHeight="1" x14ac:dyDescent="0.35">
      <c r="A363" s="59" t="s">
        <v>566</v>
      </c>
      <c r="B363" s="59"/>
      <c r="C363" s="59"/>
      <c r="D363" s="59"/>
      <c r="E363" s="59"/>
      <c r="F363" s="59"/>
      <c r="G363" s="59"/>
      <c r="H363" s="59"/>
      <c r="I363" s="59"/>
      <c r="J363" s="59"/>
      <c r="K363" s="59"/>
      <c r="L363" s="59"/>
      <c r="M363" s="59"/>
      <c r="N363" s="59"/>
      <c r="O363" s="59"/>
      <c r="P363" s="59"/>
      <c r="Q363" s="59"/>
      <c r="R363" s="59"/>
      <c r="S363" s="59"/>
      <c r="T363" s="59"/>
      <c r="U363" s="59"/>
    </row>
    <row r="364" spans="1:21" ht="15" customHeight="1" x14ac:dyDescent="0.35">
      <c r="A364" s="6" t="s">
        <v>566</v>
      </c>
      <c r="B364" s="7" t="s">
        <v>567</v>
      </c>
      <c r="C364" s="8" t="s">
        <v>239</v>
      </c>
      <c r="D364" s="9">
        <v>0.1</v>
      </c>
      <c r="E364" s="64" t="s">
        <v>35</v>
      </c>
      <c r="F364" s="65" t="str">
        <f>IFERROR(VLOOKUP(E364,PROVEEDORES!$A$3:$G$42,2,0),"")</f>
        <v>ABARROTES</v>
      </c>
      <c r="G364" s="66" t="str">
        <f>IFERROR(VLOOKUP(E364,PROVEEDORES!$A$3:$G$42,4,0),"")</f>
        <v>pagos@bidfood.cl,pmolina@bidfood.cl</v>
      </c>
      <c r="H364" s="10" t="str">
        <f>IFERROR(VLOOKUP(E364,PROVEEDORES!$A$3:$G$42,5,0),"")</f>
        <v>56225994444 - 56998038459</v>
      </c>
      <c r="I364" s="11">
        <v>1460</v>
      </c>
      <c r="J364" s="64" t="s">
        <v>105</v>
      </c>
      <c r="K364" s="65" t="str">
        <f>IFERROR(VLOOKUP(J364,PROVEEDORES!$A$3:$G$42,2,0),"")</f>
        <v>ESPECIES</v>
      </c>
      <c r="L364" s="66" t="str">
        <f>IFERROR(VLOOKUP(J364,PROVEEDORES!$A$3:$G$42,4,0),"")</f>
        <v>chef@gourmetselect.cl,contabilidad@gourmetselect.cl,pedidos@gourmetselect.cl,info@gourmetselect.cl</v>
      </c>
      <c r="M364" s="10" t="str">
        <f>IFERROR(VLOOKUP(J364,PROVEEDORES!$A$3:$G$42,5,0),"")</f>
        <v>56944921093</v>
      </c>
      <c r="N364" s="11">
        <v>1138</v>
      </c>
      <c r="O364" s="64" t="s">
        <v>41</v>
      </c>
      <c r="P364" s="65" t="str">
        <f>IFERROR(VLOOKUP(O364,PROVEEDORES!$A$3:$G$42,2,0),"")</f>
        <v>FRUTAS Y VERDURAS</v>
      </c>
      <c r="Q364" s="66" t="str">
        <f>IFERROR(VLOOKUP(O364,PROVEEDORES!$A$3:$G$42,4,0),"")</f>
        <v>caseritaencasa@gmail.com</v>
      </c>
      <c r="R364" s="10" t="str">
        <f>IFERROR(VLOOKUP(O364,PROVEEDORES!$A$3:$G$42,5,0),"")</f>
        <v>56952069703</v>
      </c>
      <c r="S364" s="11">
        <v>1810</v>
      </c>
      <c r="T364" s="12">
        <f>AVERAGE(I364,N364,S364)</f>
        <v>1469.3333333333333</v>
      </c>
      <c r="U364" s="13">
        <f>T364*(1+$B$2)</f>
        <v>1616.2666666666667</v>
      </c>
    </row>
    <row r="365" spans="1:21" ht="15" customHeight="1" x14ac:dyDescent="0.35">
      <c r="A365" s="14" t="s">
        <v>566</v>
      </c>
      <c r="B365" s="15" t="s">
        <v>568</v>
      </c>
      <c r="C365" s="16" t="s">
        <v>219</v>
      </c>
      <c r="D365" s="17">
        <v>6.2500000000000003E-3</v>
      </c>
      <c r="E365" s="67" t="s">
        <v>35</v>
      </c>
      <c r="F365" s="68" t="str">
        <f>IFERROR(VLOOKUP(E365,PROVEEDORES!$A$3:$G$42,2,0),"")</f>
        <v>ABARROTES</v>
      </c>
      <c r="G365" s="69" t="str">
        <f>IFERROR(VLOOKUP(E365,PROVEEDORES!$A$3:$G$42,4,0),"")</f>
        <v>pagos@bidfood.cl,pmolina@bidfood.cl</v>
      </c>
      <c r="H365" s="18" t="str">
        <f>IFERROR(VLOOKUP(E365,PROVEEDORES!$A$3:$G$42,5,0),"")</f>
        <v>56225994444 - 56998038459</v>
      </c>
      <c r="I365" s="19">
        <v>4662</v>
      </c>
      <c r="J365" s="67" t="s">
        <v>105</v>
      </c>
      <c r="K365" s="68" t="str">
        <f>IFERROR(VLOOKUP(J365,PROVEEDORES!$A$3:$G$42,2,0),"")</f>
        <v>ESPECIES</v>
      </c>
      <c r="L365" s="69" t="str">
        <f>IFERROR(VLOOKUP(J365,PROVEEDORES!$A$3:$G$42,4,0),"")</f>
        <v>chef@gourmetselect.cl,contabilidad@gourmetselect.cl,pedidos@gourmetselect.cl,info@gourmetselect.cl</v>
      </c>
      <c r="M365" s="18" t="str">
        <f>IFERROR(VLOOKUP(J365,PROVEEDORES!$A$3:$G$42,5,0),"")</f>
        <v>56944921093</v>
      </c>
      <c r="N365" s="19">
        <v>3753</v>
      </c>
      <c r="O365" s="67" t="s">
        <v>41</v>
      </c>
      <c r="P365" s="68" t="str">
        <f>IFERROR(VLOOKUP(O365,PROVEEDORES!$A$3:$G$42,2,0),"")</f>
        <v>FRUTAS Y VERDURAS</v>
      </c>
      <c r="Q365" s="69" t="str">
        <f>IFERROR(VLOOKUP(O365,PROVEEDORES!$A$3:$G$42,4,0),"")</f>
        <v>caseritaencasa@gmail.com</v>
      </c>
      <c r="R365" s="18" t="str">
        <f>IFERROR(VLOOKUP(O365,PROVEEDORES!$A$3:$G$42,5,0),"")</f>
        <v>56952069703</v>
      </c>
      <c r="S365" s="19">
        <v>8877</v>
      </c>
      <c r="T365" s="20">
        <f>AVERAGE(I365,N365,S365)</f>
        <v>5764</v>
      </c>
      <c r="U365" s="21">
        <f>T365*(1+$B$2)</f>
        <v>6340.4000000000005</v>
      </c>
    </row>
    <row r="366" spans="1:21" ht="15" customHeight="1" x14ac:dyDescent="0.35">
      <c r="A366" s="6" t="s">
        <v>566</v>
      </c>
      <c r="B366" s="7" t="s">
        <v>569</v>
      </c>
      <c r="C366" s="8" t="s">
        <v>219</v>
      </c>
      <c r="D366" s="9">
        <v>2.8125000000000001E-2</v>
      </c>
      <c r="E366" s="64" t="s">
        <v>35</v>
      </c>
      <c r="F366" s="65" t="str">
        <f>IFERROR(VLOOKUP(E366,PROVEEDORES!$A$3:$G$42,2,0),"")</f>
        <v>ABARROTES</v>
      </c>
      <c r="G366" s="66" t="str">
        <f>IFERROR(VLOOKUP(E366,PROVEEDORES!$A$3:$G$42,4,0),"")</f>
        <v>pagos@bidfood.cl,pmolina@bidfood.cl</v>
      </c>
      <c r="H366" s="10" t="str">
        <f>IFERROR(VLOOKUP(E366,PROVEEDORES!$A$3:$G$42,5,0),"")</f>
        <v>56225994444 - 56998038459</v>
      </c>
      <c r="I366" s="11">
        <v>3425</v>
      </c>
      <c r="J366" s="64" t="s">
        <v>105</v>
      </c>
      <c r="K366" s="65" t="str">
        <f>IFERROR(VLOOKUP(J366,PROVEEDORES!$A$3:$G$42,2,0),"")</f>
        <v>ESPECIES</v>
      </c>
      <c r="L366" s="66" t="str">
        <f>IFERROR(VLOOKUP(J366,PROVEEDORES!$A$3:$G$42,4,0),"")</f>
        <v>chef@gourmetselect.cl,contabilidad@gourmetselect.cl,pedidos@gourmetselect.cl,info@gourmetselect.cl</v>
      </c>
      <c r="M366" s="10" t="str">
        <f>IFERROR(VLOOKUP(J366,PROVEEDORES!$A$3:$G$42,5,0),"")</f>
        <v>56944921093</v>
      </c>
      <c r="N366" s="11">
        <v>2521</v>
      </c>
      <c r="O366" s="64" t="s">
        <v>41</v>
      </c>
      <c r="P366" s="65" t="str">
        <f>IFERROR(VLOOKUP(O366,PROVEEDORES!$A$3:$G$42,2,0),"")</f>
        <v>FRUTAS Y VERDURAS</v>
      </c>
      <c r="Q366" s="66" t="str">
        <f>IFERROR(VLOOKUP(O366,PROVEEDORES!$A$3:$G$42,4,0),"")</f>
        <v>caseritaencasa@gmail.com</v>
      </c>
      <c r="R366" s="10" t="str">
        <f>IFERROR(VLOOKUP(O366,PROVEEDORES!$A$3:$G$42,5,0),"")</f>
        <v>56952069703</v>
      </c>
      <c r="S366" s="11">
        <v>-109</v>
      </c>
      <c r="T366" s="12">
        <f>AVERAGE(I366,N366,S366)</f>
        <v>1945.6666666666667</v>
      </c>
      <c r="U366" s="13">
        <f>T366*(1+$B$2)</f>
        <v>2140.2333333333336</v>
      </c>
    </row>
    <row r="367" spans="1:21" ht="15" customHeight="1" x14ac:dyDescent="0.35">
      <c r="A367" s="14" t="s">
        <v>566</v>
      </c>
      <c r="B367" s="15" t="s">
        <v>570</v>
      </c>
      <c r="C367" s="16" t="s">
        <v>219</v>
      </c>
      <c r="D367" s="17">
        <v>5.0000000000000001E-3</v>
      </c>
      <c r="E367" s="67" t="s">
        <v>35</v>
      </c>
      <c r="F367" s="68" t="str">
        <f>IFERROR(VLOOKUP(E367,PROVEEDORES!$A$3:$G$42,2,0),"")</f>
        <v>ABARROTES</v>
      </c>
      <c r="G367" s="69" t="str">
        <f>IFERROR(VLOOKUP(E367,PROVEEDORES!$A$3:$G$42,4,0),"")</f>
        <v>pagos@bidfood.cl,pmolina@bidfood.cl</v>
      </c>
      <c r="H367" s="18" t="str">
        <f>IFERROR(VLOOKUP(E367,PROVEEDORES!$A$3:$G$42,5,0),"")</f>
        <v>56225994444 - 56998038459</v>
      </c>
      <c r="I367" s="19">
        <v>12990</v>
      </c>
      <c r="J367" s="67" t="s">
        <v>105</v>
      </c>
      <c r="K367" s="68" t="str">
        <f>IFERROR(VLOOKUP(J367,PROVEEDORES!$A$3:$G$42,2,0),"")</f>
        <v>ESPECIES</v>
      </c>
      <c r="L367" s="69" t="str">
        <f>IFERROR(VLOOKUP(J367,PROVEEDORES!$A$3:$G$42,4,0),"")</f>
        <v>chef@gourmetselect.cl,contabilidad@gourmetselect.cl,pedidos@gourmetselect.cl,info@gourmetselect.cl</v>
      </c>
      <c r="M367" s="18" t="str">
        <f>IFERROR(VLOOKUP(J367,PROVEEDORES!$A$3:$G$42,5,0),"")</f>
        <v>56944921093</v>
      </c>
      <c r="N367" s="19">
        <v>7437</v>
      </c>
      <c r="O367" s="67" t="s">
        <v>41</v>
      </c>
      <c r="P367" s="68" t="str">
        <f>IFERROR(VLOOKUP(O367,PROVEEDORES!$A$3:$G$42,2,0),"")</f>
        <v>FRUTAS Y VERDURAS</v>
      </c>
      <c r="Q367" s="69" t="str">
        <f>IFERROR(VLOOKUP(O367,PROVEEDORES!$A$3:$G$42,4,0),"")</f>
        <v>caseritaencasa@gmail.com</v>
      </c>
      <c r="R367" s="18" t="str">
        <f>IFERROR(VLOOKUP(O367,PROVEEDORES!$A$3:$G$42,5,0),"")</f>
        <v>56952069703</v>
      </c>
      <c r="S367" s="19">
        <v>11933</v>
      </c>
      <c r="T367" s="20">
        <f>AVERAGE(I367,N367,S367)</f>
        <v>10786.666666666666</v>
      </c>
      <c r="U367" s="21">
        <f>T367*(1+$B$2)</f>
        <v>11865.333333333334</v>
      </c>
    </row>
    <row r="368" spans="1:21" ht="12" customHeight="1" x14ac:dyDescent="0.35">
      <c r="A368" s="59" t="s">
        <v>571</v>
      </c>
      <c r="B368" s="59"/>
      <c r="C368" s="59"/>
      <c r="D368" s="59"/>
      <c r="E368" s="59"/>
      <c r="F368" s="59"/>
      <c r="G368" s="59"/>
      <c r="H368" s="59"/>
      <c r="I368" s="59"/>
      <c r="J368" s="59"/>
      <c r="K368" s="59"/>
      <c r="L368" s="59"/>
      <c r="M368" s="59"/>
      <c r="N368" s="59"/>
      <c r="O368" s="59"/>
      <c r="P368" s="59"/>
      <c r="Q368" s="59"/>
      <c r="R368" s="59"/>
      <c r="S368" s="59"/>
      <c r="T368" s="59"/>
      <c r="U368" s="59"/>
    </row>
    <row r="369" spans="1:21" ht="15" customHeight="1" x14ac:dyDescent="0.35">
      <c r="A369" s="14" t="s">
        <v>571</v>
      </c>
      <c r="B369" s="15" t="s">
        <v>572</v>
      </c>
      <c r="C369" s="16" t="s">
        <v>219</v>
      </c>
      <c r="D369" s="17">
        <v>0.17</v>
      </c>
      <c r="E369" s="67" t="s">
        <v>149</v>
      </c>
      <c r="F369" s="68" t="str">
        <f>IFERROR(VLOOKUP(E369,PROVEEDORES!$A$3:$G$42,2,0),"")</f>
        <v>CARNES Y LACTEOS</v>
      </c>
      <c r="G369" s="69" t="str">
        <f>IFERROR(VLOOKUP(E369,PROVEEDORES!$A$3:$G$42,4,0),"")</f>
        <v>grivas@palaisgourmet.cl</v>
      </c>
      <c r="H369" s="18" t="str">
        <f>IFERROR(VLOOKUP(E369,PROVEEDORES!$A$3:$G$42,5,0),"")</f>
        <v>56942132129</v>
      </c>
      <c r="I369" s="19">
        <v>5535</v>
      </c>
      <c r="J369" s="67" t="s">
        <v>35</v>
      </c>
      <c r="K369" s="68" t="str">
        <f>IFERROR(VLOOKUP(J369,PROVEEDORES!$A$3:$G$42,2,0),"")</f>
        <v>ABARROTES</v>
      </c>
      <c r="L369" s="69" t="str">
        <f>IFERROR(VLOOKUP(J369,PROVEEDORES!$A$3:$G$42,4,0),"")</f>
        <v>pagos@bidfood.cl,pmolina@bidfood.cl</v>
      </c>
      <c r="M369" s="18" t="str">
        <f>IFERROR(VLOOKUP(J369,PROVEEDORES!$A$3:$G$42,5,0),"")</f>
        <v>56225994444 - 56998038459</v>
      </c>
      <c r="N369" s="19">
        <v>7810</v>
      </c>
      <c r="O369" s="67"/>
      <c r="P369" s="68"/>
      <c r="Q369" s="69"/>
      <c r="R369" s="18"/>
      <c r="S369" s="19"/>
      <c r="T369" s="20">
        <f>AVERAGE(I369,N369)</f>
        <v>6672.5</v>
      </c>
      <c r="U369" s="21">
        <f>T369*(1+$B$2)</f>
        <v>7339.7500000000009</v>
      </c>
    </row>
    <row r="370" spans="1:21" ht="15" customHeight="1" x14ac:dyDescent="0.35">
      <c r="A370" s="6" t="s">
        <v>571</v>
      </c>
      <c r="B370" s="7" t="s">
        <v>573</v>
      </c>
      <c r="C370" s="8" t="s">
        <v>219</v>
      </c>
      <c r="D370" s="9">
        <v>0.05</v>
      </c>
      <c r="E370" s="64" t="s">
        <v>149</v>
      </c>
      <c r="F370" s="65" t="str">
        <f>IFERROR(VLOOKUP(E370,PROVEEDORES!$A$3:$G$42,2,0),"")</f>
        <v>CARNES Y LACTEOS</v>
      </c>
      <c r="G370" s="66" t="str">
        <f>IFERROR(VLOOKUP(E370,PROVEEDORES!$A$3:$G$42,4,0),"")</f>
        <v>grivas@palaisgourmet.cl</v>
      </c>
      <c r="H370" s="10" t="str">
        <f>IFERROR(VLOOKUP(E370,PROVEEDORES!$A$3:$G$42,5,0),"")</f>
        <v>56942132129</v>
      </c>
      <c r="I370" s="11">
        <v>5970</v>
      </c>
      <c r="J370" s="64" t="s">
        <v>35</v>
      </c>
      <c r="K370" s="65" t="str">
        <f>IFERROR(VLOOKUP(J370,PROVEEDORES!$A$3:$G$42,2,0),"")</f>
        <v>ABARROTES</v>
      </c>
      <c r="L370" s="66" t="str">
        <f>IFERROR(VLOOKUP(J370,PROVEEDORES!$A$3:$G$42,4,0),"")</f>
        <v>pagos@bidfood.cl,pmolina@bidfood.cl</v>
      </c>
      <c r="M370" s="10" t="str">
        <f>IFERROR(VLOOKUP(J370,PROVEEDORES!$A$3:$G$42,5,0),"")</f>
        <v>56225994444 - 56998038459</v>
      </c>
      <c r="N370" s="11">
        <v>9901</v>
      </c>
      <c r="O370" s="64"/>
      <c r="P370" s="65"/>
      <c r="Q370" s="66"/>
      <c r="R370" s="10"/>
      <c r="S370" s="11"/>
      <c r="T370" s="12">
        <f>AVERAGE(I370,N370)</f>
        <v>7935.5</v>
      </c>
      <c r="U370" s="13">
        <f>T370*(1+$B$2)</f>
        <v>8729.0500000000011</v>
      </c>
    </row>
    <row r="371" spans="1:21" ht="15" customHeight="1" x14ac:dyDescent="0.35">
      <c r="A371" s="14" t="s">
        <v>571</v>
      </c>
      <c r="B371" s="15" t="s">
        <v>574</v>
      </c>
      <c r="C371" s="16" t="s">
        <v>239</v>
      </c>
      <c r="D371" s="17">
        <v>1</v>
      </c>
      <c r="E371" s="67" t="s">
        <v>149</v>
      </c>
      <c r="F371" s="68" t="str">
        <f>IFERROR(VLOOKUP(E371,PROVEEDORES!$A$3:$G$42,2,0),"")</f>
        <v>CARNES Y LACTEOS</v>
      </c>
      <c r="G371" s="69" t="str">
        <f>IFERROR(VLOOKUP(E371,PROVEEDORES!$A$3:$G$42,4,0),"")</f>
        <v>grivas@palaisgourmet.cl</v>
      </c>
      <c r="H371" s="18" t="str">
        <f>IFERROR(VLOOKUP(E371,PROVEEDORES!$A$3:$G$42,5,0),"")</f>
        <v>56942132129</v>
      </c>
      <c r="I371" s="19">
        <v>495</v>
      </c>
      <c r="J371" s="67" t="s">
        <v>35</v>
      </c>
      <c r="K371" s="68" t="str">
        <f>IFERROR(VLOOKUP(J371,PROVEEDORES!$A$3:$G$42,2,0),"")</f>
        <v>ABARROTES</v>
      </c>
      <c r="L371" s="69" t="str">
        <f>IFERROR(VLOOKUP(J371,PROVEEDORES!$A$3:$G$42,4,0),"")</f>
        <v>pagos@bidfood.cl,pmolina@bidfood.cl</v>
      </c>
      <c r="M371" s="18" t="str">
        <f>IFERROR(VLOOKUP(J371,PROVEEDORES!$A$3:$G$42,5,0),"")</f>
        <v>56225994444 - 56998038459</v>
      </c>
      <c r="N371" s="19">
        <v>744</v>
      </c>
      <c r="O371" s="67"/>
      <c r="P371" s="68"/>
      <c r="Q371" s="69"/>
      <c r="R371" s="18"/>
      <c r="S371" s="19"/>
      <c r="T371" s="20">
        <f>AVERAGE(I371,N371)</f>
        <v>619.5</v>
      </c>
      <c r="U371" s="21">
        <f>T371*(1+$B$2)</f>
        <v>681.45</v>
      </c>
    </row>
    <row r="372" spans="1:21" ht="12" customHeight="1" x14ac:dyDescent="0.35">
      <c r="A372" s="59" t="s">
        <v>575</v>
      </c>
      <c r="B372" s="59"/>
      <c r="C372" s="59"/>
      <c r="D372" s="59"/>
      <c r="E372" s="59"/>
      <c r="F372" s="59"/>
      <c r="G372" s="59"/>
      <c r="H372" s="59"/>
      <c r="I372" s="59"/>
      <c r="J372" s="59"/>
      <c r="K372" s="59"/>
      <c r="L372" s="59"/>
      <c r="M372" s="59"/>
      <c r="N372" s="59"/>
      <c r="O372" s="59"/>
      <c r="P372" s="59"/>
      <c r="Q372" s="59"/>
      <c r="R372" s="59"/>
      <c r="S372" s="59"/>
      <c r="T372" s="59"/>
      <c r="U372" s="59"/>
    </row>
    <row r="373" spans="1:21" ht="15" customHeight="1" x14ac:dyDescent="0.35">
      <c r="A373" s="14" t="s">
        <v>575</v>
      </c>
      <c r="B373" s="15" t="s">
        <v>576</v>
      </c>
      <c r="C373" s="16" t="s">
        <v>239</v>
      </c>
      <c r="D373" s="17">
        <v>6.2500000000000003E-3</v>
      </c>
      <c r="E373" s="67" t="s">
        <v>35</v>
      </c>
      <c r="F373" s="68" t="str">
        <f>IFERROR(VLOOKUP(E373,PROVEEDORES!$A$3:$G$42,2,0),"")</f>
        <v>ABARROTES</v>
      </c>
      <c r="G373" s="69" t="str">
        <f>IFERROR(VLOOKUP(E373,PROVEEDORES!$A$3:$G$42,4,0),"")</f>
        <v>pagos@bidfood.cl,pmolina@bidfood.cl</v>
      </c>
      <c r="H373" s="18" t="str">
        <f>IFERROR(VLOOKUP(E373,PROVEEDORES!$A$3:$G$42,5,0),"")</f>
        <v>56225994444 - 56998038459</v>
      </c>
      <c r="I373" s="19">
        <v>3485</v>
      </c>
      <c r="J373" s="67" t="s">
        <v>105</v>
      </c>
      <c r="K373" s="68" t="str">
        <f>IFERROR(VLOOKUP(J373,PROVEEDORES!$A$3:$G$42,2,0),"")</f>
        <v>ESPECIES</v>
      </c>
      <c r="L373" s="69" t="str">
        <f>IFERROR(VLOOKUP(J373,PROVEEDORES!$A$3:$G$42,4,0),"")</f>
        <v>chef@gourmetselect.cl,contabilidad@gourmetselect.cl,pedidos@gourmetselect.cl,info@gourmetselect.cl</v>
      </c>
      <c r="M373" s="18" t="str">
        <f>IFERROR(VLOOKUP(J373,PROVEEDORES!$A$3:$G$42,5,0),"")</f>
        <v>56944921093</v>
      </c>
      <c r="N373" s="19">
        <v>5518</v>
      </c>
      <c r="O373" s="67" t="s">
        <v>41</v>
      </c>
      <c r="P373" s="68" t="str">
        <f>IFERROR(VLOOKUP(O373,PROVEEDORES!$A$3:$G$42,2,0),"")</f>
        <v>FRUTAS Y VERDURAS</v>
      </c>
      <c r="Q373" s="69" t="str">
        <f>IFERROR(VLOOKUP(O373,PROVEEDORES!$A$3:$G$42,4,0),"")</f>
        <v>caseritaencasa@gmail.com</v>
      </c>
      <c r="R373" s="18" t="str">
        <f>IFERROR(VLOOKUP(O373,PROVEEDORES!$A$3:$G$42,5,0),"")</f>
        <v>56952069703</v>
      </c>
      <c r="S373" s="19">
        <v>3516</v>
      </c>
      <c r="T373" s="20">
        <f>AVERAGE(I373,N373,S373)</f>
        <v>4173</v>
      </c>
      <c r="U373" s="21">
        <f>T373*(1+$B$2)</f>
        <v>4590.3</v>
      </c>
    </row>
    <row r="374" spans="1:21" ht="12" customHeight="1" x14ac:dyDescent="0.35">
      <c r="A374" s="59" t="s">
        <v>577</v>
      </c>
      <c r="B374" s="59"/>
      <c r="C374" s="59"/>
      <c r="D374" s="59"/>
      <c r="E374" s="59"/>
      <c r="F374" s="59"/>
      <c r="G374" s="59"/>
      <c r="H374" s="59"/>
      <c r="I374" s="59"/>
      <c r="J374" s="59"/>
      <c r="K374" s="59"/>
      <c r="L374" s="59"/>
      <c r="M374" s="59"/>
      <c r="N374" s="59"/>
      <c r="O374" s="59"/>
      <c r="P374" s="59"/>
      <c r="Q374" s="59"/>
      <c r="R374" s="59"/>
      <c r="S374" s="59"/>
      <c r="T374" s="59"/>
      <c r="U374" s="59"/>
    </row>
    <row r="375" spans="1:21" ht="15" customHeight="1" x14ac:dyDescent="0.35">
      <c r="A375" s="14" t="s">
        <v>577</v>
      </c>
      <c r="B375" s="15" t="s">
        <v>578</v>
      </c>
      <c r="C375" s="16" t="s">
        <v>239</v>
      </c>
      <c r="D375" s="17">
        <v>2</v>
      </c>
      <c r="E375" s="67" t="s">
        <v>35</v>
      </c>
      <c r="F375" s="68" t="str">
        <f>IFERROR(VLOOKUP(E375,PROVEEDORES!$A$3:$G$42,2,0),"")</f>
        <v>ABARROTES</v>
      </c>
      <c r="G375" s="69" t="str">
        <f>IFERROR(VLOOKUP(E375,PROVEEDORES!$A$3:$G$42,4,0),"")</f>
        <v>pagos@bidfood.cl,pmolina@bidfood.cl</v>
      </c>
      <c r="H375" s="18" t="str">
        <f>IFERROR(VLOOKUP(E375,PROVEEDORES!$A$3:$G$42,5,0),"")</f>
        <v>56225994444 - 56998038459</v>
      </c>
      <c r="I375" s="19">
        <v>8</v>
      </c>
      <c r="J375" s="67" t="s">
        <v>105</v>
      </c>
      <c r="K375" s="68" t="str">
        <f>IFERROR(VLOOKUP(J375,PROVEEDORES!$A$3:$G$42,2,0),"")</f>
        <v>ESPECIES</v>
      </c>
      <c r="L375" s="69" t="str">
        <f>IFERROR(VLOOKUP(J375,PROVEEDORES!$A$3:$G$42,4,0),"")</f>
        <v>chef@gourmetselect.cl,contabilidad@gourmetselect.cl,pedidos@gourmetselect.cl,info@gourmetselect.cl</v>
      </c>
      <c r="M375" s="18" t="str">
        <f>IFERROR(VLOOKUP(J375,PROVEEDORES!$A$3:$G$42,5,0),"")</f>
        <v>56944921093</v>
      </c>
      <c r="N375" s="19">
        <v>2</v>
      </c>
      <c r="O375" s="67" t="s">
        <v>41</v>
      </c>
      <c r="P375" s="68" t="str">
        <f>IFERROR(VLOOKUP(O375,PROVEEDORES!$A$3:$G$42,2,0),"")</f>
        <v>FRUTAS Y VERDURAS</v>
      </c>
      <c r="Q375" s="69" t="str">
        <f>IFERROR(VLOOKUP(O375,PROVEEDORES!$A$3:$G$42,4,0),"")</f>
        <v>caseritaencasa@gmail.com</v>
      </c>
      <c r="R375" s="18" t="str">
        <f>IFERROR(VLOOKUP(O375,PROVEEDORES!$A$3:$G$42,5,0),"")</f>
        <v>56952069703</v>
      </c>
      <c r="S375" s="19">
        <v>17</v>
      </c>
      <c r="T375" s="20">
        <f>AVERAGE(I375,N375,S375)</f>
        <v>9</v>
      </c>
      <c r="U375" s="21">
        <f>T375*(1+$B$2)</f>
        <v>9.9</v>
      </c>
    </row>
    <row r="376" spans="1:21" ht="15" customHeight="1" x14ac:dyDescent="0.35">
      <c r="A376" s="6" t="s">
        <v>577</v>
      </c>
      <c r="B376" s="7" t="s">
        <v>579</v>
      </c>
      <c r="C376" s="8" t="s">
        <v>239</v>
      </c>
      <c r="D376" s="9">
        <v>1.1249999999999999E-3</v>
      </c>
      <c r="E376" s="64" t="s">
        <v>35</v>
      </c>
      <c r="F376" s="65" t="str">
        <f>IFERROR(VLOOKUP(E376,PROVEEDORES!$A$3:$G$42,2,0),"")</f>
        <v>ABARROTES</v>
      </c>
      <c r="G376" s="66" t="str">
        <f>IFERROR(VLOOKUP(E376,PROVEEDORES!$A$3:$G$42,4,0),"")</f>
        <v>pagos@bidfood.cl,pmolina@bidfood.cl</v>
      </c>
      <c r="H376" s="10" t="str">
        <f>IFERROR(VLOOKUP(E376,PROVEEDORES!$A$3:$G$42,5,0),"")</f>
        <v>56225994444 - 56998038459</v>
      </c>
      <c r="I376" s="11">
        <v>45360</v>
      </c>
      <c r="J376" s="64" t="s">
        <v>105</v>
      </c>
      <c r="K376" s="65" t="str">
        <f>IFERROR(VLOOKUP(J376,PROVEEDORES!$A$3:$G$42,2,0),"")</f>
        <v>ESPECIES</v>
      </c>
      <c r="L376" s="66" t="str">
        <f>IFERROR(VLOOKUP(J376,PROVEEDORES!$A$3:$G$42,4,0),"")</f>
        <v>chef@gourmetselect.cl,contabilidad@gourmetselect.cl,pedidos@gourmetselect.cl,info@gourmetselect.cl</v>
      </c>
      <c r="M376" s="10" t="str">
        <f>IFERROR(VLOOKUP(J376,PROVEEDORES!$A$3:$G$42,5,0),"")</f>
        <v>56944921093</v>
      </c>
      <c r="N376" s="11">
        <v>53593</v>
      </c>
      <c r="O376" s="64" t="s">
        <v>41</v>
      </c>
      <c r="P376" s="65" t="str">
        <f>IFERROR(VLOOKUP(O376,PROVEEDORES!$A$3:$G$42,2,0),"")</f>
        <v>FRUTAS Y VERDURAS</v>
      </c>
      <c r="Q376" s="66" t="str">
        <f>IFERROR(VLOOKUP(O376,PROVEEDORES!$A$3:$G$42,4,0),"")</f>
        <v>caseritaencasa@gmail.com</v>
      </c>
      <c r="R376" s="10" t="str">
        <f>IFERROR(VLOOKUP(O376,PROVEEDORES!$A$3:$G$42,5,0),"")</f>
        <v>56952069703</v>
      </c>
      <c r="S376" s="11">
        <v>5842</v>
      </c>
      <c r="T376" s="12">
        <f>AVERAGE(I376,N376,S376)</f>
        <v>34931.666666666664</v>
      </c>
      <c r="U376" s="13">
        <f>T376*(1+$B$2)</f>
        <v>38424.833333333336</v>
      </c>
    </row>
    <row r="377" spans="1:21" ht="15" customHeight="1" x14ac:dyDescent="0.35">
      <c r="A377" s="14" t="s">
        <v>577</v>
      </c>
      <c r="B377" s="15" t="s">
        <v>580</v>
      </c>
      <c r="C377" s="16" t="s">
        <v>219</v>
      </c>
      <c r="D377" s="17">
        <v>5.2500000000000003E-3</v>
      </c>
      <c r="E377" s="67" t="s">
        <v>35</v>
      </c>
      <c r="F377" s="68" t="str">
        <f>IFERROR(VLOOKUP(E377,PROVEEDORES!$A$3:$G$42,2,0),"")</f>
        <v>ABARROTES</v>
      </c>
      <c r="G377" s="69" t="str">
        <f>IFERROR(VLOOKUP(E377,PROVEEDORES!$A$3:$G$42,4,0),"")</f>
        <v>pagos@bidfood.cl,pmolina@bidfood.cl</v>
      </c>
      <c r="H377" s="18" t="str">
        <f>IFERROR(VLOOKUP(E377,PROVEEDORES!$A$3:$G$42,5,0),"")</f>
        <v>56225994444 - 56998038459</v>
      </c>
      <c r="I377" s="19">
        <v>11427</v>
      </c>
      <c r="J377" s="67" t="s">
        <v>105</v>
      </c>
      <c r="K377" s="68" t="str">
        <f>IFERROR(VLOOKUP(J377,PROVEEDORES!$A$3:$G$42,2,0),"")</f>
        <v>ESPECIES</v>
      </c>
      <c r="L377" s="69" t="str">
        <f>IFERROR(VLOOKUP(J377,PROVEEDORES!$A$3:$G$42,4,0),"")</f>
        <v>chef@gourmetselect.cl,contabilidad@gourmetselect.cl,pedidos@gourmetselect.cl,info@gourmetselect.cl</v>
      </c>
      <c r="M377" s="18" t="str">
        <f>IFERROR(VLOOKUP(J377,PROVEEDORES!$A$3:$G$42,5,0),"")</f>
        <v>56944921093</v>
      </c>
      <c r="N377" s="19">
        <v>5154</v>
      </c>
      <c r="O377" s="67" t="s">
        <v>41</v>
      </c>
      <c r="P377" s="68" t="str">
        <f>IFERROR(VLOOKUP(O377,PROVEEDORES!$A$3:$G$42,2,0),"")</f>
        <v>FRUTAS Y VERDURAS</v>
      </c>
      <c r="Q377" s="69" t="str">
        <f>IFERROR(VLOOKUP(O377,PROVEEDORES!$A$3:$G$42,4,0),"")</f>
        <v>caseritaencasa@gmail.com</v>
      </c>
      <c r="R377" s="18" t="str">
        <f>IFERROR(VLOOKUP(O377,PROVEEDORES!$A$3:$G$42,5,0),"")</f>
        <v>56952069703</v>
      </c>
      <c r="S377" s="19">
        <v>19296</v>
      </c>
      <c r="T377" s="20">
        <f>AVERAGE(I377,N377,S377)</f>
        <v>11959</v>
      </c>
      <c r="U377" s="21">
        <f>T377*(1+$B$2)</f>
        <v>13154.900000000001</v>
      </c>
    </row>
    <row r="378" spans="1:21" ht="12" customHeight="1" x14ac:dyDescent="0.35">
      <c r="A378" s="59" t="s">
        <v>144</v>
      </c>
      <c r="B378" s="59"/>
      <c r="C378" s="59"/>
      <c r="D378" s="59"/>
      <c r="E378" s="59"/>
      <c r="F378" s="59"/>
      <c r="G378" s="59"/>
      <c r="H378" s="59"/>
      <c r="I378" s="59"/>
      <c r="J378" s="59"/>
      <c r="K378" s="59"/>
      <c r="L378" s="59"/>
      <c r="M378" s="59"/>
      <c r="N378" s="59"/>
      <c r="O378" s="59"/>
      <c r="P378" s="59"/>
      <c r="Q378" s="59"/>
      <c r="R378" s="59"/>
      <c r="S378" s="59"/>
      <c r="T378" s="59"/>
      <c r="U378" s="59"/>
    </row>
    <row r="379" spans="1:21" ht="15" customHeight="1" x14ac:dyDescent="0.35">
      <c r="A379" s="14" t="s">
        <v>144</v>
      </c>
      <c r="B379" s="15" t="s">
        <v>581</v>
      </c>
      <c r="C379" s="16" t="s">
        <v>239</v>
      </c>
      <c r="D379" s="17">
        <v>8.7499999999999999E-5</v>
      </c>
      <c r="E379" s="67" t="s">
        <v>35</v>
      </c>
      <c r="F379" s="68" t="str">
        <f>IFERROR(VLOOKUP(E379,PROVEEDORES!$A$3:$G$42,2,0),"")</f>
        <v>ABARROTES</v>
      </c>
      <c r="G379" s="69" t="str">
        <f>IFERROR(VLOOKUP(E379,PROVEEDORES!$A$3:$G$42,4,0),"")</f>
        <v>pagos@bidfood.cl,pmolina@bidfood.cl</v>
      </c>
      <c r="H379" s="18" t="str">
        <f>IFERROR(VLOOKUP(E379,PROVEEDORES!$A$3:$G$42,5,0),"")</f>
        <v>56225994444 - 56998038459</v>
      </c>
      <c r="I379" s="19">
        <v>21990</v>
      </c>
      <c r="J379" s="67" t="s">
        <v>105</v>
      </c>
      <c r="K379" s="68" t="str">
        <f>IFERROR(VLOOKUP(J379,PROVEEDORES!$A$3:$G$42,2,0),"")</f>
        <v>ESPECIES</v>
      </c>
      <c r="L379" s="69" t="str">
        <f>IFERROR(VLOOKUP(J379,PROVEEDORES!$A$3:$G$42,4,0),"")</f>
        <v>chef@gourmetselect.cl,contabilidad@gourmetselect.cl,pedidos@gourmetselect.cl,info@gourmetselect.cl</v>
      </c>
      <c r="M379" s="18" t="str">
        <f>IFERROR(VLOOKUP(J379,PROVEEDORES!$A$3:$G$42,5,0),"")</f>
        <v>56944921093</v>
      </c>
      <c r="N379" s="19">
        <v>7609</v>
      </c>
      <c r="O379" s="67" t="s">
        <v>41</v>
      </c>
      <c r="P379" s="68" t="str">
        <f>IFERROR(VLOOKUP(O379,PROVEEDORES!$A$3:$G$42,2,0),"")</f>
        <v>FRUTAS Y VERDURAS</v>
      </c>
      <c r="Q379" s="69" t="str">
        <f>IFERROR(VLOOKUP(O379,PROVEEDORES!$A$3:$G$42,4,0),"")</f>
        <v>caseritaencasa@gmail.com</v>
      </c>
      <c r="R379" s="18" t="str">
        <f>IFERROR(VLOOKUP(O379,PROVEEDORES!$A$3:$G$42,5,0),"")</f>
        <v>56952069703</v>
      </c>
      <c r="S379" s="19">
        <v>43325</v>
      </c>
      <c r="T379" s="20">
        <f>AVERAGE(I379,N379,S379)</f>
        <v>24308</v>
      </c>
      <c r="U379" s="21">
        <f>T379*(1+$B$2)</f>
        <v>26738.800000000003</v>
      </c>
    </row>
    <row r="380" spans="1:21" ht="15" customHeight="1" x14ac:dyDescent="0.35">
      <c r="A380" s="6" t="s">
        <v>144</v>
      </c>
      <c r="B380" s="7" t="s">
        <v>582</v>
      </c>
      <c r="C380" s="8" t="s">
        <v>239</v>
      </c>
      <c r="D380" s="9">
        <v>7.4999999999999993E-5</v>
      </c>
      <c r="E380" s="64" t="s">
        <v>35</v>
      </c>
      <c r="F380" s="65" t="str">
        <f>IFERROR(VLOOKUP(E380,PROVEEDORES!$A$3:$G$42,2,0),"")</f>
        <v>ABARROTES</v>
      </c>
      <c r="G380" s="66" t="str">
        <f>IFERROR(VLOOKUP(E380,PROVEEDORES!$A$3:$G$42,4,0),"")</f>
        <v>pagos@bidfood.cl,pmolina@bidfood.cl</v>
      </c>
      <c r="H380" s="10" t="str">
        <f>IFERROR(VLOOKUP(E380,PROVEEDORES!$A$3:$G$42,5,0),"")</f>
        <v>56225994444 - 56998038459</v>
      </c>
      <c r="I380" s="11">
        <v>41990</v>
      </c>
      <c r="J380" s="64" t="s">
        <v>105</v>
      </c>
      <c r="K380" s="65" t="str">
        <f>IFERROR(VLOOKUP(J380,PROVEEDORES!$A$3:$G$42,2,0),"")</f>
        <v>ESPECIES</v>
      </c>
      <c r="L380" s="66" t="str">
        <f>IFERROR(VLOOKUP(J380,PROVEEDORES!$A$3:$G$42,4,0),"")</f>
        <v>chef@gourmetselect.cl,contabilidad@gourmetselect.cl,pedidos@gourmetselect.cl,info@gourmetselect.cl</v>
      </c>
      <c r="M380" s="10" t="str">
        <f>IFERROR(VLOOKUP(J380,PROVEEDORES!$A$3:$G$42,5,0),"")</f>
        <v>56944921093</v>
      </c>
      <c r="N380" s="11">
        <v>32668</v>
      </c>
      <c r="O380" s="64" t="s">
        <v>41</v>
      </c>
      <c r="P380" s="65" t="str">
        <f>IFERROR(VLOOKUP(O380,PROVEEDORES!$A$3:$G$42,2,0),"")</f>
        <v>FRUTAS Y VERDURAS</v>
      </c>
      <c r="Q380" s="66" t="str">
        <f>IFERROR(VLOOKUP(O380,PROVEEDORES!$A$3:$G$42,4,0),"")</f>
        <v>caseritaencasa@gmail.com</v>
      </c>
      <c r="R380" s="10" t="str">
        <f>IFERROR(VLOOKUP(O380,PROVEEDORES!$A$3:$G$42,5,0),"")</f>
        <v>56952069703</v>
      </c>
      <c r="S380" s="11">
        <v>85777</v>
      </c>
      <c r="T380" s="12">
        <f>AVERAGE(I380,N380,S380)</f>
        <v>53478.333333333336</v>
      </c>
      <c r="U380" s="13">
        <f>T380*(1+$B$2)</f>
        <v>58826.166666666672</v>
      </c>
    </row>
    <row r="381" spans="1:21" ht="12" customHeight="1" x14ac:dyDescent="0.35">
      <c r="A381" s="59" t="s">
        <v>583</v>
      </c>
      <c r="B381" s="59"/>
      <c r="C381" s="59"/>
      <c r="D381" s="59"/>
      <c r="E381" s="59"/>
      <c r="F381" s="59"/>
      <c r="G381" s="59"/>
      <c r="H381" s="59"/>
      <c r="I381" s="59"/>
      <c r="J381" s="59"/>
      <c r="K381" s="59"/>
      <c r="L381" s="59"/>
      <c r="M381" s="59"/>
      <c r="N381" s="59"/>
      <c r="O381" s="59"/>
      <c r="P381" s="59"/>
      <c r="Q381" s="59"/>
      <c r="R381" s="59"/>
      <c r="S381" s="59"/>
      <c r="T381" s="59"/>
      <c r="U381" s="59"/>
    </row>
    <row r="382" spans="1:21" ht="15" customHeight="1" x14ac:dyDescent="0.35">
      <c r="A382" s="6" t="s">
        <v>583</v>
      </c>
      <c r="B382" s="7" t="s">
        <v>584</v>
      </c>
      <c r="C382" s="8" t="s">
        <v>219</v>
      </c>
      <c r="D382" s="9">
        <v>7.0000000000000007E-2</v>
      </c>
      <c r="E382" s="64" t="s">
        <v>41</v>
      </c>
      <c r="F382" s="65" t="str">
        <f>IFERROR(VLOOKUP(E382,PROVEEDORES!$A$3:$G$42,2,0),"")</f>
        <v>FRUTAS Y VERDURAS</v>
      </c>
      <c r="G382" s="66" t="str">
        <f>IFERROR(VLOOKUP(E382,PROVEEDORES!$A$3:$G$42,4,0),"")</f>
        <v>caseritaencasa@gmail.com</v>
      </c>
      <c r="H382" s="10" t="str">
        <f>IFERROR(VLOOKUP(E382,PROVEEDORES!$A$3:$G$42,5,0),"")</f>
        <v>56952069703</v>
      </c>
      <c r="I382" s="11">
        <v>1311</v>
      </c>
      <c r="J382" s="64" t="s">
        <v>102</v>
      </c>
      <c r="K382" s="65" t="str">
        <f>IFERROR(VLOOKUP(J382,PROVEEDORES!$A$3:$G$42,2,0),"")</f>
        <v>FRUTAS Y VERDURAS</v>
      </c>
      <c r="L382" s="66" t="str">
        <f>IFERROR(VLOOKUP(J382,PROVEEDORES!$A$3:$G$42,4,0),"")</f>
        <v>gescobargalvez@gmail.com</v>
      </c>
      <c r="M382" s="10">
        <f>IFERROR(VLOOKUP(J382,PROVEEDORES!$A$3:$G$42,5,0),"")</f>
        <v>0</v>
      </c>
      <c r="N382" s="11">
        <v>1490</v>
      </c>
      <c r="O382" s="64" t="s">
        <v>74</v>
      </c>
      <c r="P382" s="65" t="str">
        <f>IFERROR(VLOOKUP(O382,PROVEEDORES!$A$3:$G$42,2,0),"")</f>
        <v>ABARROTES Y VERDURAS</v>
      </c>
      <c r="Q382" s="66" t="str">
        <f>IFERROR(VLOOKUP(O382,PROVEEDORES!$A$3:$G$42,4,0),"")</f>
        <v>santacatalina3@gmail.com</v>
      </c>
      <c r="R382" s="10" t="str">
        <f>IFERROR(VLOOKUP(O382,PROVEEDORES!$A$3:$G$42,5,0),"")</f>
        <v>56996996469</v>
      </c>
      <c r="S382" s="11">
        <v>-53</v>
      </c>
      <c r="T382" s="12">
        <f t="shared" ref="T382:T413" si="18">AVERAGE(I382,N382,S382)</f>
        <v>916</v>
      </c>
      <c r="U382" s="13">
        <f t="shared" ref="U382:U413" si="19">T382*(1+$B$2)</f>
        <v>1007.6000000000001</v>
      </c>
    </row>
    <row r="383" spans="1:21" ht="15" customHeight="1" x14ac:dyDescent="0.35">
      <c r="A383" s="14" t="s">
        <v>583</v>
      </c>
      <c r="B383" s="15" t="s">
        <v>585</v>
      </c>
      <c r="C383" s="16" t="s">
        <v>219</v>
      </c>
      <c r="D383" s="17">
        <v>3.5000000000000003E-2</v>
      </c>
      <c r="E383" s="67" t="s">
        <v>41</v>
      </c>
      <c r="F383" s="68" t="str">
        <f>IFERROR(VLOOKUP(E383,PROVEEDORES!$A$3:$G$42,2,0),"")</f>
        <v>FRUTAS Y VERDURAS</v>
      </c>
      <c r="G383" s="69" t="str">
        <f>IFERROR(VLOOKUP(E383,PROVEEDORES!$A$3:$G$42,4,0),"")</f>
        <v>caseritaencasa@gmail.com</v>
      </c>
      <c r="H383" s="18" t="str">
        <f>IFERROR(VLOOKUP(E383,PROVEEDORES!$A$3:$G$42,5,0),"")</f>
        <v>56952069703</v>
      </c>
      <c r="I383" s="19">
        <v>6500</v>
      </c>
      <c r="J383" s="67" t="s">
        <v>102</v>
      </c>
      <c r="K383" s="68" t="str">
        <f>IFERROR(VLOOKUP(J383,PROVEEDORES!$A$3:$G$42,2,0),"")</f>
        <v>FRUTAS Y VERDURAS</v>
      </c>
      <c r="L383" s="69" t="str">
        <f>IFERROR(VLOOKUP(J383,PROVEEDORES!$A$3:$G$42,4,0),"")</f>
        <v>gescobargalvez@gmail.com</v>
      </c>
      <c r="M383" s="18">
        <f>IFERROR(VLOOKUP(J383,PROVEEDORES!$A$3:$G$42,5,0),"")</f>
        <v>0</v>
      </c>
      <c r="N383" s="19">
        <v>11004</v>
      </c>
      <c r="O383" s="67" t="s">
        <v>74</v>
      </c>
      <c r="P383" s="68" t="str">
        <f>IFERROR(VLOOKUP(O383,PROVEEDORES!$A$3:$G$42,2,0),"")</f>
        <v>ABARROTES Y VERDURAS</v>
      </c>
      <c r="Q383" s="69" t="str">
        <f>IFERROR(VLOOKUP(O383,PROVEEDORES!$A$3:$G$42,4,0),"")</f>
        <v>santacatalina3@gmail.com</v>
      </c>
      <c r="R383" s="18" t="str">
        <f>IFERROR(VLOOKUP(O383,PROVEEDORES!$A$3:$G$42,5,0),"")</f>
        <v>56996996469</v>
      </c>
      <c r="S383" s="19">
        <v>6314</v>
      </c>
      <c r="T383" s="20">
        <f t="shared" si="18"/>
        <v>7939.333333333333</v>
      </c>
      <c r="U383" s="21">
        <f t="shared" si="19"/>
        <v>8733.2666666666664</v>
      </c>
    </row>
    <row r="384" spans="1:21" ht="15" customHeight="1" x14ac:dyDescent="0.35">
      <c r="A384" s="6" t="s">
        <v>583</v>
      </c>
      <c r="B384" s="7" t="s">
        <v>586</v>
      </c>
      <c r="C384" s="8" t="s">
        <v>239</v>
      </c>
      <c r="D384" s="9">
        <v>1.5125625</v>
      </c>
      <c r="E384" s="64" t="s">
        <v>41</v>
      </c>
      <c r="F384" s="65" t="str">
        <f>IFERROR(VLOOKUP(E384,PROVEEDORES!$A$3:$G$42,2,0),"")</f>
        <v>FRUTAS Y VERDURAS</v>
      </c>
      <c r="G384" s="66" t="str">
        <f>IFERROR(VLOOKUP(E384,PROVEEDORES!$A$3:$G$42,4,0),"")</f>
        <v>caseritaencasa@gmail.com</v>
      </c>
      <c r="H384" s="10" t="str">
        <f>IFERROR(VLOOKUP(E384,PROVEEDORES!$A$3:$G$42,5,0),"")</f>
        <v>56952069703</v>
      </c>
      <c r="I384" s="11">
        <v>171</v>
      </c>
      <c r="J384" s="64" t="s">
        <v>102</v>
      </c>
      <c r="K384" s="65" t="str">
        <f>IFERROR(VLOOKUP(J384,PROVEEDORES!$A$3:$G$42,2,0),"")</f>
        <v>FRUTAS Y VERDURAS</v>
      </c>
      <c r="L384" s="66" t="str">
        <f>IFERROR(VLOOKUP(J384,PROVEEDORES!$A$3:$G$42,4,0),"")</f>
        <v>gescobargalvez@gmail.com</v>
      </c>
      <c r="M384" s="10">
        <f>IFERROR(VLOOKUP(J384,PROVEEDORES!$A$3:$G$42,5,0),"")</f>
        <v>0</v>
      </c>
      <c r="N384" s="11">
        <v>163</v>
      </c>
      <c r="O384" s="64" t="s">
        <v>74</v>
      </c>
      <c r="P384" s="65" t="str">
        <f>IFERROR(VLOOKUP(O384,PROVEEDORES!$A$3:$G$42,2,0),"")</f>
        <v>ABARROTES Y VERDURAS</v>
      </c>
      <c r="Q384" s="66" t="str">
        <f>IFERROR(VLOOKUP(O384,PROVEEDORES!$A$3:$G$42,4,0),"")</f>
        <v>santacatalina3@gmail.com</v>
      </c>
      <c r="R384" s="10" t="str">
        <f>IFERROR(VLOOKUP(O384,PROVEEDORES!$A$3:$G$42,5,0),"")</f>
        <v>56996996469</v>
      </c>
      <c r="S384" s="11">
        <v>207</v>
      </c>
      <c r="T384" s="12">
        <f t="shared" si="18"/>
        <v>180.33333333333334</v>
      </c>
      <c r="U384" s="13">
        <f t="shared" si="19"/>
        <v>198.3666666666667</v>
      </c>
    </row>
    <row r="385" spans="1:21" ht="15" customHeight="1" x14ac:dyDescent="0.35">
      <c r="A385" s="14" t="s">
        <v>583</v>
      </c>
      <c r="B385" s="15" t="s">
        <v>587</v>
      </c>
      <c r="C385" s="16" t="s">
        <v>239</v>
      </c>
      <c r="D385" s="17">
        <v>1.5625E-2</v>
      </c>
      <c r="E385" s="67" t="s">
        <v>41</v>
      </c>
      <c r="F385" s="68" t="str">
        <f>IFERROR(VLOOKUP(E385,PROVEEDORES!$A$3:$G$42,2,0),"")</f>
        <v>FRUTAS Y VERDURAS</v>
      </c>
      <c r="G385" s="69" t="str">
        <f>IFERROR(VLOOKUP(E385,PROVEEDORES!$A$3:$G$42,4,0),"")</f>
        <v>caseritaencasa@gmail.com</v>
      </c>
      <c r="H385" s="18" t="str">
        <f>IFERROR(VLOOKUP(E385,PROVEEDORES!$A$3:$G$42,5,0),"")</f>
        <v>56952069703</v>
      </c>
      <c r="I385" s="19">
        <v>171</v>
      </c>
      <c r="J385" s="67" t="s">
        <v>102</v>
      </c>
      <c r="K385" s="68" t="str">
        <f>IFERROR(VLOOKUP(J385,PROVEEDORES!$A$3:$G$42,2,0),"")</f>
        <v>FRUTAS Y VERDURAS</v>
      </c>
      <c r="L385" s="69" t="str">
        <f>IFERROR(VLOOKUP(J385,PROVEEDORES!$A$3:$G$42,4,0),"")</f>
        <v>gescobargalvez@gmail.com</v>
      </c>
      <c r="M385" s="18">
        <f>IFERROR(VLOOKUP(J385,PROVEEDORES!$A$3:$G$42,5,0),"")</f>
        <v>0</v>
      </c>
      <c r="N385" s="19">
        <v>210</v>
      </c>
      <c r="O385" s="67" t="s">
        <v>74</v>
      </c>
      <c r="P385" s="68" t="str">
        <f>IFERROR(VLOOKUP(O385,PROVEEDORES!$A$3:$G$42,2,0),"")</f>
        <v>ABARROTES Y VERDURAS</v>
      </c>
      <c r="Q385" s="69" t="str">
        <f>IFERROR(VLOOKUP(O385,PROVEEDORES!$A$3:$G$42,4,0),"")</f>
        <v>santacatalina3@gmail.com</v>
      </c>
      <c r="R385" s="18" t="str">
        <f>IFERROR(VLOOKUP(O385,PROVEEDORES!$A$3:$G$42,5,0),"")</f>
        <v>56996996469</v>
      </c>
      <c r="S385" s="19">
        <v>245</v>
      </c>
      <c r="T385" s="20">
        <f t="shared" si="18"/>
        <v>208.66666666666666</v>
      </c>
      <c r="U385" s="21">
        <f t="shared" si="19"/>
        <v>229.53333333333333</v>
      </c>
    </row>
    <row r="386" spans="1:21" ht="15" customHeight="1" x14ac:dyDescent="0.35">
      <c r="A386" s="6" t="s">
        <v>583</v>
      </c>
      <c r="B386" s="7" t="s">
        <v>588</v>
      </c>
      <c r="C386" s="8" t="s">
        <v>239</v>
      </c>
      <c r="D386" s="9">
        <v>0.27812500000000001</v>
      </c>
      <c r="E386" s="64" t="s">
        <v>41</v>
      </c>
      <c r="F386" s="65" t="str">
        <f>IFERROR(VLOOKUP(E386,PROVEEDORES!$A$3:$G$42,2,0),"")</f>
        <v>FRUTAS Y VERDURAS</v>
      </c>
      <c r="G386" s="66" t="str">
        <f>IFERROR(VLOOKUP(E386,PROVEEDORES!$A$3:$G$42,4,0),"")</f>
        <v>caseritaencasa@gmail.com</v>
      </c>
      <c r="H386" s="10" t="str">
        <f>IFERROR(VLOOKUP(E386,PROVEEDORES!$A$3:$G$42,5,0),"")</f>
        <v>56952069703</v>
      </c>
      <c r="I386" s="11">
        <v>455</v>
      </c>
      <c r="J386" s="64" t="s">
        <v>102</v>
      </c>
      <c r="K386" s="65" t="str">
        <f>IFERROR(VLOOKUP(J386,PROVEEDORES!$A$3:$G$42,2,0),"")</f>
        <v>FRUTAS Y VERDURAS</v>
      </c>
      <c r="L386" s="66" t="str">
        <f>IFERROR(VLOOKUP(J386,PROVEEDORES!$A$3:$G$42,4,0),"")</f>
        <v>gescobargalvez@gmail.com</v>
      </c>
      <c r="M386" s="10">
        <f>IFERROR(VLOOKUP(J386,PROVEEDORES!$A$3:$G$42,5,0),"")</f>
        <v>0</v>
      </c>
      <c r="N386" s="11">
        <v>497</v>
      </c>
      <c r="O386" s="64" t="s">
        <v>74</v>
      </c>
      <c r="P386" s="65" t="str">
        <f>IFERROR(VLOOKUP(O386,PROVEEDORES!$A$3:$G$42,2,0),"")</f>
        <v>ABARROTES Y VERDURAS</v>
      </c>
      <c r="Q386" s="66" t="str">
        <f>IFERROR(VLOOKUP(O386,PROVEEDORES!$A$3:$G$42,4,0),"")</f>
        <v>santacatalina3@gmail.com</v>
      </c>
      <c r="R386" s="10" t="str">
        <f>IFERROR(VLOOKUP(O386,PROVEEDORES!$A$3:$G$42,5,0),"")</f>
        <v>56996996469</v>
      </c>
      <c r="S386" s="11">
        <v>600</v>
      </c>
      <c r="T386" s="12">
        <f t="shared" si="18"/>
        <v>517.33333333333337</v>
      </c>
      <c r="U386" s="13">
        <f t="shared" si="19"/>
        <v>569.06666666666672</v>
      </c>
    </row>
    <row r="387" spans="1:21" ht="15" customHeight="1" x14ac:dyDescent="0.35">
      <c r="A387" s="14" t="s">
        <v>583</v>
      </c>
      <c r="B387" s="15" t="s">
        <v>589</v>
      </c>
      <c r="C387" s="16" t="s">
        <v>219</v>
      </c>
      <c r="D387" s="17">
        <v>0.42375000000000002</v>
      </c>
      <c r="E387" s="67" t="s">
        <v>41</v>
      </c>
      <c r="F387" s="68" t="str">
        <f>IFERROR(VLOOKUP(E387,PROVEEDORES!$A$3:$G$42,2,0),"")</f>
        <v>FRUTAS Y VERDURAS</v>
      </c>
      <c r="G387" s="69" t="str">
        <f>IFERROR(VLOOKUP(E387,PROVEEDORES!$A$3:$G$42,4,0),"")</f>
        <v>caseritaencasa@gmail.com</v>
      </c>
      <c r="H387" s="18" t="str">
        <f>IFERROR(VLOOKUP(E387,PROVEEDORES!$A$3:$G$42,5,0),"")</f>
        <v>56952069703</v>
      </c>
      <c r="I387" s="19">
        <v>5092</v>
      </c>
      <c r="J387" s="67" t="s">
        <v>102</v>
      </c>
      <c r="K387" s="68" t="str">
        <f>IFERROR(VLOOKUP(J387,PROVEEDORES!$A$3:$G$42,2,0),"")</f>
        <v>FRUTAS Y VERDURAS</v>
      </c>
      <c r="L387" s="69" t="str">
        <f>IFERROR(VLOOKUP(J387,PROVEEDORES!$A$3:$G$42,4,0),"")</f>
        <v>gescobargalvez@gmail.com</v>
      </c>
      <c r="M387" s="18">
        <f>IFERROR(VLOOKUP(J387,PROVEEDORES!$A$3:$G$42,5,0),"")</f>
        <v>0</v>
      </c>
      <c r="N387" s="19">
        <v>7803</v>
      </c>
      <c r="O387" s="67" t="s">
        <v>74</v>
      </c>
      <c r="P387" s="68" t="str">
        <f>IFERROR(VLOOKUP(O387,PROVEEDORES!$A$3:$G$42,2,0),"")</f>
        <v>ABARROTES Y VERDURAS</v>
      </c>
      <c r="Q387" s="69" t="str">
        <f>IFERROR(VLOOKUP(O387,PROVEEDORES!$A$3:$G$42,4,0),"")</f>
        <v>santacatalina3@gmail.com</v>
      </c>
      <c r="R387" s="18" t="str">
        <f>IFERROR(VLOOKUP(O387,PROVEEDORES!$A$3:$G$42,5,0),"")</f>
        <v>56996996469</v>
      </c>
      <c r="S387" s="19">
        <v>8352</v>
      </c>
      <c r="T387" s="20">
        <f t="shared" si="18"/>
        <v>7082.333333333333</v>
      </c>
      <c r="U387" s="21">
        <f t="shared" si="19"/>
        <v>7790.5666666666666</v>
      </c>
    </row>
    <row r="388" spans="1:21" ht="15" customHeight="1" x14ac:dyDescent="0.35">
      <c r="A388" s="6" t="s">
        <v>583</v>
      </c>
      <c r="B388" s="7" t="s">
        <v>590</v>
      </c>
      <c r="C388" s="8" t="s">
        <v>239</v>
      </c>
      <c r="D388" s="9">
        <v>10.36425</v>
      </c>
      <c r="E388" s="64" t="s">
        <v>41</v>
      </c>
      <c r="F388" s="65" t="str">
        <f>IFERROR(VLOOKUP(E388,PROVEEDORES!$A$3:$G$42,2,0),"")</f>
        <v>FRUTAS Y VERDURAS</v>
      </c>
      <c r="G388" s="66" t="str">
        <f>IFERROR(VLOOKUP(E388,PROVEEDORES!$A$3:$G$42,4,0),"")</f>
        <v>caseritaencasa@gmail.com</v>
      </c>
      <c r="H388" s="10" t="str">
        <f>IFERROR(VLOOKUP(E388,PROVEEDORES!$A$3:$G$42,5,0),"")</f>
        <v>56952069703</v>
      </c>
      <c r="I388" s="11">
        <v>219</v>
      </c>
      <c r="J388" s="64" t="s">
        <v>102</v>
      </c>
      <c r="K388" s="65" t="str">
        <f>IFERROR(VLOOKUP(J388,PROVEEDORES!$A$3:$G$42,2,0),"")</f>
        <v>FRUTAS Y VERDURAS</v>
      </c>
      <c r="L388" s="66" t="str">
        <f>IFERROR(VLOOKUP(J388,PROVEEDORES!$A$3:$G$42,4,0),"")</f>
        <v>gescobargalvez@gmail.com</v>
      </c>
      <c r="M388" s="10">
        <f>IFERROR(VLOOKUP(J388,PROVEEDORES!$A$3:$G$42,5,0),"")</f>
        <v>0</v>
      </c>
      <c r="N388" s="11">
        <v>252</v>
      </c>
      <c r="O388" s="64" t="s">
        <v>74</v>
      </c>
      <c r="P388" s="65" t="str">
        <f>IFERROR(VLOOKUP(O388,PROVEEDORES!$A$3:$G$42,2,0),"")</f>
        <v>ABARROTES Y VERDURAS</v>
      </c>
      <c r="Q388" s="66" t="str">
        <f>IFERROR(VLOOKUP(O388,PROVEEDORES!$A$3:$G$42,4,0),"")</f>
        <v>santacatalina3@gmail.com</v>
      </c>
      <c r="R388" s="10" t="str">
        <f>IFERROR(VLOOKUP(O388,PROVEEDORES!$A$3:$G$42,5,0),"")</f>
        <v>56996996469</v>
      </c>
      <c r="S388" s="11">
        <v>68</v>
      </c>
      <c r="T388" s="12">
        <f t="shared" si="18"/>
        <v>179.66666666666666</v>
      </c>
      <c r="U388" s="13">
        <f t="shared" si="19"/>
        <v>197.63333333333333</v>
      </c>
    </row>
    <row r="389" spans="1:21" ht="15" customHeight="1" x14ac:dyDescent="0.35">
      <c r="A389" s="14" t="s">
        <v>583</v>
      </c>
      <c r="B389" s="15" t="s">
        <v>591</v>
      </c>
      <c r="C389" s="16" t="s">
        <v>219</v>
      </c>
      <c r="D389" s="17">
        <v>0.1908125</v>
      </c>
      <c r="E389" s="67" t="s">
        <v>41</v>
      </c>
      <c r="F389" s="68" t="str">
        <f>IFERROR(VLOOKUP(E389,PROVEEDORES!$A$3:$G$42,2,0),"")</f>
        <v>FRUTAS Y VERDURAS</v>
      </c>
      <c r="G389" s="69" t="str">
        <f>IFERROR(VLOOKUP(E389,PROVEEDORES!$A$3:$G$42,4,0),"")</f>
        <v>caseritaencasa@gmail.com</v>
      </c>
      <c r="H389" s="18" t="str">
        <f>IFERROR(VLOOKUP(E389,PROVEEDORES!$A$3:$G$42,5,0),"")</f>
        <v>56952069703</v>
      </c>
      <c r="I389" s="19">
        <v>13019</v>
      </c>
      <c r="J389" s="67" t="s">
        <v>102</v>
      </c>
      <c r="K389" s="68" t="str">
        <f>IFERROR(VLOOKUP(J389,PROVEEDORES!$A$3:$G$42,2,0),"")</f>
        <v>FRUTAS Y VERDURAS</v>
      </c>
      <c r="L389" s="69" t="str">
        <f>IFERROR(VLOOKUP(J389,PROVEEDORES!$A$3:$G$42,4,0),"")</f>
        <v>gescobargalvez@gmail.com</v>
      </c>
      <c r="M389" s="18">
        <f>IFERROR(VLOOKUP(J389,PROVEEDORES!$A$3:$G$42,5,0),"")</f>
        <v>0</v>
      </c>
      <c r="N389" s="19">
        <v>10187</v>
      </c>
      <c r="O389" s="67" t="s">
        <v>74</v>
      </c>
      <c r="P389" s="68" t="str">
        <f>IFERROR(VLOOKUP(O389,PROVEEDORES!$A$3:$G$42,2,0),"")</f>
        <v>ABARROTES Y VERDURAS</v>
      </c>
      <c r="Q389" s="69" t="str">
        <f>IFERROR(VLOOKUP(O389,PROVEEDORES!$A$3:$G$42,4,0),"")</f>
        <v>santacatalina3@gmail.com</v>
      </c>
      <c r="R389" s="18" t="str">
        <f>IFERROR(VLOOKUP(O389,PROVEEDORES!$A$3:$G$42,5,0),"")</f>
        <v>56996996469</v>
      </c>
      <c r="S389" s="19">
        <v>2708</v>
      </c>
      <c r="T389" s="20">
        <f t="shared" si="18"/>
        <v>8638</v>
      </c>
      <c r="U389" s="21">
        <f t="shared" si="19"/>
        <v>9501.8000000000011</v>
      </c>
    </row>
    <row r="390" spans="1:21" ht="15" customHeight="1" x14ac:dyDescent="0.35">
      <c r="A390" s="6" t="s">
        <v>583</v>
      </c>
      <c r="B390" s="7" t="s">
        <v>592</v>
      </c>
      <c r="C390" s="8" t="s">
        <v>219</v>
      </c>
      <c r="D390" s="9">
        <v>2E-3</v>
      </c>
      <c r="E390" s="64" t="s">
        <v>41</v>
      </c>
      <c r="F390" s="65" t="str">
        <f>IFERROR(VLOOKUP(E390,PROVEEDORES!$A$3:$G$42,2,0),"")</f>
        <v>FRUTAS Y VERDURAS</v>
      </c>
      <c r="G390" s="66" t="str">
        <f>IFERROR(VLOOKUP(E390,PROVEEDORES!$A$3:$G$42,4,0),"")</f>
        <v>caseritaencasa@gmail.com</v>
      </c>
      <c r="H390" s="10" t="str">
        <f>IFERROR(VLOOKUP(E390,PROVEEDORES!$A$3:$G$42,5,0),"")</f>
        <v>56952069703</v>
      </c>
      <c r="I390" s="11">
        <v>19278</v>
      </c>
      <c r="J390" s="64" t="s">
        <v>102</v>
      </c>
      <c r="K390" s="65" t="str">
        <f>IFERROR(VLOOKUP(J390,PROVEEDORES!$A$3:$G$42,2,0),"")</f>
        <v>FRUTAS Y VERDURAS</v>
      </c>
      <c r="L390" s="66" t="str">
        <f>IFERROR(VLOOKUP(J390,PROVEEDORES!$A$3:$G$42,4,0),"")</f>
        <v>gescobargalvez@gmail.com</v>
      </c>
      <c r="M390" s="10">
        <f>IFERROR(VLOOKUP(J390,PROVEEDORES!$A$3:$G$42,5,0),"")</f>
        <v>0</v>
      </c>
      <c r="N390" s="11">
        <v>24223</v>
      </c>
      <c r="O390" s="64" t="s">
        <v>74</v>
      </c>
      <c r="P390" s="65" t="str">
        <f>IFERROR(VLOOKUP(O390,PROVEEDORES!$A$3:$G$42,2,0),"")</f>
        <v>ABARROTES Y VERDURAS</v>
      </c>
      <c r="Q390" s="66" t="str">
        <f>IFERROR(VLOOKUP(O390,PROVEEDORES!$A$3:$G$42,4,0),"")</f>
        <v>santacatalina3@gmail.com</v>
      </c>
      <c r="R390" s="10" t="str">
        <f>IFERROR(VLOOKUP(O390,PROVEEDORES!$A$3:$G$42,5,0),"")</f>
        <v>56996996469</v>
      </c>
      <c r="S390" s="11">
        <v>30135</v>
      </c>
      <c r="T390" s="12">
        <f t="shared" si="18"/>
        <v>24545.333333333332</v>
      </c>
      <c r="U390" s="13">
        <f t="shared" si="19"/>
        <v>26999.866666666669</v>
      </c>
    </row>
    <row r="391" spans="1:21" ht="15" customHeight="1" x14ac:dyDescent="0.35">
      <c r="A391" s="14" t="s">
        <v>583</v>
      </c>
      <c r="B391" s="15" t="s">
        <v>593</v>
      </c>
      <c r="C391" s="16" t="s">
        <v>219</v>
      </c>
      <c r="D391" s="17">
        <v>1.4999999999999999E-2</v>
      </c>
      <c r="E391" s="67" t="s">
        <v>41</v>
      </c>
      <c r="F391" s="68" t="str">
        <f>IFERROR(VLOOKUP(E391,PROVEEDORES!$A$3:$G$42,2,0),"")</f>
        <v>FRUTAS Y VERDURAS</v>
      </c>
      <c r="G391" s="69" t="str">
        <f>IFERROR(VLOOKUP(E391,PROVEEDORES!$A$3:$G$42,4,0),"")</f>
        <v>caseritaencasa@gmail.com</v>
      </c>
      <c r="H391" s="18" t="str">
        <f>IFERROR(VLOOKUP(E391,PROVEEDORES!$A$3:$G$42,5,0),"")</f>
        <v>56952069703</v>
      </c>
      <c r="I391" s="19">
        <v>17118</v>
      </c>
      <c r="J391" s="67" t="s">
        <v>102</v>
      </c>
      <c r="K391" s="68" t="str">
        <f>IFERROR(VLOOKUP(J391,PROVEEDORES!$A$3:$G$42,2,0),"")</f>
        <v>FRUTAS Y VERDURAS</v>
      </c>
      <c r="L391" s="69" t="str">
        <f>IFERROR(VLOOKUP(J391,PROVEEDORES!$A$3:$G$42,4,0),"")</f>
        <v>gescobargalvez@gmail.com</v>
      </c>
      <c r="M391" s="18">
        <f>IFERROR(VLOOKUP(J391,PROVEEDORES!$A$3:$G$42,5,0),"")</f>
        <v>0</v>
      </c>
      <c r="N391" s="19">
        <v>22228</v>
      </c>
      <c r="O391" s="67" t="s">
        <v>74</v>
      </c>
      <c r="P391" s="68" t="str">
        <f>IFERROR(VLOOKUP(O391,PROVEEDORES!$A$3:$G$42,2,0),"")</f>
        <v>ABARROTES Y VERDURAS</v>
      </c>
      <c r="Q391" s="69" t="str">
        <f>IFERROR(VLOOKUP(O391,PROVEEDORES!$A$3:$G$42,4,0),"")</f>
        <v>santacatalina3@gmail.com</v>
      </c>
      <c r="R391" s="18" t="str">
        <f>IFERROR(VLOOKUP(O391,PROVEEDORES!$A$3:$G$42,5,0),"")</f>
        <v>56996996469</v>
      </c>
      <c r="S391" s="19">
        <v>23934</v>
      </c>
      <c r="T391" s="20">
        <f t="shared" si="18"/>
        <v>21093.333333333332</v>
      </c>
      <c r="U391" s="21">
        <f t="shared" si="19"/>
        <v>23202.666666666668</v>
      </c>
    </row>
    <row r="392" spans="1:21" ht="15" customHeight="1" x14ac:dyDescent="0.35">
      <c r="A392" s="6" t="s">
        <v>583</v>
      </c>
      <c r="B392" s="7" t="s">
        <v>594</v>
      </c>
      <c r="C392" s="8" t="s">
        <v>219</v>
      </c>
      <c r="D392" s="9">
        <v>1.4999999999999999E-2</v>
      </c>
      <c r="E392" s="64" t="s">
        <v>41</v>
      </c>
      <c r="F392" s="65" t="str">
        <f>IFERROR(VLOOKUP(E392,PROVEEDORES!$A$3:$G$42,2,0),"")</f>
        <v>FRUTAS Y VERDURAS</v>
      </c>
      <c r="G392" s="66" t="str">
        <f>IFERROR(VLOOKUP(E392,PROVEEDORES!$A$3:$G$42,4,0),"")</f>
        <v>caseritaencasa@gmail.com</v>
      </c>
      <c r="H392" s="10" t="str">
        <f>IFERROR(VLOOKUP(E392,PROVEEDORES!$A$3:$G$42,5,0),"")</f>
        <v>56952069703</v>
      </c>
      <c r="I392" s="11">
        <v>14875</v>
      </c>
      <c r="J392" s="64" t="s">
        <v>102</v>
      </c>
      <c r="K392" s="65" t="str">
        <f>IFERROR(VLOOKUP(J392,PROVEEDORES!$A$3:$G$42,2,0),"")</f>
        <v>FRUTAS Y VERDURAS</v>
      </c>
      <c r="L392" s="66" t="str">
        <f>IFERROR(VLOOKUP(J392,PROVEEDORES!$A$3:$G$42,4,0),"")</f>
        <v>gescobargalvez@gmail.com</v>
      </c>
      <c r="M392" s="10">
        <f>IFERROR(VLOOKUP(J392,PROVEEDORES!$A$3:$G$42,5,0),"")</f>
        <v>0</v>
      </c>
      <c r="N392" s="11">
        <v>15611</v>
      </c>
      <c r="O392" s="64" t="s">
        <v>74</v>
      </c>
      <c r="P392" s="65" t="str">
        <f>IFERROR(VLOOKUP(O392,PROVEEDORES!$A$3:$G$42,2,0),"")</f>
        <v>ABARROTES Y VERDURAS</v>
      </c>
      <c r="Q392" s="66" t="str">
        <f>IFERROR(VLOOKUP(O392,PROVEEDORES!$A$3:$G$42,4,0),"")</f>
        <v>santacatalina3@gmail.com</v>
      </c>
      <c r="R392" s="10" t="str">
        <f>IFERROR(VLOOKUP(O392,PROVEEDORES!$A$3:$G$42,5,0),"")</f>
        <v>56996996469</v>
      </c>
      <c r="S392" s="11">
        <v>-1455</v>
      </c>
      <c r="T392" s="12">
        <f t="shared" si="18"/>
        <v>9677</v>
      </c>
      <c r="U392" s="13">
        <f t="shared" si="19"/>
        <v>10644.7</v>
      </c>
    </row>
    <row r="393" spans="1:21" ht="15" customHeight="1" x14ac:dyDescent="0.35">
      <c r="A393" s="14" t="s">
        <v>583</v>
      </c>
      <c r="B393" s="15" t="s">
        <v>595</v>
      </c>
      <c r="C393" s="16" t="s">
        <v>239</v>
      </c>
      <c r="D393" s="17">
        <v>0.61062499999999997</v>
      </c>
      <c r="E393" s="67" t="s">
        <v>41</v>
      </c>
      <c r="F393" s="68" t="str">
        <f>IFERROR(VLOOKUP(E393,PROVEEDORES!$A$3:$G$42,2,0),"")</f>
        <v>FRUTAS Y VERDURAS</v>
      </c>
      <c r="G393" s="69" t="str">
        <f>IFERROR(VLOOKUP(E393,PROVEEDORES!$A$3:$G$42,4,0),"")</f>
        <v>caseritaencasa@gmail.com</v>
      </c>
      <c r="H393" s="18" t="str">
        <f>IFERROR(VLOOKUP(E393,PROVEEDORES!$A$3:$G$42,5,0),"")</f>
        <v>56952069703</v>
      </c>
      <c r="I393" s="19">
        <v>1800</v>
      </c>
      <c r="J393" s="67" t="s">
        <v>102</v>
      </c>
      <c r="K393" s="68" t="str">
        <f>IFERROR(VLOOKUP(J393,PROVEEDORES!$A$3:$G$42,2,0),"")</f>
        <v>FRUTAS Y VERDURAS</v>
      </c>
      <c r="L393" s="69" t="str">
        <f>IFERROR(VLOOKUP(J393,PROVEEDORES!$A$3:$G$42,4,0),"")</f>
        <v>gescobargalvez@gmail.com</v>
      </c>
      <c r="M393" s="18">
        <f>IFERROR(VLOOKUP(J393,PROVEEDORES!$A$3:$G$42,5,0),"")</f>
        <v>0</v>
      </c>
      <c r="N393" s="19">
        <v>1706</v>
      </c>
      <c r="O393" s="67" t="s">
        <v>74</v>
      </c>
      <c r="P393" s="68" t="str">
        <f>IFERROR(VLOOKUP(O393,PROVEEDORES!$A$3:$G$42,2,0),"")</f>
        <v>ABARROTES Y VERDURAS</v>
      </c>
      <c r="Q393" s="69" t="str">
        <f>IFERROR(VLOOKUP(O393,PROVEEDORES!$A$3:$G$42,4,0),"")</f>
        <v>santacatalina3@gmail.com</v>
      </c>
      <c r="R393" s="18" t="str">
        <f>IFERROR(VLOOKUP(O393,PROVEEDORES!$A$3:$G$42,5,0),"")</f>
        <v>56996996469</v>
      </c>
      <c r="S393" s="19">
        <v>2881</v>
      </c>
      <c r="T393" s="20">
        <f t="shared" si="18"/>
        <v>2129</v>
      </c>
      <c r="U393" s="21">
        <f t="shared" si="19"/>
        <v>2341.9</v>
      </c>
    </row>
    <row r="394" spans="1:21" ht="15" customHeight="1" x14ac:dyDescent="0.35">
      <c r="A394" s="6" t="s">
        <v>583</v>
      </c>
      <c r="B394" s="7" t="s">
        <v>596</v>
      </c>
      <c r="C394" s="8" t="s">
        <v>239</v>
      </c>
      <c r="D394" s="9">
        <v>3.4762499999999998</v>
      </c>
      <c r="E394" s="64" t="s">
        <v>41</v>
      </c>
      <c r="F394" s="65" t="str">
        <f>IFERROR(VLOOKUP(E394,PROVEEDORES!$A$3:$G$42,2,0),"")</f>
        <v>FRUTAS Y VERDURAS</v>
      </c>
      <c r="G394" s="66" t="str">
        <f>IFERROR(VLOOKUP(E394,PROVEEDORES!$A$3:$G$42,4,0),"")</f>
        <v>caseritaencasa@gmail.com</v>
      </c>
      <c r="H394" s="10" t="str">
        <f>IFERROR(VLOOKUP(E394,PROVEEDORES!$A$3:$G$42,5,0),"")</f>
        <v>56952069703</v>
      </c>
      <c r="I394" s="11">
        <v>176</v>
      </c>
      <c r="J394" s="64" t="s">
        <v>102</v>
      </c>
      <c r="K394" s="65" t="str">
        <f>IFERROR(VLOOKUP(J394,PROVEEDORES!$A$3:$G$42,2,0),"")</f>
        <v>FRUTAS Y VERDURAS</v>
      </c>
      <c r="L394" s="66" t="str">
        <f>IFERROR(VLOOKUP(J394,PROVEEDORES!$A$3:$G$42,4,0),"")</f>
        <v>gescobargalvez@gmail.com</v>
      </c>
      <c r="M394" s="10">
        <f>IFERROR(VLOOKUP(J394,PROVEEDORES!$A$3:$G$42,5,0),"")</f>
        <v>0</v>
      </c>
      <c r="N394" s="11">
        <v>177</v>
      </c>
      <c r="O394" s="64" t="s">
        <v>74</v>
      </c>
      <c r="P394" s="65" t="str">
        <f>IFERROR(VLOOKUP(O394,PROVEEDORES!$A$3:$G$42,2,0),"")</f>
        <v>ABARROTES Y VERDURAS</v>
      </c>
      <c r="Q394" s="66" t="str">
        <f>IFERROR(VLOOKUP(O394,PROVEEDORES!$A$3:$G$42,4,0),"")</f>
        <v>santacatalina3@gmail.com</v>
      </c>
      <c r="R394" s="10" t="str">
        <f>IFERROR(VLOOKUP(O394,PROVEEDORES!$A$3:$G$42,5,0),"")</f>
        <v>56996996469</v>
      </c>
      <c r="S394" s="11">
        <v>269</v>
      </c>
      <c r="T394" s="12">
        <f t="shared" si="18"/>
        <v>207.33333333333334</v>
      </c>
      <c r="U394" s="13">
        <f t="shared" si="19"/>
        <v>228.06666666666669</v>
      </c>
    </row>
    <row r="395" spans="1:21" ht="15" customHeight="1" x14ac:dyDescent="0.35">
      <c r="A395" s="14" t="s">
        <v>583</v>
      </c>
      <c r="B395" s="15" t="s">
        <v>597</v>
      </c>
      <c r="C395" s="16" t="s">
        <v>219</v>
      </c>
      <c r="D395" s="17">
        <v>0.44562499999999999</v>
      </c>
      <c r="E395" s="67" t="s">
        <v>41</v>
      </c>
      <c r="F395" s="68" t="str">
        <f>IFERROR(VLOOKUP(E395,PROVEEDORES!$A$3:$G$42,2,0),"")</f>
        <v>FRUTAS Y VERDURAS</v>
      </c>
      <c r="G395" s="69" t="str">
        <f>IFERROR(VLOOKUP(E395,PROVEEDORES!$A$3:$G$42,4,0),"")</f>
        <v>caseritaencasa@gmail.com</v>
      </c>
      <c r="H395" s="18" t="str">
        <f>IFERROR(VLOOKUP(E395,PROVEEDORES!$A$3:$G$42,5,0),"")</f>
        <v>56952069703</v>
      </c>
      <c r="I395" s="19">
        <v>19680</v>
      </c>
      <c r="J395" s="67" t="s">
        <v>102</v>
      </c>
      <c r="K395" s="68" t="str">
        <f>IFERROR(VLOOKUP(J395,PROVEEDORES!$A$3:$G$42,2,0),"")</f>
        <v>FRUTAS Y VERDURAS</v>
      </c>
      <c r="L395" s="69" t="str">
        <f>IFERROR(VLOOKUP(J395,PROVEEDORES!$A$3:$G$42,4,0),"")</f>
        <v>gescobargalvez@gmail.com</v>
      </c>
      <c r="M395" s="18">
        <f>IFERROR(VLOOKUP(J395,PROVEEDORES!$A$3:$G$42,5,0),"")</f>
        <v>0</v>
      </c>
      <c r="N395" s="19">
        <v>18942</v>
      </c>
      <c r="O395" s="67" t="s">
        <v>74</v>
      </c>
      <c r="P395" s="68" t="str">
        <f>IFERROR(VLOOKUP(O395,PROVEEDORES!$A$3:$G$42,2,0),"")</f>
        <v>ABARROTES Y VERDURAS</v>
      </c>
      <c r="Q395" s="69" t="str">
        <f>IFERROR(VLOOKUP(O395,PROVEEDORES!$A$3:$G$42,4,0),"")</f>
        <v>santacatalina3@gmail.com</v>
      </c>
      <c r="R395" s="18" t="str">
        <f>IFERROR(VLOOKUP(O395,PROVEEDORES!$A$3:$G$42,5,0),"")</f>
        <v>56996996469</v>
      </c>
      <c r="S395" s="19">
        <v>12753</v>
      </c>
      <c r="T395" s="20">
        <f t="shared" si="18"/>
        <v>17125</v>
      </c>
      <c r="U395" s="21">
        <f t="shared" si="19"/>
        <v>18837.5</v>
      </c>
    </row>
    <row r="396" spans="1:21" ht="15" customHeight="1" x14ac:dyDescent="0.35">
      <c r="A396" s="6" t="s">
        <v>583</v>
      </c>
      <c r="B396" s="7" t="s">
        <v>598</v>
      </c>
      <c r="C396" s="8" t="s">
        <v>219</v>
      </c>
      <c r="D396" s="9">
        <v>0.1575</v>
      </c>
      <c r="E396" s="64" t="s">
        <v>41</v>
      </c>
      <c r="F396" s="65" t="str">
        <f>IFERROR(VLOOKUP(E396,PROVEEDORES!$A$3:$G$42,2,0),"")</f>
        <v>FRUTAS Y VERDURAS</v>
      </c>
      <c r="G396" s="66" t="str">
        <f>IFERROR(VLOOKUP(E396,PROVEEDORES!$A$3:$G$42,4,0),"")</f>
        <v>caseritaencasa@gmail.com</v>
      </c>
      <c r="H396" s="10" t="str">
        <f>IFERROR(VLOOKUP(E396,PROVEEDORES!$A$3:$G$42,5,0),"")</f>
        <v>56952069703</v>
      </c>
      <c r="I396" s="11">
        <v>3380</v>
      </c>
      <c r="J396" s="64" t="s">
        <v>102</v>
      </c>
      <c r="K396" s="65" t="str">
        <f>IFERROR(VLOOKUP(J396,PROVEEDORES!$A$3:$G$42,2,0),"")</f>
        <v>FRUTAS Y VERDURAS</v>
      </c>
      <c r="L396" s="66" t="str">
        <f>IFERROR(VLOOKUP(J396,PROVEEDORES!$A$3:$G$42,4,0),"")</f>
        <v>gescobargalvez@gmail.com</v>
      </c>
      <c r="M396" s="10">
        <f>IFERROR(VLOOKUP(J396,PROVEEDORES!$A$3:$G$42,5,0),"")</f>
        <v>0</v>
      </c>
      <c r="N396" s="11">
        <v>1636</v>
      </c>
      <c r="O396" s="64" t="s">
        <v>74</v>
      </c>
      <c r="P396" s="65" t="str">
        <f>IFERROR(VLOOKUP(O396,PROVEEDORES!$A$3:$G$42,2,0),"")</f>
        <v>ABARROTES Y VERDURAS</v>
      </c>
      <c r="Q396" s="66" t="str">
        <f>IFERROR(VLOOKUP(O396,PROVEEDORES!$A$3:$G$42,4,0),"")</f>
        <v>santacatalina3@gmail.com</v>
      </c>
      <c r="R396" s="10" t="str">
        <f>IFERROR(VLOOKUP(O396,PROVEEDORES!$A$3:$G$42,5,0),"")</f>
        <v>56996996469</v>
      </c>
      <c r="S396" s="11">
        <v>6332</v>
      </c>
      <c r="T396" s="12">
        <f t="shared" si="18"/>
        <v>3782.6666666666665</v>
      </c>
      <c r="U396" s="13">
        <f t="shared" si="19"/>
        <v>4160.9333333333334</v>
      </c>
    </row>
    <row r="397" spans="1:21" ht="15" customHeight="1" x14ac:dyDescent="0.35">
      <c r="A397" s="14" t="s">
        <v>583</v>
      </c>
      <c r="B397" s="15" t="s">
        <v>599</v>
      </c>
      <c r="C397" s="16" t="s">
        <v>219</v>
      </c>
      <c r="D397" s="17">
        <v>7.4999999999999997E-2</v>
      </c>
      <c r="E397" s="67" t="s">
        <v>41</v>
      </c>
      <c r="F397" s="68" t="str">
        <f>IFERROR(VLOOKUP(E397,PROVEEDORES!$A$3:$G$42,2,0),"")</f>
        <v>FRUTAS Y VERDURAS</v>
      </c>
      <c r="G397" s="69" t="str">
        <f>IFERROR(VLOOKUP(E397,PROVEEDORES!$A$3:$G$42,4,0),"")</f>
        <v>caseritaencasa@gmail.com</v>
      </c>
      <c r="H397" s="18" t="str">
        <f>IFERROR(VLOOKUP(E397,PROVEEDORES!$A$3:$G$42,5,0),"")</f>
        <v>56952069703</v>
      </c>
      <c r="I397" s="19">
        <v>2530</v>
      </c>
      <c r="J397" s="67" t="s">
        <v>102</v>
      </c>
      <c r="K397" s="68" t="str">
        <f>IFERROR(VLOOKUP(J397,PROVEEDORES!$A$3:$G$42,2,0),"")</f>
        <v>FRUTAS Y VERDURAS</v>
      </c>
      <c r="L397" s="69" t="str">
        <f>IFERROR(VLOOKUP(J397,PROVEEDORES!$A$3:$G$42,4,0),"")</f>
        <v>gescobargalvez@gmail.com</v>
      </c>
      <c r="M397" s="18">
        <f>IFERROR(VLOOKUP(J397,PROVEEDORES!$A$3:$G$42,5,0),"")</f>
        <v>0</v>
      </c>
      <c r="N397" s="19">
        <v>1297</v>
      </c>
      <c r="O397" s="67" t="s">
        <v>74</v>
      </c>
      <c r="P397" s="68" t="str">
        <f>IFERROR(VLOOKUP(O397,PROVEEDORES!$A$3:$G$42,2,0),"")</f>
        <v>ABARROTES Y VERDURAS</v>
      </c>
      <c r="Q397" s="69" t="str">
        <f>IFERROR(VLOOKUP(O397,PROVEEDORES!$A$3:$G$42,4,0),"")</f>
        <v>santacatalina3@gmail.com</v>
      </c>
      <c r="R397" s="18" t="str">
        <f>IFERROR(VLOOKUP(O397,PROVEEDORES!$A$3:$G$42,5,0),"")</f>
        <v>56996996469</v>
      </c>
      <c r="S397" s="19">
        <v>4350</v>
      </c>
      <c r="T397" s="20">
        <f t="shared" si="18"/>
        <v>2725.6666666666665</v>
      </c>
      <c r="U397" s="21">
        <f t="shared" si="19"/>
        <v>2998.2333333333336</v>
      </c>
    </row>
    <row r="398" spans="1:21" ht="15" customHeight="1" x14ac:dyDescent="0.35">
      <c r="A398" s="6" t="s">
        <v>583</v>
      </c>
      <c r="B398" s="7" t="s">
        <v>600</v>
      </c>
      <c r="C398" s="8" t="s">
        <v>219</v>
      </c>
      <c r="D398" s="9">
        <v>2.5000000000000001E-4</v>
      </c>
      <c r="E398" s="64" t="s">
        <v>41</v>
      </c>
      <c r="F398" s="65" t="str">
        <f>IFERROR(VLOOKUP(E398,PROVEEDORES!$A$3:$G$42,2,0),"")</f>
        <v>FRUTAS Y VERDURAS</v>
      </c>
      <c r="G398" s="66" t="str">
        <f>IFERROR(VLOOKUP(E398,PROVEEDORES!$A$3:$G$42,4,0),"")</f>
        <v>caseritaencasa@gmail.com</v>
      </c>
      <c r="H398" s="10" t="str">
        <f>IFERROR(VLOOKUP(E398,PROVEEDORES!$A$3:$G$42,5,0),"")</f>
        <v>56952069703</v>
      </c>
      <c r="I398" s="11">
        <v>214200</v>
      </c>
      <c r="J398" s="64" t="s">
        <v>102</v>
      </c>
      <c r="K398" s="65" t="str">
        <f>IFERROR(VLOOKUP(J398,PROVEEDORES!$A$3:$G$42,2,0),"")</f>
        <v>FRUTAS Y VERDURAS</v>
      </c>
      <c r="L398" s="66" t="str">
        <f>IFERROR(VLOOKUP(J398,PROVEEDORES!$A$3:$G$42,4,0),"")</f>
        <v>gescobargalvez@gmail.com</v>
      </c>
      <c r="M398" s="10">
        <f>IFERROR(VLOOKUP(J398,PROVEEDORES!$A$3:$G$42,5,0),"")</f>
        <v>0</v>
      </c>
      <c r="N398" s="11">
        <v>122630</v>
      </c>
      <c r="O398" s="64" t="s">
        <v>74</v>
      </c>
      <c r="P398" s="65" t="str">
        <f>IFERROR(VLOOKUP(O398,PROVEEDORES!$A$3:$G$42,2,0),"")</f>
        <v>ABARROTES Y VERDURAS</v>
      </c>
      <c r="Q398" s="66" t="str">
        <f>IFERROR(VLOOKUP(O398,PROVEEDORES!$A$3:$G$42,4,0),"")</f>
        <v>santacatalina3@gmail.com</v>
      </c>
      <c r="R398" s="10" t="str">
        <f>IFERROR(VLOOKUP(O398,PROVEEDORES!$A$3:$G$42,5,0),"")</f>
        <v>56996996469</v>
      </c>
      <c r="S398" s="11">
        <v>345676</v>
      </c>
      <c r="T398" s="12">
        <f t="shared" si="18"/>
        <v>227502</v>
      </c>
      <c r="U398" s="13">
        <f t="shared" si="19"/>
        <v>250252.2</v>
      </c>
    </row>
    <row r="399" spans="1:21" ht="15" customHeight="1" x14ac:dyDescent="0.35">
      <c r="A399" s="14" t="s">
        <v>583</v>
      </c>
      <c r="B399" s="15" t="s">
        <v>601</v>
      </c>
      <c r="C399" s="16" t="s">
        <v>239</v>
      </c>
      <c r="D399" s="17">
        <v>0.78874999999999995</v>
      </c>
      <c r="E399" s="67" t="s">
        <v>41</v>
      </c>
      <c r="F399" s="68" t="str">
        <f>IFERROR(VLOOKUP(E399,PROVEEDORES!$A$3:$G$42,2,0),"")</f>
        <v>FRUTAS Y VERDURAS</v>
      </c>
      <c r="G399" s="69" t="str">
        <f>IFERROR(VLOOKUP(E399,PROVEEDORES!$A$3:$G$42,4,0),"")</f>
        <v>caseritaencasa@gmail.com</v>
      </c>
      <c r="H399" s="18" t="str">
        <f>IFERROR(VLOOKUP(E399,PROVEEDORES!$A$3:$G$42,5,0),"")</f>
        <v>56952069703</v>
      </c>
      <c r="I399" s="19">
        <v>656</v>
      </c>
      <c r="J399" s="67" t="s">
        <v>102</v>
      </c>
      <c r="K399" s="68" t="str">
        <f>IFERROR(VLOOKUP(J399,PROVEEDORES!$A$3:$G$42,2,0),"")</f>
        <v>FRUTAS Y VERDURAS</v>
      </c>
      <c r="L399" s="69" t="str">
        <f>IFERROR(VLOOKUP(J399,PROVEEDORES!$A$3:$G$42,4,0),"")</f>
        <v>gescobargalvez@gmail.com</v>
      </c>
      <c r="M399" s="18">
        <f>IFERROR(VLOOKUP(J399,PROVEEDORES!$A$3:$G$42,5,0),"")</f>
        <v>0</v>
      </c>
      <c r="N399" s="19">
        <v>209</v>
      </c>
      <c r="O399" s="67" t="s">
        <v>74</v>
      </c>
      <c r="P399" s="68" t="str">
        <f>IFERROR(VLOOKUP(O399,PROVEEDORES!$A$3:$G$42,2,0),"")</f>
        <v>ABARROTES Y VERDURAS</v>
      </c>
      <c r="Q399" s="69" t="str">
        <f>IFERROR(VLOOKUP(O399,PROVEEDORES!$A$3:$G$42,4,0),"")</f>
        <v>santacatalina3@gmail.com</v>
      </c>
      <c r="R399" s="18" t="str">
        <f>IFERROR(VLOOKUP(O399,PROVEEDORES!$A$3:$G$42,5,0),"")</f>
        <v>56996996469</v>
      </c>
      <c r="S399" s="19">
        <v>692</v>
      </c>
      <c r="T399" s="20">
        <f t="shared" si="18"/>
        <v>519</v>
      </c>
      <c r="U399" s="21">
        <f t="shared" si="19"/>
        <v>570.90000000000009</v>
      </c>
    </row>
    <row r="400" spans="1:21" ht="15" customHeight="1" x14ac:dyDescent="0.35">
      <c r="A400" s="6" t="s">
        <v>583</v>
      </c>
      <c r="B400" s="7" t="s">
        <v>602</v>
      </c>
      <c r="C400" s="8" t="s">
        <v>219</v>
      </c>
      <c r="D400" s="9">
        <v>1.8749999999999999E-3</v>
      </c>
      <c r="E400" s="64" t="s">
        <v>41</v>
      </c>
      <c r="F400" s="65" t="str">
        <f>IFERROR(VLOOKUP(E400,PROVEEDORES!$A$3:$G$42,2,0),"")</f>
        <v>FRUTAS Y VERDURAS</v>
      </c>
      <c r="G400" s="66" t="str">
        <f>IFERROR(VLOOKUP(E400,PROVEEDORES!$A$3:$G$42,4,0),"")</f>
        <v>caseritaencasa@gmail.com</v>
      </c>
      <c r="H400" s="10" t="str">
        <f>IFERROR(VLOOKUP(E400,PROVEEDORES!$A$3:$G$42,5,0),"")</f>
        <v>56952069703</v>
      </c>
      <c r="I400" s="11">
        <v>7806</v>
      </c>
      <c r="J400" s="64" t="s">
        <v>102</v>
      </c>
      <c r="K400" s="65" t="str">
        <f>IFERROR(VLOOKUP(J400,PROVEEDORES!$A$3:$G$42,2,0),"")</f>
        <v>FRUTAS Y VERDURAS</v>
      </c>
      <c r="L400" s="66" t="str">
        <f>IFERROR(VLOOKUP(J400,PROVEEDORES!$A$3:$G$42,4,0),"")</f>
        <v>gescobargalvez@gmail.com</v>
      </c>
      <c r="M400" s="10">
        <f>IFERROR(VLOOKUP(J400,PROVEEDORES!$A$3:$G$42,5,0),"")</f>
        <v>0</v>
      </c>
      <c r="N400" s="11">
        <v>3251</v>
      </c>
      <c r="O400" s="64" t="s">
        <v>74</v>
      </c>
      <c r="P400" s="65" t="str">
        <f>IFERROR(VLOOKUP(O400,PROVEEDORES!$A$3:$G$42,2,0),"")</f>
        <v>ABARROTES Y VERDURAS</v>
      </c>
      <c r="Q400" s="66" t="str">
        <f>IFERROR(VLOOKUP(O400,PROVEEDORES!$A$3:$G$42,4,0),"")</f>
        <v>santacatalina3@gmail.com</v>
      </c>
      <c r="R400" s="10" t="str">
        <f>IFERROR(VLOOKUP(O400,PROVEEDORES!$A$3:$G$42,5,0),"")</f>
        <v>56996996469</v>
      </c>
      <c r="S400" s="11">
        <v>9953</v>
      </c>
      <c r="T400" s="12">
        <f t="shared" si="18"/>
        <v>7003.333333333333</v>
      </c>
      <c r="U400" s="13">
        <f t="shared" si="19"/>
        <v>7703.666666666667</v>
      </c>
    </row>
    <row r="401" spans="1:21" ht="15" customHeight="1" x14ac:dyDescent="0.35">
      <c r="A401" s="14" t="s">
        <v>583</v>
      </c>
      <c r="B401" s="15" t="s">
        <v>603</v>
      </c>
      <c r="C401" s="16" t="s">
        <v>239</v>
      </c>
      <c r="D401" s="17">
        <v>0.33124999999999999</v>
      </c>
      <c r="E401" s="67" t="s">
        <v>41</v>
      </c>
      <c r="F401" s="68" t="str">
        <f>IFERROR(VLOOKUP(E401,PROVEEDORES!$A$3:$G$42,2,0),"")</f>
        <v>FRUTAS Y VERDURAS</v>
      </c>
      <c r="G401" s="69" t="str">
        <f>IFERROR(VLOOKUP(E401,PROVEEDORES!$A$3:$G$42,4,0),"")</f>
        <v>caseritaencasa@gmail.com</v>
      </c>
      <c r="H401" s="18" t="str">
        <f>IFERROR(VLOOKUP(E401,PROVEEDORES!$A$3:$G$42,5,0),"")</f>
        <v>56952069703</v>
      </c>
      <c r="I401" s="19">
        <v>328</v>
      </c>
      <c r="J401" s="67" t="s">
        <v>102</v>
      </c>
      <c r="K401" s="68" t="str">
        <f>IFERROR(VLOOKUP(J401,PROVEEDORES!$A$3:$G$42,2,0),"")</f>
        <v>FRUTAS Y VERDURAS</v>
      </c>
      <c r="L401" s="69" t="str">
        <f>IFERROR(VLOOKUP(J401,PROVEEDORES!$A$3:$G$42,4,0),"")</f>
        <v>gescobargalvez@gmail.com</v>
      </c>
      <c r="M401" s="18">
        <f>IFERROR(VLOOKUP(J401,PROVEEDORES!$A$3:$G$42,5,0),"")</f>
        <v>0</v>
      </c>
      <c r="N401" s="19">
        <v>270</v>
      </c>
      <c r="O401" s="67" t="s">
        <v>74</v>
      </c>
      <c r="P401" s="68" t="str">
        <f>IFERROR(VLOOKUP(O401,PROVEEDORES!$A$3:$G$42,2,0),"")</f>
        <v>ABARROTES Y VERDURAS</v>
      </c>
      <c r="Q401" s="69" t="str">
        <f>IFERROR(VLOOKUP(O401,PROVEEDORES!$A$3:$G$42,4,0),"")</f>
        <v>santacatalina3@gmail.com</v>
      </c>
      <c r="R401" s="18" t="str">
        <f>IFERROR(VLOOKUP(O401,PROVEEDORES!$A$3:$G$42,5,0),"")</f>
        <v>56996996469</v>
      </c>
      <c r="S401" s="19">
        <v>314</v>
      </c>
      <c r="T401" s="20">
        <f t="shared" si="18"/>
        <v>304</v>
      </c>
      <c r="U401" s="21">
        <f t="shared" si="19"/>
        <v>334.40000000000003</v>
      </c>
    </row>
    <row r="402" spans="1:21" ht="15" customHeight="1" x14ac:dyDescent="0.35">
      <c r="A402" s="6" t="s">
        <v>583</v>
      </c>
      <c r="B402" s="7" t="s">
        <v>604</v>
      </c>
      <c r="C402" s="8" t="s">
        <v>239</v>
      </c>
      <c r="D402" s="9">
        <v>0.31</v>
      </c>
      <c r="E402" s="64" t="s">
        <v>41</v>
      </c>
      <c r="F402" s="65" t="str">
        <f>IFERROR(VLOOKUP(E402,PROVEEDORES!$A$3:$G$42,2,0),"")</f>
        <v>FRUTAS Y VERDURAS</v>
      </c>
      <c r="G402" s="66" t="str">
        <f>IFERROR(VLOOKUP(E402,PROVEEDORES!$A$3:$G$42,4,0),"")</f>
        <v>caseritaencasa@gmail.com</v>
      </c>
      <c r="H402" s="10" t="str">
        <f>IFERROR(VLOOKUP(E402,PROVEEDORES!$A$3:$G$42,5,0),"")</f>
        <v>56952069703</v>
      </c>
      <c r="I402" s="11">
        <v>1748</v>
      </c>
      <c r="J402" s="64" t="s">
        <v>102</v>
      </c>
      <c r="K402" s="65" t="str">
        <f>IFERROR(VLOOKUP(J402,PROVEEDORES!$A$3:$G$42,2,0),"")</f>
        <v>FRUTAS Y VERDURAS</v>
      </c>
      <c r="L402" s="66" t="str">
        <f>IFERROR(VLOOKUP(J402,PROVEEDORES!$A$3:$G$42,4,0),"")</f>
        <v>gescobargalvez@gmail.com</v>
      </c>
      <c r="M402" s="10">
        <f>IFERROR(VLOOKUP(J402,PROVEEDORES!$A$3:$G$42,5,0),"")</f>
        <v>0</v>
      </c>
      <c r="N402" s="11">
        <v>1932</v>
      </c>
      <c r="O402" s="64" t="s">
        <v>74</v>
      </c>
      <c r="P402" s="65" t="str">
        <f>IFERROR(VLOOKUP(O402,PROVEEDORES!$A$3:$G$42,2,0),"")</f>
        <v>ABARROTES Y VERDURAS</v>
      </c>
      <c r="Q402" s="66" t="str">
        <f>IFERROR(VLOOKUP(O402,PROVEEDORES!$A$3:$G$42,4,0),"")</f>
        <v>santacatalina3@gmail.com</v>
      </c>
      <c r="R402" s="10" t="str">
        <f>IFERROR(VLOOKUP(O402,PROVEEDORES!$A$3:$G$42,5,0),"")</f>
        <v>56996996469</v>
      </c>
      <c r="S402" s="11">
        <v>1479</v>
      </c>
      <c r="T402" s="12">
        <f t="shared" si="18"/>
        <v>1719.6666666666667</v>
      </c>
      <c r="U402" s="13">
        <f t="shared" si="19"/>
        <v>1891.6333333333337</v>
      </c>
    </row>
    <row r="403" spans="1:21" ht="15" customHeight="1" x14ac:dyDescent="0.35">
      <c r="A403" s="14" t="s">
        <v>583</v>
      </c>
      <c r="B403" s="15" t="s">
        <v>605</v>
      </c>
      <c r="C403" s="16" t="s">
        <v>219</v>
      </c>
      <c r="D403" s="17">
        <v>2.5000000000000001E-3</v>
      </c>
      <c r="E403" s="67" t="s">
        <v>41</v>
      </c>
      <c r="F403" s="68" t="str">
        <f>IFERROR(VLOOKUP(E403,PROVEEDORES!$A$3:$G$42,2,0),"")</f>
        <v>FRUTAS Y VERDURAS</v>
      </c>
      <c r="G403" s="69" t="str">
        <f>IFERROR(VLOOKUP(E403,PROVEEDORES!$A$3:$G$42,4,0),"")</f>
        <v>caseritaencasa@gmail.com</v>
      </c>
      <c r="H403" s="18" t="str">
        <f>IFERROR(VLOOKUP(E403,PROVEEDORES!$A$3:$G$42,5,0),"")</f>
        <v>56952069703</v>
      </c>
      <c r="I403" s="19">
        <v>10925</v>
      </c>
      <c r="J403" s="67" t="s">
        <v>102</v>
      </c>
      <c r="K403" s="68" t="str">
        <f>IFERROR(VLOOKUP(J403,PROVEEDORES!$A$3:$G$42,2,0),"")</f>
        <v>FRUTAS Y VERDURAS</v>
      </c>
      <c r="L403" s="69" t="str">
        <f>IFERROR(VLOOKUP(J403,PROVEEDORES!$A$3:$G$42,4,0),"")</f>
        <v>gescobargalvez@gmail.com</v>
      </c>
      <c r="M403" s="18">
        <f>IFERROR(VLOOKUP(J403,PROVEEDORES!$A$3:$G$42,5,0),"")</f>
        <v>0</v>
      </c>
      <c r="N403" s="19">
        <v>6435</v>
      </c>
      <c r="O403" s="67" t="s">
        <v>74</v>
      </c>
      <c r="P403" s="68" t="str">
        <f>IFERROR(VLOOKUP(O403,PROVEEDORES!$A$3:$G$42,2,0),"")</f>
        <v>ABARROTES Y VERDURAS</v>
      </c>
      <c r="Q403" s="69" t="str">
        <f>IFERROR(VLOOKUP(O403,PROVEEDORES!$A$3:$G$42,4,0),"")</f>
        <v>santacatalina3@gmail.com</v>
      </c>
      <c r="R403" s="18" t="str">
        <f>IFERROR(VLOOKUP(O403,PROVEEDORES!$A$3:$G$42,5,0),"")</f>
        <v>56996996469</v>
      </c>
      <c r="S403" s="19">
        <v>19794</v>
      </c>
      <c r="T403" s="20">
        <f t="shared" si="18"/>
        <v>12384.666666666666</v>
      </c>
      <c r="U403" s="21">
        <f t="shared" si="19"/>
        <v>13623.133333333333</v>
      </c>
    </row>
    <row r="404" spans="1:21" ht="15" customHeight="1" x14ac:dyDescent="0.35">
      <c r="A404" s="6" t="s">
        <v>583</v>
      </c>
      <c r="B404" s="7" t="s">
        <v>606</v>
      </c>
      <c r="C404" s="8" t="s">
        <v>239</v>
      </c>
      <c r="D404" s="9">
        <v>3.1250000000000002E-3</v>
      </c>
      <c r="E404" s="64" t="s">
        <v>41</v>
      </c>
      <c r="F404" s="65" t="str">
        <f>IFERROR(VLOOKUP(E404,PROVEEDORES!$A$3:$G$42,2,0),"")</f>
        <v>FRUTAS Y VERDURAS</v>
      </c>
      <c r="G404" s="66" t="str">
        <f>IFERROR(VLOOKUP(E404,PROVEEDORES!$A$3:$G$42,4,0),"")</f>
        <v>caseritaencasa@gmail.com</v>
      </c>
      <c r="H404" s="10" t="str">
        <f>IFERROR(VLOOKUP(E404,PROVEEDORES!$A$3:$G$42,5,0),"")</f>
        <v>56952069703</v>
      </c>
      <c r="I404" s="11">
        <v>3010</v>
      </c>
      <c r="J404" s="64" t="s">
        <v>102</v>
      </c>
      <c r="K404" s="65" t="str">
        <f>IFERROR(VLOOKUP(J404,PROVEEDORES!$A$3:$G$42,2,0),"")</f>
        <v>FRUTAS Y VERDURAS</v>
      </c>
      <c r="L404" s="66" t="str">
        <f>IFERROR(VLOOKUP(J404,PROVEEDORES!$A$3:$G$42,4,0),"")</f>
        <v>gescobargalvez@gmail.com</v>
      </c>
      <c r="M404" s="10">
        <f>IFERROR(VLOOKUP(J404,PROVEEDORES!$A$3:$G$42,5,0),"")</f>
        <v>0</v>
      </c>
      <c r="N404" s="11">
        <v>3114</v>
      </c>
      <c r="O404" s="64" t="s">
        <v>74</v>
      </c>
      <c r="P404" s="65" t="str">
        <f>IFERROR(VLOOKUP(O404,PROVEEDORES!$A$3:$G$42,2,0),"")</f>
        <v>ABARROTES Y VERDURAS</v>
      </c>
      <c r="Q404" s="66" t="str">
        <f>IFERROR(VLOOKUP(O404,PROVEEDORES!$A$3:$G$42,4,0),"")</f>
        <v>santacatalina3@gmail.com</v>
      </c>
      <c r="R404" s="10" t="str">
        <f>IFERROR(VLOOKUP(O404,PROVEEDORES!$A$3:$G$42,5,0),"")</f>
        <v>56996996469</v>
      </c>
      <c r="S404" s="11">
        <v>5725</v>
      </c>
      <c r="T404" s="12">
        <f t="shared" si="18"/>
        <v>3949.6666666666665</v>
      </c>
      <c r="U404" s="13">
        <f t="shared" si="19"/>
        <v>4344.6333333333332</v>
      </c>
    </row>
    <row r="405" spans="1:21" ht="15" customHeight="1" x14ac:dyDescent="0.35">
      <c r="A405" s="14" t="s">
        <v>583</v>
      </c>
      <c r="B405" s="15" t="s">
        <v>607</v>
      </c>
      <c r="C405" s="16" t="s">
        <v>219</v>
      </c>
      <c r="D405" s="17">
        <v>6.5096249999999998</v>
      </c>
      <c r="E405" s="67" t="s">
        <v>41</v>
      </c>
      <c r="F405" s="68" t="str">
        <f>IFERROR(VLOOKUP(E405,PROVEEDORES!$A$3:$G$42,2,0),"")</f>
        <v>FRUTAS Y VERDURAS</v>
      </c>
      <c r="G405" s="69" t="str">
        <f>IFERROR(VLOOKUP(E405,PROVEEDORES!$A$3:$G$42,4,0),"")</f>
        <v>caseritaencasa@gmail.com</v>
      </c>
      <c r="H405" s="18" t="str">
        <f>IFERROR(VLOOKUP(E405,PROVEEDORES!$A$3:$G$42,5,0),"")</f>
        <v>56952069703</v>
      </c>
      <c r="I405" s="19">
        <v>1170</v>
      </c>
      <c r="J405" s="67" t="s">
        <v>102</v>
      </c>
      <c r="K405" s="68" t="str">
        <f>IFERROR(VLOOKUP(J405,PROVEEDORES!$A$3:$G$42,2,0),"")</f>
        <v>FRUTAS Y VERDURAS</v>
      </c>
      <c r="L405" s="69" t="str">
        <f>IFERROR(VLOOKUP(J405,PROVEEDORES!$A$3:$G$42,4,0),"")</f>
        <v>gescobargalvez@gmail.com</v>
      </c>
      <c r="M405" s="18">
        <f>IFERROR(VLOOKUP(J405,PROVEEDORES!$A$3:$G$42,5,0),"")</f>
        <v>0</v>
      </c>
      <c r="N405" s="19">
        <v>1010</v>
      </c>
      <c r="O405" s="67" t="s">
        <v>74</v>
      </c>
      <c r="P405" s="68" t="str">
        <f>IFERROR(VLOOKUP(O405,PROVEEDORES!$A$3:$G$42,2,0),"")</f>
        <v>ABARROTES Y VERDURAS</v>
      </c>
      <c r="Q405" s="69" t="str">
        <f>IFERROR(VLOOKUP(O405,PROVEEDORES!$A$3:$G$42,4,0),"")</f>
        <v>santacatalina3@gmail.com</v>
      </c>
      <c r="R405" s="18" t="str">
        <f>IFERROR(VLOOKUP(O405,PROVEEDORES!$A$3:$G$42,5,0),"")</f>
        <v>56996996469</v>
      </c>
      <c r="S405" s="19">
        <v>2148</v>
      </c>
      <c r="T405" s="20">
        <f t="shared" si="18"/>
        <v>1442.6666666666667</v>
      </c>
      <c r="U405" s="21">
        <f t="shared" si="19"/>
        <v>1586.9333333333336</v>
      </c>
    </row>
    <row r="406" spans="1:21" ht="15" customHeight="1" x14ac:dyDescent="0.35">
      <c r="A406" s="6" t="s">
        <v>583</v>
      </c>
      <c r="B406" s="7" t="s">
        <v>608</v>
      </c>
      <c r="C406" s="8" t="s">
        <v>219</v>
      </c>
      <c r="D406" s="9">
        <v>0.48875000000000002</v>
      </c>
      <c r="E406" s="64" t="s">
        <v>41</v>
      </c>
      <c r="F406" s="65" t="str">
        <f>IFERROR(VLOOKUP(E406,PROVEEDORES!$A$3:$G$42,2,0),"")</f>
        <v>FRUTAS Y VERDURAS</v>
      </c>
      <c r="G406" s="66" t="str">
        <f>IFERROR(VLOOKUP(E406,PROVEEDORES!$A$3:$G$42,4,0),"")</f>
        <v>caseritaencasa@gmail.com</v>
      </c>
      <c r="H406" s="10" t="str">
        <f>IFERROR(VLOOKUP(E406,PROVEEDORES!$A$3:$G$42,5,0),"")</f>
        <v>56952069703</v>
      </c>
      <c r="I406" s="11">
        <v>2101</v>
      </c>
      <c r="J406" s="64" t="s">
        <v>102</v>
      </c>
      <c r="K406" s="65" t="str">
        <f>IFERROR(VLOOKUP(J406,PROVEEDORES!$A$3:$G$42,2,0),"")</f>
        <v>FRUTAS Y VERDURAS</v>
      </c>
      <c r="L406" s="66" t="str">
        <f>IFERROR(VLOOKUP(J406,PROVEEDORES!$A$3:$G$42,4,0),"")</f>
        <v>gescobargalvez@gmail.com</v>
      </c>
      <c r="M406" s="10">
        <f>IFERROR(VLOOKUP(J406,PROVEEDORES!$A$3:$G$42,5,0),"")</f>
        <v>0</v>
      </c>
      <c r="N406" s="11">
        <v>2076</v>
      </c>
      <c r="O406" s="64" t="s">
        <v>74</v>
      </c>
      <c r="P406" s="65" t="str">
        <f>IFERROR(VLOOKUP(O406,PROVEEDORES!$A$3:$G$42,2,0),"")</f>
        <v>ABARROTES Y VERDURAS</v>
      </c>
      <c r="Q406" s="66" t="str">
        <f>IFERROR(VLOOKUP(O406,PROVEEDORES!$A$3:$G$42,4,0),"")</f>
        <v>santacatalina3@gmail.com</v>
      </c>
      <c r="R406" s="10" t="str">
        <f>IFERROR(VLOOKUP(O406,PROVEEDORES!$A$3:$G$42,5,0),"")</f>
        <v>56996996469</v>
      </c>
      <c r="S406" s="11">
        <v>2036</v>
      </c>
      <c r="T406" s="12">
        <f t="shared" si="18"/>
        <v>2071</v>
      </c>
      <c r="U406" s="13">
        <f t="shared" si="19"/>
        <v>2278.1000000000004</v>
      </c>
    </row>
    <row r="407" spans="1:21" ht="15" customHeight="1" x14ac:dyDescent="0.35">
      <c r="A407" s="14" t="s">
        <v>583</v>
      </c>
      <c r="B407" s="15" t="s">
        <v>609</v>
      </c>
      <c r="C407" s="16" t="s">
        <v>239</v>
      </c>
      <c r="D407" s="17">
        <v>2.9725000000000001</v>
      </c>
      <c r="E407" s="67" t="s">
        <v>41</v>
      </c>
      <c r="F407" s="68" t="str">
        <f>IFERROR(VLOOKUP(E407,PROVEEDORES!$A$3:$G$42,2,0),"")</f>
        <v>FRUTAS Y VERDURAS</v>
      </c>
      <c r="G407" s="69" t="str">
        <f>IFERROR(VLOOKUP(E407,PROVEEDORES!$A$3:$G$42,4,0),"")</f>
        <v>caseritaencasa@gmail.com</v>
      </c>
      <c r="H407" s="18" t="str">
        <f>IFERROR(VLOOKUP(E407,PROVEEDORES!$A$3:$G$42,5,0),"")</f>
        <v>56952069703</v>
      </c>
      <c r="I407" s="19">
        <v>219</v>
      </c>
      <c r="J407" s="67" t="s">
        <v>102</v>
      </c>
      <c r="K407" s="68" t="str">
        <f>IFERROR(VLOOKUP(J407,PROVEEDORES!$A$3:$G$42,2,0),"")</f>
        <v>FRUTAS Y VERDURAS</v>
      </c>
      <c r="L407" s="69" t="str">
        <f>IFERROR(VLOOKUP(J407,PROVEEDORES!$A$3:$G$42,4,0),"")</f>
        <v>gescobargalvez@gmail.com</v>
      </c>
      <c r="M407" s="18">
        <f>IFERROR(VLOOKUP(J407,PROVEEDORES!$A$3:$G$42,5,0),"")</f>
        <v>0</v>
      </c>
      <c r="N407" s="19">
        <v>341</v>
      </c>
      <c r="O407" s="67" t="s">
        <v>74</v>
      </c>
      <c r="P407" s="68" t="str">
        <f>IFERROR(VLOOKUP(O407,PROVEEDORES!$A$3:$G$42,2,0),"")</f>
        <v>ABARROTES Y VERDURAS</v>
      </c>
      <c r="Q407" s="69" t="str">
        <f>IFERROR(VLOOKUP(O407,PROVEEDORES!$A$3:$G$42,4,0),"")</f>
        <v>santacatalina3@gmail.com</v>
      </c>
      <c r="R407" s="18" t="str">
        <f>IFERROR(VLOOKUP(O407,PROVEEDORES!$A$3:$G$42,5,0),"")</f>
        <v>56996996469</v>
      </c>
      <c r="S407" s="19">
        <v>364</v>
      </c>
      <c r="T407" s="20">
        <f t="shared" si="18"/>
        <v>308</v>
      </c>
      <c r="U407" s="21">
        <f t="shared" si="19"/>
        <v>338.8</v>
      </c>
    </row>
    <row r="408" spans="1:21" ht="15" customHeight="1" x14ac:dyDescent="0.35">
      <c r="A408" s="6" t="s">
        <v>583</v>
      </c>
      <c r="B408" s="7" t="s">
        <v>610</v>
      </c>
      <c r="C408" s="8" t="s">
        <v>219</v>
      </c>
      <c r="D408" s="9">
        <v>2.5000000000000001E-2</v>
      </c>
      <c r="E408" s="64" t="s">
        <v>41</v>
      </c>
      <c r="F408" s="65" t="str">
        <f>IFERROR(VLOOKUP(E408,PROVEEDORES!$A$3:$G$42,2,0),"")</f>
        <v>FRUTAS Y VERDURAS</v>
      </c>
      <c r="G408" s="66" t="str">
        <f>IFERROR(VLOOKUP(E408,PROVEEDORES!$A$3:$G$42,4,0),"")</f>
        <v>caseritaencasa@gmail.com</v>
      </c>
      <c r="H408" s="10" t="str">
        <f>IFERROR(VLOOKUP(E408,PROVEEDORES!$A$3:$G$42,5,0),"")</f>
        <v>56952069703</v>
      </c>
      <c r="I408" s="11">
        <v>3277</v>
      </c>
      <c r="J408" s="64" t="s">
        <v>102</v>
      </c>
      <c r="K408" s="65" t="str">
        <f>IFERROR(VLOOKUP(J408,PROVEEDORES!$A$3:$G$42,2,0),"")</f>
        <v>FRUTAS Y VERDURAS</v>
      </c>
      <c r="L408" s="66" t="str">
        <f>IFERROR(VLOOKUP(J408,PROVEEDORES!$A$3:$G$42,4,0),"")</f>
        <v>gescobargalvez@gmail.com</v>
      </c>
      <c r="M408" s="10">
        <f>IFERROR(VLOOKUP(J408,PROVEEDORES!$A$3:$G$42,5,0),"")</f>
        <v>0</v>
      </c>
      <c r="N408" s="11">
        <v>2957</v>
      </c>
      <c r="O408" s="64" t="s">
        <v>74</v>
      </c>
      <c r="P408" s="65" t="str">
        <f>IFERROR(VLOOKUP(O408,PROVEEDORES!$A$3:$G$42,2,0),"")</f>
        <v>ABARROTES Y VERDURAS</v>
      </c>
      <c r="Q408" s="66" t="str">
        <f>IFERROR(VLOOKUP(O408,PROVEEDORES!$A$3:$G$42,4,0),"")</f>
        <v>santacatalina3@gmail.com</v>
      </c>
      <c r="R408" s="10" t="str">
        <f>IFERROR(VLOOKUP(O408,PROVEEDORES!$A$3:$G$42,5,0),"")</f>
        <v>56996996469</v>
      </c>
      <c r="S408" s="11">
        <v>3875</v>
      </c>
      <c r="T408" s="12">
        <f t="shared" si="18"/>
        <v>3369.6666666666665</v>
      </c>
      <c r="U408" s="13">
        <f t="shared" si="19"/>
        <v>3706.6333333333337</v>
      </c>
    </row>
    <row r="409" spans="1:21" ht="15" customHeight="1" x14ac:dyDescent="0.35">
      <c r="A409" s="14" t="s">
        <v>583</v>
      </c>
      <c r="B409" s="15" t="s">
        <v>611</v>
      </c>
      <c r="C409" s="16" t="s">
        <v>239</v>
      </c>
      <c r="D409" s="17">
        <v>4.9800000000000004</v>
      </c>
      <c r="E409" s="67" t="s">
        <v>41</v>
      </c>
      <c r="F409" s="68" t="str">
        <f>IFERROR(VLOOKUP(E409,PROVEEDORES!$A$3:$G$42,2,0),"")</f>
        <v>FRUTAS Y VERDURAS</v>
      </c>
      <c r="G409" s="69" t="str">
        <f>IFERROR(VLOOKUP(E409,PROVEEDORES!$A$3:$G$42,4,0),"")</f>
        <v>caseritaencasa@gmail.com</v>
      </c>
      <c r="H409" s="18" t="str">
        <f>IFERROR(VLOOKUP(E409,PROVEEDORES!$A$3:$G$42,5,0),"")</f>
        <v>56952069703</v>
      </c>
      <c r="I409" s="19">
        <v>728</v>
      </c>
      <c r="J409" s="67" t="s">
        <v>102</v>
      </c>
      <c r="K409" s="68" t="str">
        <f>IFERROR(VLOOKUP(J409,PROVEEDORES!$A$3:$G$42,2,0),"")</f>
        <v>FRUTAS Y VERDURAS</v>
      </c>
      <c r="L409" s="69" t="str">
        <f>IFERROR(VLOOKUP(J409,PROVEEDORES!$A$3:$G$42,4,0),"")</f>
        <v>gescobargalvez@gmail.com</v>
      </c>
      <c r="M409" s="18">
        <f>IFERROR(VLOOKUP(J409,PROVEEDORES!$A$3:$G$42,5,0),"")</f>
        <v>0</v>
      </c>
      <c r="N409" s="19">
        <v>1128</v>
      </c>
      <c r="O409" s="67" t="s">
        <v>74</v>
      </c>
      <c r="P409" s="68" t="str">
        <f>IFERROR(VLOOKUP(O409,PROVEEDORES!$A$3:$G$42,2,0),"")</f>
        <v>ABARROTES Y VERDURAS</v>
      </c>
      <c r="Q409" s="69" t="str">
        <f>IFERROR(VLOOKUP(O409,PROVEEDORES!$A$3:$G$42,4,0),"")</f>
        <v>santacatalina3@gmail.com</v>
      </c>
      <c r="R409" s="18" t="str">
        <f>IFERROR(VLOOKUP(O409,PROVEEDORES!$A$3:$G$42,5,0),"")</f>
        <v>56996996469</v>
      </c>
      <c r="S409" s="19">
        <v>1361</v>
      </c>
      <c r="T409" s="20">
        <f t="shared" si="18"/>
        <v>1072.3333333333333</v>
      </c>
      <c r="U409" s="21">
        <f t="shared" si="19"/>
        <v>1179.5666666666666</v>
      </c>
    </row>
    <row r="410" spans="1:21" ht="15" customHeight="1" x14ac:dyDescent="0.35">
      <c r="A410" s="6" t="s">
        <v>583</v>
      </c>
      <c r="B410" s="7" t="s">
        <v>612</v>
      </c>
      <c r="C410" s="8" t="s">
        <v>219</v>
      </c>
      <c r="D410" s="9">
        <v>2.9499999999999998E-2</v>
      </c>
      <c r="E410" s="64" t="s">
        <v>41</v>
      </c>
      <c r="F410" s="65" t="str">
        <f>IFERROR(VLOOKUP(E410,PROVEEDORES!$A$3:$G$42,2,0),"")</f>
        <v>FRUTAS Y VERDURAS</v>
      </c>
      <c r="G410" s="66" t="str">
        <f>IFERROR(VLOOKUP(E410,PROVEEDORES!$A$3:$G$42,4,0),"")</f>
        <v>caseritaencasa@gmail.com</v>
      </c>
      <c r="H410" s="10" t="str">
        <f>IFERROR(VLOOKUP(E410,PROVEEDORES!$A$3:$G$42,5,0),"")</f>
        <v>56952069703</v>
      </c>
      <c r="I410" s="11">
        <v>17480</v>
      </c>
      <c r="J410" s="64" t="s">
        <v>102</v>
      </c>
      <c r="K410" s="65" t="str">
        <f>IFERROR(VLOOKUP(J410,PROVEEDORES!$A$3:$G$42,2,0),"")</f>
        <v>FRUTAS Y VERDURAS</v>
      </c>
      <c r="L410" s="66" t="str">
        <f>IFERROR(VLOOKUP(J410,PROVEEDORES!$A$3:$G$42,4,0),"")</f>
        <v>gescobargalvez@gmail.com</v>
      </c>
      <c r="M410" s="10">
        <f>IFERROR(VLOOKUP(J410,PROVEEDORES!$A$3:$G$42,5,0),"")</f>
        <v>0</v>
      </c>
      <c r="N410" s="11">
        <v>26631</v>
      </c>
      <c r="O410" s="64" t="s">
        <v>74</v>
      </c>
      <c r="P410" s="65" t="str">
        <f>IFERROR(VLOOKUP(O410,PROVEEDORES!$A$3:$G$42,2,0),"")</f>
        <v>ABARROTES Y VERDURAS</v>
      </c>
      <c r="Q410" s="66" t="str">
        <f>IFERROR(VLOOKUP(O410,PROVEEDORES!$A$3:$G$42,4,0),"")</f>
        <v>santacatalina3@gmail.com</v>
      </c>
      <c r="R410" s="10" t="str">
        <f>IFERROR(VLOOKUP(O410,PROVEEDORES!$A$3:$G$42,5,0),"")</f>
        <v>56996996469</v>
      </c>
      <c r="S410" s="11">
        <v>-17</v>
      </c>
      <c r="T410" s="12">
        <f t="shared" si="18"/>
        <v>14698</v>
      </c>
      <c r="U410" s="13">
        <f t="shared" si="19"/>
        <v>16167.800000000001</v>
      </c>
    </row>
    <row r="411" spans="1:21" ht="15" customHeight="1" x14ac:dyDescent="0.35">
      <c r="A411" s="14" t="s">
        <v>583</v>
      </c>
      <c r="B411" s="15" t="s">
        <v>613</v>
      </c>
      <c r="C411" s="16" t="s">
        <v>219</v>
      </c>
      <c r="D411" s="17">
        <v>0.50324999999999998</v>
      </c>
      <c r="E411" s="67" t="s">
        <v>41</v>
      </c>
      <c r="F411" s="68" t="str">
        <f>IFERROR(VLOOKUP(E411,PROVEEDORES!$A$3:$G$42,2,0),"")</f>
        <v>FRUTAS Y VERDURAS</v>
      </c>
      <c r="G411" s="69" t="str">
        <f>IFERROR(VLOOKUP(E411,PROVEEDORES!$A$3:$G$42,4,0),"")</f>
        <v>caseritaencasa@gmail.com</v>
      </c>
      <c r="H411" s="18" t="str">
        <f>IFERROR(VLOOKUP(E411,PROVEEDORES!$A$3:$G$42,5,0),"")</f>
        <v>56952069703</v>
      </c>
      <c r="I411" s="19">
        <v>7647</v>
      </c>
      <c r="J411" s="67" t="s">
        <v>102</v>
      </c>
      <c r="K411" s="68" t="str">
        <f>IFERROR(VLOOKUP(J411,PROVEEDORES!$A$3:$G$42,2,0),"")</f>
        <v>FRUTAS Y VERDURAS</v>
      </c>
      <c r="L411" s="69" t="str">
        <f>IFERROR(VLOOKUP(J411,PROVEEDORES!$A$3:$G$42,4,0),"")</f>
        <v>gescobargalvez@gmail.com</v>
      </c>
      <c r="M411" s="18">
        <f>IFERROR(VLOOKUP(J411,PROVEEDORES!$A$3:$G$42,5,0),"")</f>
        <v>0</v>
      </c>
      <c r="N411" s="19">
        <v>7463</v>
      </c>
      <c r="O411" s="67" t="s">
        <v>74</v>
      </c>
      <c r="P411" s="68" t="str">
        <f>IFERROR(VLOOKUP(O411,PROVEEDORES!$A$3:$G$42,2,0),"")</f>
        <v>ABARROTES Y VERDURAS</v>
      </c>
      <c r="Q411" s="69" t="str">
        <f>IFERROR(VLOOKUP(O411,PROVEEDORES!$A$3:$G$42,4,0),"")</f>
        <v>santacatalina3@gmail.com</v>
      </c>
      <c r="R411" s="18" t="str">
        <f>IFERROR(VLOOKUP(O411,PROVEEDORES!$A$3:$G$42,5,0),"")</f>
        <v>56996996469</v>
      </c>
      <c r="S411" s="19">
        <v>8370</v>
      </c>
      <c r="T411" s="20">
        <f t="shared" si="18"/>
        <v>7826.666666666667</v>
      </c>
      <c r="U411" s="21">
        <f t="shared" si="19"/>
        <v>8609.3333333333339</v>
      </c>
    </row>
    <row r="412" spans="1:21" ht="15" customHeight="1" x14ac:dyDescent="0.35">
      <c r="A412" s="6" t="s">
        <v>583</v>
      </c>
      <c r="B412" s="7" t="s">
        <v>614</v>
      </c>
      <c r="C412" s="8" t="s">
        <v>219</v>
      </c>
      <c r="D412" s="9">
        <v>3.4500000000000003E-2</v>
      </c>
      <c r="E412" s="64" t="s">
        <v>41</v>
      </c>
      <c r="F412" s="65" t="str">
        <f>IFERROR(VLOOKUP(E412,PROVEEDORES!$A$3:$G$42,2,0),"")</f>
        <v>FRUTAS Y VERDURAS</v>
      </c>
      <c r="G412" s="66" t="str">
        <f>IFERROR(VLOOKUP(E412,PROVEEDORES!$A$3:$G$42,4,0),"")</f>
        <v>caseritaencasa@gmail.com</v>
      </c>
      <c r="H412" s="10" t="str">
        <f>IFERROR(VLOOKUP(E412,PROVEEDORES!$A$3:$G$42,5,0),"")</f>
        <v>56952069703</v>
      </c>
      <c r="I412" s="11">
        <v>8750</v>
      </c>
      <c r="J412" s="64" t="s">
        <v>102</v>
      </c>
      <c r="K412" s="65" t="str">
        <f>IFERROR(VLOOKUP(J412,PROVEEDORES!$A$3:$G$42,2,0),"")</f>
        <v>FRUTAS Y VERDURAS</v>
      </c>
      <c r="L412" s="66" t="str">
        <f>IFERROR(VLOOKUP(J412,PROVEEDORES!$A$3:$G$42,4,0),"")</f>
        <v>gescobargalvez@gmail.com</v>
      </c>
      <c r="M412" s="10">
        <f>IFERROR(VLOOKUP(J412,PROVEEDORES!$A$3:$G$42,5,0),"")</f>
        <v>0</v>
      </c>
      <c r="N412" s="11">
        <v>12491</v>
      </c>
      <c r="O412" s="64" t="s">
        <v>74</v>
      </c>
      <c r="P412" s="65" t="str">
        <f>IFERROR(VLOOKUP(O412,PROVEEDORES!$A$3:$G$42,2,0),"")</f>
        <v>ABARROTES Y VERDURAS</v>
      </c>
      <c r="Q412" s="66" t="str">
        <f>IFERROR(VLOOKUP(O412,PROVEEDORES!$A$3:$G$42,4,0),"")</f>
        <v>santacatalina3@gmail.com</v>
      </c>
      <c r="R412" s="10" t="str">
        <f>IFERROR(VLOOKUP(O412,PROVEEDORES!$A$3:$G$42,5,0),"")</f>
        <v>56996996469</v>
      </c>
      <c r="S412" s="11">
        <v>3803</v>
      </c>
      <c r="T412" s="12">
        <f t="shared" si="18"/>
        <v>8348</v>
      </c>
      <c r="U412" s="13">
        <f t="shared" si="19"/>
        <v>9182.8000000000011</v>
      </c>
    </row>
    <row r="413" spans="1:21" ht="15" customHeight="1" x14ac:dyDescent="0.35">
      <c r="A413" s="14" t="s">
        <v>583</v>
      </c>
      <c r="B413" s="15" t="s">
        <v>615</v>
      </c>
      <c r="C413" s="16" t="s">
        <v>219</v>
      </c>
      <c r="D413" s="17">
        <v>0.26500000000000001</v>
      </c>
      <c r="E413" s="67" t="s">
        <v>41</v>
      </c>
      <c r="F413" s="68" t="str">
        <f>IFERROR(VLOOKUP(E413,PROVEEDORES!$A$3:$G$42,2,0),"")</f>
        <v>FRUTAS Y VERDURAS</v>
      </c>
      <c r="G413" s="69" t="str">
        <f>IFERROR(VLOOKUP(E413,PROVEEDORES!$A$3:$G$42,4,0),"")</f>
        <v>caseritaencasa@gmail.com</v>
      </c>
      <c r="H413" s="18" t="str">
        <f>IFERROR(VLOOKUP(E413,PROVEEDORES!$A$3:$G$42,5,0),"")</f>
        <v>56952069703</v>
      </c>
      <c r="I413" s="19">
        <v>1559</v>
      </c>
      <c r="J413" s="67" t="s">
        <v>102</v>
      </c>
      <c r="K413" s="68" t="str">
        <f>IFERROR(VLOOKUP(J413,PROVEEDORES!$A$3:$G$42,2,0),"")</f>
        <v>FRUTAS Y VERDURAS</v>
      </c>
      <c r="L413" s="69" t="str">
        <f>IFERROR(VLOOKUP(J413,PROVEEDORES!$A$3:$G$42,4,0),"")</f>
        <v>gescobargalvez@gmail.com</v>
      </c>
      <c r="M413" s="18">
        <f>IFERROR(VLOOKUP(J413,PROVEEDORES!$A$3:$G$42,5,0),"")</f>
        <v>0</v>
      </c>
      <c r="N413" s="19">
        <v>1973</v>
      </c>
      <c r="O413" s="67" t="s">
        <v>74</v>
      </c>
      <c r="P413" s="68" t="str">
        <f>IFERROR(VLOOKUP(O413,PROVEEDORES!$A$3:$G$42,2,0),"")</f>
        <v>ABARROTES Y VERDURAS</v>
      </c>
      <c r="Q413" s="69" t="str">
        <f>IFERROR(VLOOKUP(O413,PROVEEDORES!$A$3:$G$42,4,0),"")</f>
        <v>santacatalina3@gmail.com</v>
      </c>
      <c r="R413" s="18" t="str">
        <f>IFERROR(VLOOKUP(O413,PROVEEDORES!$A$3:$G$42,5,0),"")</f>
        <v>56996996469</v>
      </c>
      <c r="S413" s="19">
        <v>290</v>
      </c>
      <c r="T413" s="20">
        <f t="shared" si="18"/>
        <v>1274</v>
      </c>
      <c r="U413" s="21">
        <f t="shared" si="19"/>
        <v>1401.4</v>
      </c>
    </row>
    <row r="414" spans="1:21" ht="15" customHeight="1" x14ac:dyDescent="0.35">
      <c r="A414" s="6" t="s">
        <v>583</v>
      </c>
      <c r="B414" s="7" t="s">
        <v>616</v>
      </c>
      <c r="C414" s="8" t="s">
        <v>239</v>
      </c>
      <c r="D414" s="9">
        <v>2.5</v>
      </c>
      <c r="E414" s="64" t="s">
        <v>41</v>
      </c>
      <c r="F414" s="65" t="str">
        <f>IFERROR(VLOOKUP(E414,PROVEEDORES!$A$3:$G$42,2,0),"")</f>
        <v>FRUTAS Y VERDURAS</v>
      </c>
      <c r="G414" s="66" t="str">
        <f>IFERROR(VLOOKUP(E414,PROVEEDORES!$A$3:$G$42,4,0),"")</f>
        <v>caseritaencasa@gmail.com</v>
      </c>
      <c r="H414" s="10" t="str">
        <f>IFERROR(VLOOKUP(E414,PROVEEDORES!$A$3:$G$42,5,0),"")</f>
        <v>56952069703</v>
      </c>
      <c r="I414" s="11">
        <v>756</v>
      </c>
      <c r="J414" s="64" t="s">
        <v>102</v>
      </c>
      <c r="K414" s="65" t="str">
        <f>IFERROR(VLOOKUP(J414,PROVEEDORES!$A$3:$G$42,2,0),"")</f>
        <v>FRUTAS Y VERDURAS</v>
      </c>
      <c r="L414" s="66" t="str">
        <f>IFERROR(VLOOKUP(J414,PROVEEDORES!$A$3:$G$42,4,0),"")</f>
        <v>gescobargalvez@gmail.com</v>
      </c>
      <c r="M414" s="10">
        <f>IFERROR(VLOOKUP(J414,PROVEEDORES!$A$3:$G$42,5,0),"")</f>
        <v>0</v>
      </c>
      <c r="N414" s="11">
        <v>855</v>
      </c>
      <c r="O414" s="64" t="s">
        <v>74</v>
      </c>
      <c r="P414" s="65" t="str">
        <f>IFERROR(VLOOKUP(O414,PROVEEDORES!$A$3:$G$42,2,0),"")</f>
        <v>ABARROTES Y VERDURAS</v>
      </c>
      <c r="Q414" s="66" t="str">
        <f>IFERROR(VLOOKUP(O414,PROVEEDORES!$A$3:$G$42,4,0),"")</f>
        <v>santacatalina3@gmail.com</v>
      </c>
      <c r="R414" s="10" t="str">
        <f>IFERROR(VLOOKUP(O414,PROVEEDORES!$A$3:$G$42,5,0),"")</f>
        <v>56996996469</v>
      </c>
      <c r="S414" s="11">
        <v>1501</v>
      </c>
      <c r="T414" s="12">
        <f t="shared" ref="T414:T445" si="20">AVERAGE(I414,N414,S414)</f>
        <v>1037.3333333333333</v>
      </c>
      <c r="U414" s="13">
        <f t="shared" ref="U414:U445" si="21">T414*(1+$B$2)</f>
        <v>1141.0666666666666</v>
      </c>
    </row>
    <row r="415" spans="1:21" ht="15" customHeight="1" x14ac:dyDescent="0.35">
      <c r="A415" s="14" t="s">
        <v>583</v>
      </c>
      <c r="B415" s="15" t="s">
        <v>617</v>
      </c>
      <c r="C415" s="16" t="s">
        <v>219</v>
      </c>
      <c r="D415" s="17">
        <v>2.5000000000000001E-2</v>
      </c>
      <c r="E415" s="67" t="s">
        <v>41</v>
      </c>
      <c r="F415" s="68" t="str">
        <f>IFERROR(VLOOKUP(E415,PROVEEDORES!$A$3:$G$42,2,0),"")</f>
        <v>FRUTAS Y VERDURAS</v>
      </c>
      <c r="G415" s="69" t="str">
        <f>IFERROR(VLOOKUP(E415,PROVEEDORES!$A$3:$G$42,4,0),"")</f>
        <v>caseritaencasa@gmail.com</v>
      </c>
      <c r="H415" s="18" t="str">
        <f>IFERROR(VLOOKUP(E415,PROVEEDORES!$A$3:$G$42,5,0),"")</f>
        <v>56952069703</v>
      </c>
      <c r="I415" s="19">
        <v>3290</v>
      </c>
      <c r="J415" s="67" t="s">
        <v>102</v>
      </c>
      <c r="K415" s="68" t="str">
        <f>IFERROR(VLOOKUP(J415,PROVEEDORES!$A$3:$G$42,2,0),"")</f>
        <v>FRUTAS Y VERDURAS</v>
      </c>
      <c r="L415" s="69" t="str">
        <f>IFERROR(VLOOKUP(J415,PROVEEDORES!$A$3:$G$42,4,0),"")</f>
        <v>gescobargalvez@gmail.com</v>
      </c>
      <c r="M415" s="18">
        <f>IFERROR(VLOOKUP(J415,PROVEEDORES!$A$3:$G$42,5,0),"")</f>
        <v>0</v>
      </c>
      <c r="N415" s="19">
        <v>2629</v>
      </c>
      <c r="O415" s="67" t="s">
        <v>74</v>
      </c>
      <c r="P415" s="68" t="str">
        <f>IFERROR(VLOOKUP(O415,PROVEEDORES!$A$3:$G$42,2,0),"")</f>
        <v>ABARROTES Y VERDURAS</v>
      </c>
      <c r="Q415" s="69" t="str">
        <f>IFERROR(VLOOKUP(O415,PROVEEDORES!$A$3:$G$42,4,0),"")</f>
        <v>santacatalina3@gmail.com</v>
      </c>
      <c r="R415" s="18" t="str">
        <f>IFERROR(VLOOKUP(O415,PROVEEDORES!$A$3:$G$42,5,0),"")</f>
        <v>56996996469</v>
      </c>
      <c r="S415" s="19">
        <v>3232</v>
      </c>
      <c r="T415" s="20">
        <f t="shared" si="20"/>
        <v>3050.3333333333335</v>
      </c>
      <c r="U415" s="21">
        <f t="shared" si="21"/>
        <v>3355.3666666666672</v>
      </c>
    </row>
    <row r="416" spans="1:21" ht="15" customHeight="1" x14ac:dyDescent="0.35">
      <c r="A416" s="6" t="s">
        <v>583</v>
      </c>
      <c r="B416" s="7" t="s">
        <v>618</v>
      </c>
      <c r="C416" s="8" t="s">
        <v>239</v>
      </c>
      <c r="D416" s="9">
        <v>1.8243750000000001</v>
      </c>
      <c r="E416" s="64" t="s">
        <v>41</v>
      </c>
      <c r="F416" s="65" t="str">
        <f>IFERROR(VLOOKUP(E416,PROVEEDORES!$A$3:$G$42,2,0),"")</f>
        <v>FRUTAS Y VERDURAS</v>
      </c>
      <c r="G416" s="66" t="str">
        <f>IFERROR(VLOOKUP(E416,PROVEEDORES!$A$3:$G$42,4,0),"")</f>
        <v>caseritaencasa@gmail.com</v>
      </c>
      <c r="H416" s="10" t="str">
        <f>IFERROR(VLOOKUP(E416,PROVEEDORES!$A$3:$G$42,5,0),"")</f>
        <v>56952069703</v>
      </c>
      <c r="I416" s="11">
        <v>219</v>
      </c>
      <c r="J416" s="64" t="s">
        <v>102</v>
      </c>
      <c r="K416" s="65" t="str">
        <f>IFERROR(VLOOKUP(J416,PROVEEDORES!$A$3:$G$42,2,0),"")</f>
        <v>FRUTAS Y VERDURAS</v>
      </c>
      <c r="L416" s="66" t="str">
        <f>IFERROR(VLOOKUP(J416,PROVEEDORES!$A$3:$G$42,4,0),"")</f>
        <v>gescobargalvez@gmail.com</v>
      </c>
      <c r="M416" s="10">
        <f>IFERROR(VLOOKUP(J416,PROVEEDORES!$A$3:$G$42,5,0),"")</f>
        <v>0</v>
      </c>
      <c r="N416" s="11">
        <v>259</v>
      </c>
      <c r="O416" s="64" t="s">
        <v>74</v>
      </c>
      <c r="P416" s="65" t="str">
        <f>IFERROR(VLOOKUP(O416,PROVEEDORES!$A$3:$G$42,2,0),"")</f>
        <v>ABARROTES Y VERDURAS</v>
      </c>
      <c r="Q416" s="66" t="str">
        <f>IFERROR(VLOOKUP(O416,PROVEEDORES!$A$3:$G$42,4,0),"")</f>
        <v>santacatalina3@gmail.com</v>
      </c>
      <c r="R416" s="10" t="str">
        <f>IFERROR(VLOOKUP(O416,PROVEEDORES!$A$3:$G$42,5,0),"")</f>
        <v>56996996469</v>
      </c>
      <c r="S416" s="11">
        <v>58</v>
      </c>
      <c r="T416" s="12">
        <f t="shared" si="20"/>
        <v>178.66666666666666</v>
      </c>
      <c r="U416" s="13">
        <f t="shared" si="21"/>
        <v>196.53333333333333</v>
      </c>
    </row>
    <row r="417" spans="1:21" ht="15" customHeight="1" x14ac:dyDescent="0.35">
      <c r="A417" s="14" t="s">
        <v>583</v>
      </c>
      <c r="B417" s="15" t="s">
        <v>619</v>
      </c>
      <c r="C417" s="16" t="s">
        <v>219</v>
      </c>
      <c r="D417" s="17">
        <v>0.53731249999999997</v>
      </c>
      <c r="E417" s="67" t="s">
        <v>41</v>
      </c>
      <c r="F417" s="68" t="str">
        <f>IFERROR(VLOOKUP(E417,PROVEEDORES!$A$3:$G$42,2,0),"")</f>
        <v>FRUTAS Y VERDURAS</v>
      </c>
      <c r="G417" s="69" t="str">
        <f>IFERROR(VLOOKUP(E417,PROVEEDORES!$A$3:$G$42,4,0),"")</f>
        <v>caseritaencasa@gmail.com</v>
      </c>
      <c r="H417" s="18" t="str">
        <f>IFERROR(VLOOKUP(E417,PROVEEDORES!$A$3:$G$42,5,0),"")</f>
        <v>56952069703</v>
      </c>
      <c r="I417" s="19">
        <v>4998</v>
      </c>
      <c r="J417" s="67" t="s">
        <v>102</v>
      </c>
      <c r="K417" s="68" t="str">
        <f>IFERROR(VLOOKUP(J417,PROVEEDORES!$A$3:$G$42,2,0),"")</f>
        <v>FRUTAS Y VERDURAS</v>
      </c>
      <c r="L417" s="69" t="str">
        <f>IFERROR(VLOOKUP(J417,PROVEEDORES!$A$3:$G$42,4,0),"")</f>
        <v>gescobargalvez@gmail.com</v>
      </c>
      <c r="M417" s="18">
        <f>IFERROR(VLOOKUP(J417,PROVEEDORES!$A$3:$G$42,5,0),"")</f>
        <v>0</v>
      </c>
      <c r="N417" s="19">
        <v>7524</v>
      </c>
      <c r="O417" s="67" t="s">
        <v>74</v>
      </c>
      <c r="P417" s="68" t="str">
        <f>IFERROR(VLOOKUP(O417,PROVEEDORES!$A$3:$G$42,2,0),"")</f>
        <v>ABARROTES Y VERDURAS</v>
      </c>
      <c r="Q417" s="69" t="str">
        <f>IFERROR(VLOOKUP(O417,PROVEEDORES!$A$3:$G$42,4,0),"")</f>
        <v>santacatalina3@gmail.com</v>
      </c>
      <c r="R417" s="18" t="str">
        <f>IFERROR(VLOOKUP(O417,PROVEEDORES!$A$3:$G$42,5,0),"")</f>
        <v>56996996469</v>
      </c>
      <c r="S417" s="19">
        <v>9572</v>
      </c>
      <c r="T417" s="20">
        <f t="shared" si="20"/>
        <v>7364.666666666667</v>
      </c>
      <c r="U417" s="21">
        <f t="shared" si="21"/>
        <v>8101.1333333333341</v>
      </c>
    </row>
    <row r="418" spans="1:21" ht="15" customHeight="1" x14ac:dyDescent="0.35">
      <c r="A418" s="6" t="s">
        <v>583</v>
      </c>
      <c r="B418" s="7" t="s">
        <v>620</v>
      </c>
      <c r="C418" s="8" t="s">
        <v>239</v>
      </c>
      <c r="D418" s="9">
        <v>0.17499999999999999</v>
      </c>
      <c r="E418" s="64" t="s">
        <v>41</v>
      </c>
      <c r="F418" s="65" t="str">
        <f>IFERROR(VLOOKUP(E418,PROVEEDORES!$A$3:$G$42,2,0),"")</f>
        <v>FRUTAS Y VERDURAS</v>
      </c>
      <c r="G418" s="66" t="str">
        <f>IFERROR(VLOOKUP(E418,PROVEEDORES!$A$3:$G$42,4,0),"")</f>
        <v>caseritaencasa@gmail.com</v>
      </c>
      <c r="H418" s="10" t="str">
        <f>IFERROR(VLOOKUP(E418,PROVEEDORES!$A$3:$G$42,5,0),"")</f>
        <v>56952069703</v>
      </c>
      <c r="I418" s="11">
        <v>7735</v>
      </c>
      <c r="J418" s="64" t="s">
        <v>102</v>
      </c>
      <c r="K418" s="65" t="str">
        <f>IFERROR(VLOOKUP(J418,PROVEEDORES!$A$3:$G$42,2,0),"")</f>
        <v>FRUTAS Y VERDURAS</v>
      </c>
      <c r="L418" s="66" t="str">
        <f>IFERROR(VLOOKUP(J418,PROVEEDORES!$A$3:$G$42,4,0),"")</f>
        <v>gescobargalvez@gmail.com</v>
      </c>
      <c r="M418" s="10">
        <f>IFERROR(VLOOKUP(J418,PROVEEDORES!$A$3:$G$42,5,0),"")</f>
        <v>0</v>
      </c>
      <c r="N418" s="11">
        <v>3454</v>
      </c>
      <c r="O418" s="64" t="s">
        <v>74</v>
      </c>
      <c r="P418" s="65" t="str">
        <f>IFERROR(VLOOKUP(O418,PROVEEDORES!$A$3:$G$42,2,0),"")</f>
        <v>ABARROTES Y VERDURAS</v>
      </c>
      <c r="Q418" s="66" t="str">
        <f>IFERROR(VLOOKUP(O418,PROVEEDORES!$A$3:$G$42,4,0),"")</f>
        <v>santacatalina3@gmail.com</v>
      </c>
      <c r="R418" s="10" t="str">
        <f>IFERROR(VLOOKUP(O418,PROVEEDORES!$A$3:$G$42,5,0),"")</f>
        <v>56996996469</v>
      </c>
      <c r="S418" s="11">
        <v>8382</v>
      </c>
      <c r="T418" s="12">
        <f t="shared" si="20"/>
        <v>6523.666666666667</v>
      </c>
      <c r="U418" s="13">
        <f t="shared" si="21"/>
        <v>7176.0333333333347</v>
      </c>
    </row>
    <row r="419" spans="1:21" ht="15" customHeight="1" x14ac:dyDescent="0.35">
      <c r="A419" s="14" t="s">
        <v>583</v>
      </c>
      <c r="B419" s="15" t="s">
        <v>621</v>
      </c>
      <c r="C419" s="16" t="s">
        <v>239</v>
      </c>
      <c r="D419" s="17">
        <v>0.52249999999999996</v>
      </c>
      <c r="E419" s="67" t="s">
        <v>41</v>
      </c>
      <c r="F419" s="68" t="str">
        <f>IFERROR(VLOOKUP(E419,PROVEEDORES!$A$3:$G$42,2,0),"")</f>
        <v>FRUTAS Y VERDURAS</v>
      </c>
      <c r="G419" s="69" t="str">
        <f>IFERROR(VLOOKUP(E419,PROVEEDORES!$A$3:$G$42,4,0),"")</f>
        <v>caseritaencasa@gmail.com</v>
      </c>
      <c r="H419" s="18" t="str">
        <f>IFERROR(VLOOKUP(E419,PROVEEDORES!$A$3:$G$42,5,0),"")</f>
        <v>56952069703</v>
      </c>
      <c r="I419" s="19">
        <v>1350</v>
      </c>
      <c r="J419" s="67" t="s">
        <v>102</v>
      </c>
      <c r="K419" s="68" t="str">
        <f>IFERROR(VLOOKUP(J419,PROVEEDORES!$A$3:$G$42,2,0),"")</f>
        <v>FRUTAS Y VERDURAS</v>
      </c>
      <c r="L419" s="69" t="str">
        <f>IFERROR(VLOOKUP(J419,PROVEEDORES!$A$3:$G$42,4,0),"")</f>
        <v>gescobargalvez@gmail.com</v>
      </c>
      <c r="M419" s="18">
        <f>IFERROR(VLOOKUP(J419,PROVEEDORES!$A$3:$G$42,5,0),"")</f>
        <v>0</v>
      </c>
      <c r="N419" s="19">
        <v>732</v>
      </c>
      <c r="O419" s="67" t="s">
        <v>74</v>
      </c>
      <c r="P419" s="68" t="str">
        <f>IFERROR(VLOOKUP(O419,PROVEEDORES!$A$3:$G$42,2,0),"")</f>
        <v>ABARROTES Y VERDURAS</v>
      </c>
      <c r="Q419" s="69" t="str">
        <f>IFERROR(VLOOKUP(O419,PROVEEDORES!$A$3:$G$42,4,0),"")</f>
        <v>santacatalina3@gmail.com</v>
      </c>
      <c r="R419" s="18" t="str">
        <f>IFERROR(VLOOKUP(O419,PROVEEDORES!$A$3:$G$42,5,0),"")</f>
        <v>56996996469</v>
      </c>
      <c r="S419" s="19">
        <v>1279</v>
      </c>
      <c r="T419" s="20">
        <f t="shared" si="20"/>
        <v>1120.3333333333333</v>
      </c>
      <c r="U419" s="21">
        <f t="shared" si="21"/>
        <v>1232.3666666666668</v>
      </c>
    </row>
    <row r="420" spans="1:21" ht="15" customHeight="1" x14ac:dyDescent="0.35">
      <c r="A420" s="6" t="s">
        <v>583</v>
      </c>
      <c r="B420" s="7" t="s">
        <v>622</v>
      </c>
      <c r="C420" s="8" t="s">
        <v>219</v>
      </c>
      <c r="D420" s="9">
        <v>1.2500000000000001E-2</v>
      </c>
      <c r="E420" s="64" t="s">
        <v>41</v>
      </c>
      <c r="F420" s="65" t="str">
        <f>IFERROR(VLOOKUP(E420,PROVEEDORES!$A$3:$G$42,2,0),"")</f>
        <v>FRUTAS Y VERDURAS</v>
      </c>
      <c r="G420" s="66" t="str">
        <f>IFERROR(VLOOKUP(E420,PROVEEDORES!$A$3:$G$42,4,0),"")</f>
        <v>caseritaencasa@gmail.com</v>
      </c>
      <c r="H420" s="10" t="str">
        <f>IFERROR(VLOOKUP(E420,PROVEEDORES!$A$3:$G$42,5,0),"")</f>
        <v>56952069703</v>
      </c>
      <c r="I420" s="11">
        <v>6650</v>
      </c>
      <c r="J420" s="64" t="s">
        <v>102</v>
      </c>
      <c r="K420" s="65" t="str">
        <f>IFERROR(VLOOKUP(J420,PROVEEDORES!$A$3:$G$42,2,0),"")</f>
        <v>FRUTAS Y VERDURAS</v>
      </c>
      <c r="L420" s="66" t="str">
        <f>IFERROR(VLOOKUP(J420,PROVEEDORES!$A$3:$G$42,4,0),"")</f>
        <v>gescobargalvez@gmail.com</v>
      </c>
      <c r="M420" s="10">
        <f>IFERROR(VLOOKUP(J420,PROVEEDORES!$A$3:$G$42,5,0),"")</f>
        <v>0</v>
      </c>
      <c r="N420" s="11">
        <v>9652</v>
      </c>
      <c r="O420" s="64" t="s">
        <v>74</v>
      </c>
      <c r="P420" s="65" t="str">
        <f>IFERROR(VLOOKUP(O420,PROVEEDORES!$A$3:$G$42,2,0),"")</f>
        <v>ABARROTES Y VERDURAS</v>
      </c>
      <c r="Q420" s="66" t="str">
        <f>IFERROR(VLOOKUP(O420,PROVEEDORES!$A$3:$G$42,4,0),"")</f>
        <v>santacatalina3@gmail.com</v>
      </c>
      <c r="R420" s="10" t="str">
        <f>IFERROR(VLOOKUP(O420,PROVEEDORES!$A$3:$G$42,5,0),"")</f>
        <v>56996996469</v>
      </c>
      <c r="S420" s="11">
        <v>10015</v>
      </c>
      <c r="T420" s="12">
        <f t="shared" si="20"/>
        <v>8772.3333333333339</v>
      </c>
      <c r="U420" s="13">
        <f t="shared" si="21"/>
        <v>9649.5666666666675</v>
      </c>
    </row>
    <row r="421" spans="1:21" ht="15" customHeight="1" x14ac:dyDescent="0.35">
      <c r="A421" s="14" t="s">
        <v>583</v>
      </c>
      <c r="B421" s="15" t="s">
        <v>623</v>
      </c>
      <c r="C421" s="16" t="s">
        <v>219</v>
      </c>
      <c r="D421" s="17">
        <v>3.7499999999999999E-2</v>
      </c>
      <c r="E421" s="67" t="s">
        <v>41</v>
      </c>
      <c r="F421" s="68" t="str">
        <f>IFERROR(VLOOKUP(E421,PROVEEDORES!$A$3:$G$42,2,0),"")</f>
        <v>FRUTAS Y VERDURAS</v>
      </c>
      <c r="G421" s="69" t="str">
        <f>IFERROR(VLOOKUP(E421,PROVEEDORES!$A$3:$G$42,4,0),"")</f>
        <v>caseritaencasa@gmail.com</v>
      </c>
      <c r="H421" s="18" t="str">
        <f>IFERROR(VLOOKUP(E421,PROVEEDORES!$A$3:$G$42,5,0),"")</f>
        <v>56952069703</v>
      </c>
      <c r="I421" s="19">
        <v>6150</v>
      </c>
      <c r="J421" s="67" t="s">
        <v>102</v>
      </c>
      <c r="K421" s="68" t="str">
        <f>IFERROR(VLOOKUP(J421,PROVEEDORES!$A$3:$G$42,2,0),"")</f>
        <v>FRUTAS Y VERDURAS</v>
      </c>
      <c r="L421" s="69" t="str">
        <f>IFERROR(VLOOKUP(J421,PROVEEDORES!$A$3:$G$42,4,0),"")</f>
        <v>gescobargalvez@gmail.com</v>
      </c>
      <c r="M421" s="18">
        <f>IFERROR(VLOOKUP(J421,PROVEEDORES!$A$3:$G$42,5,0),"")</f>
        <v>0</v>
      </c>
      <c r="N421" s="19">
        <v>6528</v>
      </c>
      <c r="O421" s="67" t="s">
        <v>74</v>
      </c>
      <c r="P421" s="68" t="str">
        <f>IFERROR(VLOOKUP(O421,PROVEEDORES!$A$3:$G$42,2,0),"")</f>
        <v>ABARROTES Y VERDURAS</v>
      </c>
      <c r="Q421" s="69" t="str">
        <f>IFERROR(VLOOKUP(O421,PROVEEDORES!$A$3:$G$42,4,0),"")</f>
        <v>santacatalina3@gmail.com</v>
      </c>
      <c r="R421" s="18" t="str">
        <f>IFERROR(VLOOKUP(O421,PROVEEDORES!$A$3:$G$42,5,0),"")</f>
        <v>56996996469</v>
      </c>
      <c r="S421" s="19">
        <v>8518</v>
      </c>
      <c r="T421" s="20">
        <f t="shared" si="20"/>
        <v>7065.333333333333</v>
      </c>
      <c r="U421" s="21">
        <f t="shared" si="21"/>
        <v>7771.8666666666668</v>
      </c>
    </row>
    <row r="422" spans="1:21" ht="15" customHeight="1" x14ac:dyDescent="0.35">
      <c r="A422" s="6" t="s">
        <v>583</v>
      </c>
      <c r="B422" s="7" t="s">
        <v>624</v>
      </c>
      <c r="C422" s="8" t="s">
        <v>219</v>
      </c>
      <c r="D422" s="9">
        <v>7.3499999999999996E-2</v>
      </c>
      <c r="E422" s="64" t="s">
        <v>41</v>
      </c>
      <c r="F422" s="65" t="str">
        <f>IFERROR(VLOOKUP(E422,PROVEEDORES!$A$3:$G$42,2,0),"")</f>
        <v>FRUTAS Y VERDURAS</v>
      </c>
      <c r="G422" s="66" t="str">
        <f>IFERROR(VLOOKUP(E422,PROVEEDORES!$A$3:$G$42,4,0),"")</f>
        <v>caseritaencasa@gmail.com</v>
      </c>
      <c r="H422" s="10" t="str">
        <f>IFERROR(VLOOKUP(E422,PROVEEDORES!$A$3:$G$42,5,0),"")</f>
        <v>56952069703</v>
      </c>
      <c r="I422" s="11">
        <v>6555</v>
      </c>
      <c r="J422" s="64" t="s">
        <v>102</v>
      </c>
      <c r="K422" s="65" t="str">
        <f>IFERROR(VLOOKUP(J422,PROVEEDORES!$A$3:$G$42,2,0),"")</f>
        <v>FRUTAS Y VERDURAS</v>
      </c>
      <c r="L422" s="66" t="str">
        <f>IFERROR(VLOOKUP(J422,PROVEEDORES!$A$3:$G$42,4,0),"")</f>
        <v>gescobargalvez@gmail.com</v>
      </c>
      <c r="M422" s="10">
        <f>IFERROR(VLOOKUP(J422,PROVEEDORES!$A$3:$G$42,5,0),"")</f>
        <v>0</v>
      </c>
      <c r="N422" s="11">
        <v>2543</v>
      </c>
      <c r="O422" s="64" t="s">
        <v>74</v>
      </c>
      <c r="P422" s="65" t="str">
        <f>IFERROR(VLOOKUP(O422,PROVEEDORES!$A$3:$G$42,2,0),"")</f>
        <v>ABARROTES Y VERDURAS</v>
      </c>
      <c r="Q422" s="66" t="str">
        <f>IFERROR(VLOOKUP(O422,PROVEEDORES!$A$3:$G$42,4,0),"")</f>
        <v>santacatalina3@gmail.com</v>
      </c>
      <c r="R422" s="10" t="str">
        <f>IFERROR(VLOOKUP(O422,PROVEEDORES!$A$3:$G$42,5,0),"")</f>
        <v>56996996469</v>
      </c>
      <c r="S422" s="11">
        <v>-208</v>
      </c>
      <c r="T422" s="12">
        <f t="shared" si="20"/>
        <v>2963.3333333333335</v>
      </c>
      <c r="U422" s="13">
        <f t="shared" si="21"/>
        <v>3259.666666666667</v>
      </c>
    </row>
    <row r="423" spans="1:21" ht="15" customHeight="1" x14ac:dyDescent="0.35">
      <c r="A423" s="14" t="s">
        <v>583</v>
      </c>
      <c r="B423" s="15" t="s">
        <v>625</v>
      </c>
      <c r="C423" s="16" t="s">
        <v>219</v>
      </c>
      <c r="D423" s="17">
        <v>2E-3</v>
      </c>
      <c r="E423" s="67" t="s">
        <v>41</v>
      </c>
      <c r="F423" s="68" t="str">
        <f>IFERROR(VLOOKUP(E423,PROVEEDORES!$A$3:$G$42,2,0),"")</f>
        <v>FRUTAS Y VERDURAS</v>
      </c>
      <c r="G423" s="69" t="str">
        <f>IFERROR(VLOOKUP(E423,PROVEEDORES!$A$3:$G$42,4,0),"")</f>
        <v>caseritaencasa@gmail.com</v>
      </c>
      <c r="H423" s="18" t="str">
        <f>IFERROR(VLOOKUP(E423,PROVEEDORES!$A$3:$G$42,5,0),"")</f>
        <v>56952069703</v>
      </c>
      <c r="I423" s="19">
        <v>4900</v>
      </c>
      <c r="J423" s="67" t="s">
        <v>102</v>
      </c>
      <c r="K423" s="68" t="str">
        <f>IFERROR(VLOOKUP(J423,PROVEEDORES!$A$3:$G$42,2,0),"")</f>
        <v>FRUTAS Y VERDURAS</v>
      </c>
      <c r="L423" s="69" t="str">
        <f>IFERROR(VLOOKUP(J423,PROVEEDORES!$A$3:$G$42,4,0),"")</f>
        <v>gescobargalvez@gmail.com</v>
      </c>
      <c r="M423" s="18">
        <f>IFERROR(VLOOKUP(J423,PROVEEDORES!$A$3:$G$42,5,0),"")</f>
        <v>0</v>
      </c>
      <c r="N423" s="19">
        <v>7223</v>
      </c>
      <c r="O423" s="67" t="s">
        <v>74</v>
      </c>
      <c r="P423" s="68" t="str">
        <f>IFERROR(VLOOKUP(O423,PROVEEDORES!$A$3:$G$42,2,0),"")</f>
        <v>ABARROTES Y VERDURAS</v>
      </c>
      <c r="Q423" s="69" t="str">
        <f>IFERROR(VLOOKUP(O423,PROVEEDORES!$A$3:$G$42,4,0),"")</f>
        <v>santacatalina3@gmail.com</v>
      </c>
      <c r="R423" s="18" t="str">
        <f>IFERROR(VLOOKUP(O423,PROVEEDORES!$A$3:$G$42,5,0),"")</f>
        <v>56996996469</v>
      </c>
      <c r="S423" s="19">
        <v>8296</v>
      </c>
      <c r="T423" s="20">
        <f t="shared" si="20"/>
        <v>6806.333333333333</v>
      </c>
      <c r="U423" s="21">
        <f t="shared" si="21"/>
        <v>7486.9666666666672</v>
      </c>
    </row>
    <row r="424" spans="1:21" ht="15" customHeight="1" x14ac:dyDescent="0.35">
      <c r="A424" s="6" t="s">
        <v>583</v>
      </c>
      <c r="B424" s="7" t="s">
        <v>626</v>
      </c>
      <c r="C424" s="8" t="s">
        <v>219</v>
      </c>
      <c r="D424" s="9">
        <v>0.02</v>
      </c>
      <c r="E424" s="64" t="s">
        <v>41</v>
      </c>
      <c r="F424" s="65" t="str">
        <f>IFERROR(VLOOKUP(E424,PROVEEDORES!$A$3:$G$42,2,0),"")</f>
        <v>FRUTAS Y VERDURAS</v>
      </c>
      <c r="G424" s="66" t="str">
        <f>IFERROR(VLOOKUP(E424,PROVEEDORES!$A$3:$G$42,4,0),"")</f>
        <v>caseritaencasa@gmail.com</v>
      </c>
      <c r="H424" s="10" t="str">
        <f>IFERROR(VLOOKUP(E424,PROVEEDORES!$A$3:$G$42,5,0),"")</f>
        <v>56952069703</v>
      </c>
      <c r="I424" s="11">
        <v>6555</v>
      </c>
      <c r="J424" s="64" t="s">
        <v>102</v>
      </c>
      <c r="K424" s="65" t="str">
        <f>IFERROR(VLOOKUP(J424,PROVEEDORES!$A$3:$G$42,2,0),"")</f>
        <v>FRUTAS Y VERDURAS</v>
      </c>
      <c r="L424" s="66" t="str">
        <f>IFERROR(VLOOKUP(J424,PROVEEDORES!$A$3:$G$42,4,0),"")</f>
        <v>gescobargalvez@gmail.com</v>
      </c>
      <c r="M424" s="10">
        <f>IFERROR(VLOOKUP(J424,PROVEEDORES!$A$3:$G$42,5,0),"")</f>
        <v>0</v>
      </c>
      <c r="N424" s="11">
        <v>6929</v>
      </c>
      <c r="O424" s="64" t="s">
        <v>74</v>
      </c>
      <c r="P424" s="65" t="str">
        <f>IFERROR(VLOOKUP(O424,PROVEEDORES!$A$3:$G$42,2,0),"")</f>
        <v>ABARROTES Y VERDURAS</v>
      </c>
      <c r="Q424" s="66" t="str">
        <f>IFERROR(VLOOKUP(O424,PROVEEDORES!$A$3:$G$42,4,0),"")</f>
        <v>santacatalina3@gmail.com</v>
      </c>
      <c r="R424" s="10" t="str">
        <f>IFERROR(VLOOKUP(O424,PROVEEDORES!$A$3:$G$42,5,0),"")</f>
        <v>56996996469</v>
      </c>
      <c r="S424" s="11">
        <v>7925</v>
      </c>
      <c r="T424" s="12">
        <f t="shared" si="20"/>
        <v>7136.333333333333</v>
      </c>
      <c r="U424" s="13">
        <f t="shared" si="21"/>
        <v>7849.9666666666672</v>
      </c>
    </row>
    <row r="425" spans="1:21" ht="15" customHeight="1" x14ac:dyDescent="0.35">
      <c r="A425" s="14" t="s">
        <v>583</v>
      </c>
      <c r="B425" s="15" t="s">
        <v>627</v>
      </c>
      <c r="C425" s="16" t="s">
        <v>219</v>
      </c>
      <c r="D425" s="17">
        <v>0.41625000000000001</v>
      </c>
      <c r="E425" s="67" t="s">
        <v>41</v>
      </c>
      <c r="F425" s="68" t="str">
        <f>IFERROR(VLOOKUP(E425,PROVEEDORES!$A$3:$G$42,2,0),"")</f>
        <v>FRUTAS Y VERDURAS</v>
      </c>
      <c r="G425" s="69" t="str">
        <f>IFERROR(VLOOKUP(E425,PROVEEDORES!$A$3:$G$42,4,0),"")</f>
        <v>caseritaencasa@gmail.com</v>
      </c>
      <c r="H425" s="18" t="str">
        <f>IFERROR(VLOOKUP(E425,PROVEEDORES!$A$3:$G$42,5,0),"")</f>
        <v>56952069703</v>
      </c>
      <c r="I425" s="19">
        <v>2730</v>
      </c>
      <c r="J425" s="67" t="s">
        <v>102</v>
      </c>
      <c r="K425" s="68" t="str">
        <f>IFERROR(VLOOKUP(J425,PROVEEDORES!$A$3:$G$42,2,0),"")</f>
        <v>FRUTAS Y VERDURAS</v>
      </c>
      <c r="L425" s="69" t="str">
        <f>IFERROR(VLOOKUP(J425,PROVEEDORES!$A$3:$G$42,4,0),"")</f>
        <v>gescobargalvez@gmail.com</v>
      </c>
      <c r="M425" s="18">
        <f>IFERROR(VLOOKUP(J425,PROVEEDORES!$A$3:$G$42,5,0),"")</f>
        <v>0</v>
      </c>
      <c r="N425" s="19">
        <v>3148</v>
      </c>
      <c r="O425" s="67" t="s">
        <v>74</v>
      </c>
      <c r="P425" s="68" t="str">
        <f>IFERROR(VLOOKUP(O425,PROVEEDORES!$A$3:$G$42,2,0),"")</f>
        <v>ABARROTES Y VERDURAS</v>
      </c>
      <c r="Q425" s="69" t="str">
        <f>IFERROR(VLOOKUP(O425,PROVEEDORES!$A$3:$G$42,4,0),"")</f>
        <v>santacatalina3@gmail.com</v>
      </c>
      <c r="R425" s="18" t="str">
        <f>IFERROR(VLOOKUP(O425,PROVEEDORES!$A$3:$G$42,5,0),"")</f>
        <v>56996996469</v>
      </c>
      <c r="S425" s="19">
        <v>628</v>
      </c>
      <c r="T425" s="20">
        <f t="shared" si="20"/>
        <v>2168.6666666666665</v>
      </c>
      <c r="U425" s="21">
        <f t="shared" si="21"/>
        <v>2385.5333333333333</v>
      </c>
    </row>
    <row r="426" spans="1:21" ht="15" customHeight="1" x14ac:dyDescent="0.35">
      <c r="A426" s="6" t="s">
        <v>583</v>
      </c>
      <c r="B426" s="7" t="s">
        <v>628</v>
      </c>
      <c r="C426" s="8" t="s">
        <v>219</v>
      </c>
      <c r="D426" s="9">
        <v>1E-3</v>
      </c>
      <c r="E426" s="64" t="s">
        <v>41</v>
      </c>
      <c r="F426" s="65" t="str">
        <f>IFERROR(VLOOKUP(E426,PROVEEDORES!$A$3:$G$42,2,0),"")</f>
        <v>FRUTAS Y VERDURAS</v>
      </c>
      <c r="G426" s="66" t="str">
        <f>IFERROR(VLOOKUP(E426,PROVEEDORES!$A$3:$G$42,4,0),"")</f>
        <v>caseritaencasa@gmail.com</v>
      </c>
      <c r="H426" s="10" t="str">
        <f>IFERROR(VLOOKUP(E426,PROVEEDORES!$A$3:$G$42,5,0),"")</f>
        <v>56952069703</v>
      </c>
      <c r="I426" s="11">
        <v>2941</v>
      </c>
      <c r="J426" s="64" t="s">
        <v>102</v>
      </c>
      <c r="K426" s="65" t="str">
        <f>IFERROR(VLOOKUP(J426,PROVEEDORES!$A$3:$G$42,2,0),"")</f>
        <v>FRUTAS Y VERDURAS</v>
      </c>
      <c r="L426" s="66" t="str">
        <f>IFERROR(VLOOKUP(J426,PROVEEDORES!$A$3:$G$42,4,0),"")</f>
        <v>gescobargalvez@gmail.com</v>
      </c>
      <c r="M426" s="10">
        <f>IFERROR(VLOOKUP(J426,PROVEEDORES!$A$3:$G$42,5,0),"")</f>
        <v>0</v>
      </c>
      <c r="N426" s="11">
        <v>4534</v>
      </c>
      <c r="O426" s="64" t="s">
        <v>74</v>
      </c>
      <c r="P426" s="65" t="str">
        <f>IFERROR(VLOOKUP(O426,PROVEEDORES!$A$3:$G$42,2,0),"")</f>
        <v>ABARROTES Y VERDURAS</v>
      </c>
      <c r="Q426" s="66" t="str">
        <f>IFERROR(VLOOKUP(O426,PROVEEDORES!$A$3:$G$42,4,0),"")</f>
        <v>santacatalina3@gmail.com</v>
      </c>
      <c r="R426" s="10" t="str">
        <f>IFERROR(VLOOKUP(O426,PROVEEDORES!$A$3:$G$42,5,0),"")</f>
        <v>56996996469</v>
      </c>
      <c r="S426" s="11">
        <v>6053</v>
      </c>
      <c r="T426" s="12">
        <f t="shared" si="20"/>
        <v>4509.333333333333</v>
      </c>
      <c r="U426" s="13">
        <f t="shared" si="21"/>
        <v>4960.2666666666664</v>
      </c>
    </row>
    <row r="427" spans="1:21" ht="15" customHeight="1" x14ac:dyDescent="0.35">
      <c r="A427" s="14" t="s">
        <v>583</v>
      </c>
      <c r="B427" s="15" t="s">
        <v>629</v>
      </c>
      <c r="C427" s="16" t="s">
        <v>239</v>
      </c>
      <c r="D427" s="17">
        <v>0.29375000000000001</v>
      </c>
      <c r="E427" s="67" t="s">
        <v>41</v>
      </c>
      <c r="F427" s="68" t="str">
        <f>IFERROR(VLOOKUP(E427,PROVEEDORES!$A$3:$G$42,2,0),"")</f>
        <v>FRUTAS Y VERDURAS</v>
      </c>
      <c r="G427" s="69" t="str">
        <f>IFERROR(VLOOKUP(E427,PROVEEDORES!$A$3:$G$42,4,0),"")</f>
        <v>caseritaencasa@gmail.com</v>
      </c>
      <c r="H427" s="18" t="str">
        <f>IFERROR(VLOOKUP(E427,PROVEEDORES!$A$3:$G$42,5,0),"")</f>
        <v>56952069703</v>
      </c>
      <c r="I427" s="19">
        <v>3652</v>
      </c>
      <c r="J427" s="67" t="s">
        <v>102</v>
      </c>
      <c r="K427" s="68" t="str">
        <f>IFERROR(VLOOKUP(J427,PROVEEDORES!$A$3:$G$42,2,0),"")</f>
        <v>FRUTAS Y VERDURAS</v>
      </c>
      <c r="L427" s="69" t="str">
        <f>IFERROR(VLOOKUP(J427,PROVEEDORES!$A$3:$G$42,4,0),"")</f>
        <v>gescobargalvez@gmail.com</v>
      </c>
      <c r="M427" s="18">
        <f>IFERROR(VLOOKUP(J427,PROVEEDORES!$A$3:$G$42,5,0),"")</f>
        <v>0</v>
      </c>
      <c r="N427" s="19">
        <v>2436</v>
      </c>
      <c r="O427" s="67" t="s">
        <v>74</v>
      </c>
      <c r="P427" s="68" t="str">
        <f>IFERROR(VLOOKUP(O427,PROVEEDORES!$A$3:$G$42,2,0),"")</f>
        <v>ABARROTES Y VERDURAS</v>
      </c>
      <c r="Q427" s="69" t="str">
        <f>IFERROR(VLOOKUP(O427,PROVEEDORES!$A$3:$G$42,4,0),"")</f>
        <v>santacatalina3@gmail.com</v>
      </c>
      <c r="R427" s="18" t="str">
        <f>IFERROR(VLOOKUP(O427,PROVEEDORES!$A$3:$G$42,5,0),"")</f>
        <v>56996996469</v>
      </c>
      <c r="S427" s="19">
        <v>1917</v>
      </c>
      <c r="T427" s="20">
        <f t="shared" si="20"/>
        <v>2668.3333333333335</v>
      </c>
      <c r="U427" s="21">
        <f t="shared" si="21"/>
        <v>2935.166666666667</v>
      </c>
    </row>
    <row r="428" spans="1:21" ht="15" customHeight="1" x14ac:dyDescent="0.35">
      <c r="A428" s="6" t="s">
        <v>583</v>
      </c>
      <c r="B428" s="7" t="s">
        <v>630</v>
      </c>
      <c r="C428" s="8" t="s">
        <v>219</v>
      </c>
      <c r="D428" s="9">
        <v>0.27300000000000002</v>
      </c>
      <c r="E428" s="64" t="s">
        <v>41</v>
      </c>
      <c r="F428" s="65" t="str">
        <f>IFERROR(VLOOKUP(E428,PROVEEDORES!$A$3:$G$42,2,0),"")</f>
        <v>FRUTAS Y VERDURAS</v>
      </c>
      <c r="G428" s="66" t="str">
        <f>IFERROR(VLOOKUP(E428,PROVEEDORES!$A$3:$G$42,4,0),"")</f>
        <v>caseritaencasa@gmail.com</v>
      </c>
      <c r="H428" s="10" t="str">
        <f>IFERROR(VLOOKUP(E428,PROVEEDORES!$A$3:$G$42,5,0),"")</f>
        <v>56952069703</v>
      </c>
      <c r="I428" s="11">
        <v>5899</v>
      </c>
      <c r="J428" s="64" t="s">
        <v>102</v>
      </c>
      <c r="K428" s="65" t="str">
        <f>IFERROR(VLOOKUP(J428,PROVEEDORES!$A$3:$G$42,2,0),"")</f>
        <v>FRUTAS Y VERDURAS</v>
      </c>
      <c r="L428" s="66" t="str">
        <f>IFERROR(VLOOKUP(J428,PROVEEDORES!$A$3:$G$42,4,0),"")</f>
        <v>gescobargalvez@gmail.com</v>
      </c>
      <c r="M428" s="10">
        <f>IFERROR(VLOOKUP(J428,PROVEEDORES!$A$3:$G$42,5,0),"")</f>
        <v>0</v>
      </c>
      <c r="N428" s="11">
        <v>3059</v>
      </c>
      <c r="O428" s="64" t="s">
        <v>74</v>
      </c>
      <c r="P428" s="65" t="str">
        <f>IFERROR(VLOOKUP(O428,PROVEEDORES!$A$3:$G$42,2,0),"")</f>
        <v>ABARROTES Y VERDURAS</v>
      </c>
      <c r="Q428" s="66" t="str">
        <f>IFERROR(VLOOKUP(O428,PROVEEDORES!$A$3:$G$42,4,0),"")</f>
        <v>santacatalina3@gmail.com</v>
      </c>
      <c r="R428" s="10" t="str">
        <f>IFERROR(VLOOKUP(O428,PROVEEDORES!$A$3:$G$42,5,0),"")</f>
        <v>56996996469</v>
      </c>
      <c r="S428" s="11">
        <v>4316</v>
      </c>
      <c r="T428" s="12">
        <f t="shared" si="20"/>
        <v>4424.666666666667</v>
      </c>
      <c r="U428" s="13">
        <f t="shared" si="21"/>
        <v>4867.1333333333341</v>
      </c>
    </row>
    <row r="429" spans="1:21" ht="15" customHeight="1" x14ac:dyDescent="0.35">
      <c r="A429" s="14" t="s">
        <v>583</v>
      </c>
      <c r="B429" s="15" t="s">
        <v>631</v>
      </c>
      <c r="C429" s="16" t="s">
        <v>219</v>
      </c>
      <c r="D429" s="17">
        <v>0.75</v>
      </c>
      <c r="E429" s="67" t="s">
        <v>41</v>
      </c>
      <c r="F429" s="68" t="str">
        <f>IFERROR(VLOOKUP(E429,PROVEEDORES!$A$3:$G$42,2,0),"")</f>
        <v>FRUTAS Y VERDURAS</v>
      </c>
      <c r="G429" s="69" t="str">
        <f>IFERROR(VLOOKUP(E429,PROVEEDORES!$A$3:$G$42,4,0),"")</f>
        <v>caseritaencasa@gmail.com</v>
      </c>
      <c r="H429" s="18" t="str">
        <f>IFERROR(VLOOKUP(E429,PROVEEDORES!$A$3:$G$42,5,0),"")</f>
        <v>56952069703</v>
      </c>
      <c r="I429" s="19">
        <v>7300</v>
      </c>
      <c r="J429" s="67" t="s">
        <v>102</v>
      </c>
      <c r="K429" s="68" t="str">
        <f>IFERROR(VLOOKUP(J429,PROVEEDORES!$A$3:$G$42,2,0),"")</f>
        <v>FRUTAS Y VERDURAS</v>
      </c>
      <c r="L429" s="69" t="str">
        <f>IFERROR(VLOOKUP(J429,PROVEEDORES!$A$3:$G$42,4,0),"")</f>
        <v>gescobargalvez@gmail.com</v>
      </c>
      <c r="M429" s="18">
        <f>IFERROR(VLOOKUP(J429,PROVEEDORES!$A$3:$G$42,5,0),"")</f>
        <v>0</v>
      </c>
      <c r="N429" s="19">
        <v>9512</v>
      </c>
      <c r="O429" s="67" t="s">
        <v>74</v>
      </c>
      <c r="P429" s="68" t="str">
        <f>IFERROR(VLOOKUP(O429,PROVEEDORES!$A$3:$G$42,2,0),"")</f>
        <v>ABARROTES Y VERDURAS</v>
      </c>
      <c r="Q429" s="69" t="str">
        <f>IFERROR(VLOOKUP(O429,PROVEEDORES!$A$3:$G$42,4,0),"")</f>
        <v>santacatalina3@gmail.com</v>
      </c>
      <c r="R429" s="18" t="str">
        <f>IFERROR(VLOOKUP(O429,PROVEEDORES!$A$3:$G$42,5,0),"")</f>
        <v>56996996469</v>
      </c>
      <c r="S429" s="19">
        <v>4907</v>
      </c>
      <c r="T429" s="20">
        <f t="shared" si="20"/>
        <v>7239.666666666667</v>
      </c>
      <c r="U429" s="21">
        <f t="shared" si="21"/>
        <v>7963.6333333333341</v>
      </c>
    </row>
    <row r="430" spans="1:21" ht="15" customHeight="1" x14ac:dyDescent="0.35">
      <c r="A430" s="6" t="s">
        <v>583</v>
      </c>
      <c r="B430" s="7" t="s">
        <v>632</v>
      </c>
      <c r="C430" s="8" t="s">
        <v>219</v>
      </c>
      <c r="D430" s="9">
        <v>0.13400000000000001</v>
      </c>
      <c r="E430" s="64" t="s">
        <v>41</v>
      </c>
      <c r="F430" s="65" t="str">
        <f>IFERROR(VLOOKUP(E430,PROVEEDORES!$A$3:$G$42,2,0),"")</f>
        <v>FRUTAS Y VERDURAS</v>
      </c>
      <c r="G430" s="66" t="str">
        <f>IFERROR(VLOOKUP(E430,PROVEEDORES!$A$3:$G$42,4,0),"")</f>
        <v>caseritaencasa@gmail.com</v>
      </c>
      <c r="H430" s="10" t="str">
        <f>IFERROR(VLOOKUP(E430,PROVEEDORES!$A$3:$G$42,5,0),"")</f>
        <v>56952069703</v>
      </c>
      <c r="I430" s="11">
        <v>4668</v>
      </c>
      <c r="J430" s="64" t="s">
        <v>102</v>
      </c>
      <c r="K430" s="65" t="str">
        <f>IFERROR(VLOOKUP(J430,PROVEEDORES!$A$3:$G$42,2,0),"")</f>
        <v>FRUTAS Y VERDURAS</v>
      </c>
      <c r="L430" s="66" t="str">
        <f>IFERROR(VLOOKUP(J430,PROVEEDORES!$A$3:$G$42,4,0),"")</f>
        <v>gescobargalvez@gmail.com</v>
      </c>
      <c r="M430" s="10">
        <f>IFERROR(VLOOKUP(J430,PROVEEDORES!$A$3:$G$42,5,0),"")</f>
        <v>0</v>
      </c>
      <c r="N430" s="11">
        <v>5389</v>
      </c>
      <c r="O430" s="64" t="s">
        <v>74</v>
      </c>
      <c r="P430" s="65" t="str">
        <f>IFERROR(VLOOKUP(O430,PROVEEDORES!$A$3:$G$42,2,0),"")</f>
        <v>ABARROTES Y VERDURAS</v>
      </c>
      <c r="Q430" s="66" t="str">
        <f>IFERROR(VLOOKUP(O430,PROVEEDORES!$A$3:$G$42,4,0),"")</f>
        <v>santacatalina3@gmail.com</v>
      </c>
      <c r="R430" s="10" t="str">
        <f>IFERROR(VLOOKUP(O430,PROVEEDORES!$A$3:$G$42,5,0),"")</f>
        <v>56996996469</v>
      </c>
      <c r="S430" s="11">
        <v>4083</v>
      </c>
      <c r="T430" s="12">
        <f t="shared" si="20"/>
        <v>4713.333333333333</v>
      </c>
      <c r="U430" s="13">
        <f t="shared" si="21"/>
        <v>5184.666666666667</v>
      </c>
    </row>
    <row r="431" spans="1:21" ht="15" customHeight="1" x14ac:dyDescent="0.35">
      <c r="A431" s="14" t="s">
        <v>583</v>
      </c>
      <c r="B431" s="15" t="s">
        <v>633</v>
      </c>
      <c r="C431" s="16" t="s">
        <v>219</v>
      </c>
      <c r="D431" s="17">
        <v>0.60957499999999998</v>
      </c>
      <c r="E431" s="67" t="s">
        <v>41</v>
      </c>
      <c r="F431" s="68" t="str">
        <f>IFERROR(VLOOKUP(E431,PROVEEDORES!$A$3:$G$42,2,0),"")</f>
        <v>FRUTAS Y VERDURAS</v>
      </c>
      <c r="G431" s="69" t="str">
        <f>IFERROR(VLOOKUP(E431,PROVEEDORES!$A$3:$G$42,4,0),"")</f>
        <v>caseritaencasa@gmail.com</v>
      </c>
      <c r="H431" s="18" t="str">
        <f>IFERROR(VLOOKUP(E431,PROVEEDORES!$A$3:$G$42,5,0),"")</f>
        <v>56952069703</v>
      </c>
      <c r="I431" s="19">
        <v>3277</v>
      </c>
      <c r="J431" s="67" t="s">
        <v>102</v>
      </c>
      <c r="K431" s="68" t="str">
        <f>IFERROR(VLOOKUP(J431,PROVEEDORES!$A$3:$G$42,2,0),"")</f>
        <v>FRUTAS Y VERDURAS</v>
      </c>
      <c r="L431" s="69" t="str">
        <f>IFERROR(VLOOKUP(J431,PROVEEDORES!$A$3:$G$42,4,0),"")</f>
        <v>gescobargalvez@gmail.com</v>
      </c>
      <c r="M431" s="18">
        <f>IFERROR(VLOOKUP(J431,PROVEEDORES!$A$3:$G$42,5,0),"")</f>
        <v>0</v>
      </c>
      <c r="N431" s="19">
        <v>1847</v>
      </c>
      <c r="O431" s="67" t="s">
        <v>74</v>
      </c>
      <c r="P431" s="68" t="str">
        <f>IFERROR(VLOOKUP(O431,PROVEEDORES!$A$3:$G$42,2,0),"")</f>
        <v>ABARROTES Y VERDURAS</v>
      </c>
      <c r="Q431" s="69" t="str">
        <f>IFERROR(VLOOKUP(O431,PROVEEDORES!$A$3:$G$42,4,0),"")</f>
        <v>santacatalina3@gmail.com</v>
      </c>
      <c r="R431" s="18" t="str">
        <f>IFERROR(VLOOKUP(O431,PROVEEDORES!$A$3:$G$42,5,0),"")</f>
        <v>56996996469</v>
      </c>
      <c r="S431" s="19">
        <v>3551</v>
      </c>
      <c r="T431" s="20">
        <f t="shared" si="20"/>
        <v>2891.6666666666665</v>
      </c>
      <c r="U431" s="21">
        <f t="shared" si="21"/>
        <v>3180.8333333333335</v>
      </c>
    </row>
    <row r="432" spans="1:21" ht="15" customHeight="1" x14ac:dyDescent="0.35">
      <c r="A432" s="6" t="s">
        <v>583</v>
      </c>
      <c r="B432" s="7" t="s">
        <v>634</v>
      </c>
      <c r="C432" s="8" t="s">
        <v>219</v>
      </c>
      <c r="D432" s="9">
        <v>7.4874999999999997E-2</v>
      </c>
      <c r="E432" s="64" t="s">
        <v>41</v>
      </c>
      <c r="F432" s="65" t="str">
        <f>IFERROR(VLOOKUP(E432,PROVEEDORES!$A$3:$G$42,2,0),"")</f>
        <v>FRUTAS Y VERDURAS</v>
      </c>
      <c r="G432" s="66" t="str">
        <f>IFERROR(VLOOKUP(E432,PROVEEDORES!$A$3:$G$42,4,0),"")</f>
        <v>caseritaencasa@gmail.com</v>
      </c>
      <c r="H432" s="10" t="str">
        <f>IFERROR(VLOOKUP(E432,PROVEEDORES!$A$3:$G$42,5,0),"")</f>
        <v>56952069703</v>
      </c>
      <c r="I432" s="11">
        <v>2032</v>
      </c>
      <c r="J432" s="64" t="s">
        <v>102</v>
      </c>
      <c r="K432" s="65" t="str">
        <f>IFERROR(VLOOKUP(J432,PROVEEDORES!$A$3:$G$42,2,0),"")</f>
        <v>FRUTAS Y VERDURAS</v>
      </c>
      <c r="L432" s="66" t="str">
        <f>IFERROR(VLOOKUP(J432,PROVEEDORES!$A$3:$G$42,4,0),"")</f>
        <v>gescobargalvez@gmail.com</v>
      </c>
      <c r="M432" s="10">
        <f>IFERROR(VLOOKUP(J432,PROVEEDORES!$A$3:$G$42,5,0),"")</f>
        <v>0</v>
      </c>
      <c r="N432" s="11">
        <v>2922</v>
      </c>
      <c r="O432" s="64" t="s">
        <v>74</v>
      </c>
      <c r="P432" s="65" t="str">
        <f>IFERROR(VLOOKUP(O432,PROVEEDORES!$A$3:$G$42,2,0),"")</f>
        <v>ABARROTES Y VERDURAS</v>
      </c>
      <c r="Q432" s="66" t="str">
        <f>IFERROR(VLOOKUP(O432,PROVEEDORES!$A$3:$G$42,4,0),"")</f>
        <v>santacatalina3@gmail.com</v>
      </c>
      <c r="R432" s="10" t="str">
        <f>IFERROR(VLOOKUP(O432,PROVEEDORES!$A$3:$G$42,5,0),"")</f>
        <v>56996996469</v>
      </c>
      <c r="S432" s="11">
        <v>803</v>
      </c>
      <c r="T432" s="12">
        <f t="shared" si="20"/>
        <v>1919</v>
      </c>
      <c r="U432" s="13">
        <f t="shared" si="21"/>
        <v>2110.9</v>
      </c>
    </row>
    <row r="433" spans="1:21" ht="15" customHeight="1" x14ac:dyDescent="0.35">
      <c r="A433" s="14" t="s">
        <v>583</v>
      </c>
      <c r="B433" s="15" t="s">
        <v>635</v>
      </c>
      <c r="C433" s="16" t="s">
        <v>219</v>
      </c>
      <c r="D433" s="17">
        <v>2.5000000000000001E-3</v>
      </c>
      <c r="E433" s="67" t="s">
        <v>41</v>
      </c>
      <c r="F433" s="68" t="str">
        <f>IFERROR(VLOOKUP(E433,PROVEEDORES!$A$3:$G$42,2,0),"")</f>
        <v>FRUTAS Y VERDURAS</v>
      </c>
      <c r="G433" s="69" t="str">
        <f>IFERROR(VLOOKUP(E433,PROVEEDORES!$A$3:$G$42,4,0),"")</f>
        <v>caseritaencasa@gmail.com</v>
      </c>
      <c r="H433" s="18" t="str">
        <f>IFERROR(VLOOKUP(E433,PROVEEDORES!$A$3:$G$42,5,0),"")</f>
        <v>56952069703</v>
      </c>
      <c r="I433" s="19">
        <v>4900</v>
      </c>
      <c r="J433" s="67" t="s">
        <v>102</v>
      </c>
      <c r="K433" s="68" t="str">
        <f>IFERROR(VLOOKUP(J433,PROVEEDORES!$A$3:$G$42,2,0),"")</f>
        <v>FRUTAS Y VERDURAS</v>
      </c>
      <c r="L433" s="69" t="str">
        <f>IFERROR(VLOOKUP(J433,PROVEEDORES!$A$3:$G$42,4,0),"")</f>
        <v>gescobargalvez@gmail.com</v>
      </c>
      <c r="M433" s="18">
        <f>IFERROR(VLOOKUP(J433,PROVEEDORES!$A$3:$G$42,5,0),"")</f>
        <v>0</v>
      </c>
      <c r="N433" s="19">
        <v>5003</v>
      </c>
      <c r="O433" s="67" t="s">
        <v>74</v>
      </c>
      <c r="P433" s="68" t="str">
        <f>IFERROR(VLOOKUP(O433,PROVEEDORES!$A$3:$G$42,2,0),"")</f>
        <v>ABARROTES Y VERDURAS</v>
      </c>
      <c r="Q433" s="69" t="str">
        <f>IFERROR(VLOOKUP(O433,PROVEEDORES!$A$3:$G$42,4,0),"")</f>
        <v>santacatalina3@gmail.com</v>
      </c>
      <c r="R433" s="18" t="str">
        <f>IFERROR(VLOOKUP(O433,PROVEEDORES!$A$3:$G$42,5,0),"")</f>
        <v>56996996469</v>
      </c>
      <c r="S433" s="19">
        <v>3682</v>
      </c>
      <c r="T433" s="20">
        <f t="shared" si="20"/>
        <v>4528.333333333333</v>
      </c>
      <c r="U433" s="21">
        <f t="shared" si="21"/>
        <v>4981.166666666667</v>
      </c>
    </row>
    <row r="434" spans="1:21" ht="15" customHeight="1" x14ac:dyDescent="0.35">
      <c r="A434" s="6" t="s">
        <v>583</v>
      </c>
      <c r="B434" s="7" t="s">
        <v>636</v>
      </c>
      <c r="C434" s="8" t="s">
        <v>219</v>
      </c>
      <c r="D434" s="9">
        <v>3.0000000000000001E-3</v>
      </c>
      <c r="E434" s="64" t="s">
        <v>41</v>
      </c>
      <c r="F434" s="65" t="str">
        <f>IFERROR(VLOOKUP(E434,PROVEEDORES!$A$3:$G$42,2,0),"")</f>
        <v>FRUTAS Y VERDURAS</v>
      </c>
      <c r="G434" s="66" t="str">
        <f>IFERROR(VLOOKUP(E434,PROVEEDORES!$A$3:$G$42,4,0),"")</f>
        <v>caseritaencasa@gmail.com</v>
      </c>
      <c r="H434" s="10" t="str">
        <f>IFERROR(VLOOKUP(E434,PROVEEDORES!$A$3:$G$42,5,0),"")</f>
        <v>56952069703</v>
      </c>
      <c r="I434" s="11">
        <v>3500</v>
      </c>
      <c r="J434" s="64" t="s">
        <v>102</v>
      </c>
      <c r="K434" s="65" t="str">
        <f>IFERROR(VLOOKUP(J434,PROVEEDORES!$A$3:$G$42,2,0),"")</f>
        <v>FRUTAS Y VERDURAS</v>
      </c>
      <c r="L434" s="66" t="str">
        <f>IFERROR(VLOOKUP(J434,PROVEEDORES!$A$3:$G$42,4,0),"")</f>
        <v>gescobargalvez@gmail.com</v>
      </c>
      <c r="M434" s="10">
        <f>IFERROR(VLOOKUP(J434,PROVEEDORES!$A$3:$G$42,5,0),"")</f>
        <v>0</v>
      </c>
      <c r="N434" s="11">
        <v>2886</v>
      </c>
      <c r="O434" s="64" t="s">
        <v>74</v>
      </c>
      <c r="P434" s="65" t="str">
        <f>IFERROR(VLOOKUP(O434,PROVEEDORES!$A$3:$G$42,2,0),"")</f>
        <v>ABARROTES Y VERDURAS</v>
      </c>
      <c r="Q434" s="66" t="str">
        <f>IFERROR(VLOOKUP(O434,PROVEEDORES!$A$3:$G$42,4,0),"")</f>
        <v>santacatalina3@gmail.com</v>
      </c>
      <c r="R434" s="10" t="str">
        <f>IFERROR(VLOOKUP(O434,PROVEEDORES!$A$3:$G$42,5,0),"")</f>
        <v>56996996469</v>
      </c>
      <c r="S434" s="11">
        <v>4447</v>
      </c>
      <c r="T434" s="12">
        <f t="shared" si="20"/>
        <v>3611</v>
      </c>
      <c r="U434" s="13">
        <f t="shared" si="21"/>
        <v>3972.1000000000004</v>
      </c>
    </row>
    <row r="435" spans="1:21" ht="15" customHeight="1" x14ac:dyDescent="0.35">
      <c r="A435" s="14" t="s">
        <v>583</v>
      </c>
      <c r="B435" s="15" t="s">
        <v>637</v>
      </c>
      <c r="C435" s="16" t="s">
        <v>219</v>
      </c>
      <c r="D435" s="17">
        <v>0.171625</v>
      </c>
      <c r="E435" s="67" t="s">
        <v>41</v>
      </c>
      <c r="F435" s="68" t="str">
        <f>IFERROR(VLOOKUP(E435,PROVEEDORES!$A$3:$G$42,2,0),"")</f>
        <v>FRUTAS Y VERDURAS</v>
      </c>
      <c r="G435" s="69" t="str">
        <f>IFERROR(VLOOKUP(E435,PROVEEDORES!$A$3:$G$42,4,0),"")</f>
        <v>caseritaencasa@gmail.com</v>
      </c>
      <c r="H435" s="18" t="str">
        <f>IFERROR(VLOOKUP(E435,PROVEEDORES!$A$3:$G$42,5,0),"")</f>
        <v>56952069703</v>
      </c>
      <c r="I435" s="19">
        <v>3440</v>
      </c>
      <c r="J435" s="67" t="s">
        <v>102</v>
      </c>
      <c r="K435" s="68" t="str">
        <f>IFERROR(VLOOKUP(J435,PROVEEDORES!$A$3:$G$42,2,0),"")</f>
        <v>FRUTAS Y VERDURAS</v>
      </c>
      <c r="L435" s="69" t="str">
        <f>IFERROR(VLOOKUP(J435,PROVEEDORES!$A$3:$G$42,4,0),"")</f>
        <v>gescobargalvez@gmail.com</v>
      </c>
      <c r="M435" s="18">
        <f>IFERROR(VLOOKUP(J435,PROVEEDORES!$A$3:$G$42,5,0),"")</f>
        <v>0</v>
      </c>
      <c r="N435" s="19">
        <v>4936</v>
      </c>
      <c r="O435" s="67" t="s">
        <v>74</v>
      </c>
      <c r="P435" s="68" t="str">
        <f>IFERROR(VLOOKUP(O435,PROVEEDORES!$A$3:$G$42,2,0),"")</f>
        <v>ABARROTES Y VERDURAS</v>
      </c>
      <c r="Q435" s="69" t="str">
        <f>IFERROR(VLOOKUP(O435,PROVEEDORES!$A$3:$G$42,4,0),"")</f>
        <v>santacatalina3@gmail.com</v>
      </c>
      <c r="R435" s="18" t="str">
        <f>IFERROR(VLOOKUP(O435,PROVEEDORES!$A$3:$G$42,5,0),"")</f>
        <v>56996996469</v>
      </c>
      <c r="S435" s="19">
        <v>2925</v>
      </c>
      <c r="T435" s="20">
        <f t="shared" si="20"/>
        <v>3767</v>
      </c>
      <c r="U435" s="21">
        <f t="shared" si="21"/>
        <v>4143.7000000000007</v>
      </c>
    </row>
    <row r="436" spans="1:21" ht="15" customHeight="1" x14ac:dyDescent="0.35">
      <c r="A436" s="6" t="s">
        <v>583</v>
      </c>
      <c r="B436" s="7" t="s">
        <v>638</v>
      </c>
      <c r="C436" s="8" t="s">
        <v>219</v>
      </c>
      <c r="D436" s="9">
        <v>0.13500000000000001</v>
      </c>
      <c r="E436" s="64" t="s">
        <v>41</v>
      </c>
      <c r="F436" s="65" t="str">
        <f>IFERROR(VLOOKUP(E436,PROVEEDORES!$A$3:$G$42,2,0),"")</f>
        <v>FRUTAS Y VERDURAS</v>
      </c>
      <c r="G436" s="66" t="str">
        <f>IFERROR(VLOOKUP(E436,PROVEEDORES!$A$3:$G$42,4,0),"")</f>
        <v>caseritaencasa@gmail.com</v>
      </c>
      <c r="H436" s="10" t="str">
        <f>IFERROR(VLOOKUP(E436,PROVEEDORES!$A$3:$G$42,5,0),"")</f>
        <v>56952069703</v>
      </c>
      <c r="I436" s="11">
        <v>2800</v>
      </c>
      <c r="J436" s="64" t="s">
        <v>102</v>
      </c>
      <c r="K436" s="65" t="str">
        <f>IFERROR(VLOOKUP(J436,PROVEEDORES!$A$3:$G$42,2,0),"")</f>
        <v>FRUTAS Y VERDURAS</v>
      </c>
      <c r="L436" s="66" t="str">
        <f>IFERROR(VLOOKUP(J436,PROVEEDORES!$A$3:$G$42,4,0),"")</f>
        <v>gescobargalvez@gmail.com</v>
      </c>
      <c r="M436" s="10">
        <f>IFERROR(VLOOKUP(J436,PROVEEDORES!$A$3:$G$42,5,0),"")</f>
        <v>0</v>
      </c>
      <c r="N436" s="11">
        <v>2296</v>
      </c>
      <c r="O436" s="64" t="s">
        <v>74</v>
      </c>
      <c r="P436" s="65" t="str">
        <f>IFERROR(VLOOKUP(O436,PROVEEDORES!$A$3:$G$42,2,0),"")</f>
        <v>ABARROTES Y VERDURAS</v>
      </c>
      <c r="Q436" s="66" t="str">
        <f>IFERROR(VLOOKUP(O436,PROVEEDORES!$A$3:$G$42,4,0),"")</f>
        <v>santacatalina3@gmail.com</v>
      </c>
      <c r="R436" s="10" t="str">
        <f>IFERROR(VLOOKUP(O436,PROVEEDORES!$A$3:$G$42,5,0),"")</f>
        <v>56996996469</v>
      </c>
      <c r="S436" s="11">
        <v>4857</v>
      </c>
      <c r="T436" s="12">
        <f t="shared" si="20"/>
        <v>3317.6666666666665</v>
      </c>
      <c r="U436" s="13">
        <f t="shared" si="21"/>
        <v>3649.4333333333334</v>
      </c>
    </row>
    <row r="437" spans="1:21" ht="15" customHeight="1" x14ac:dyDescent="0.35">
      <c r="A437" s="14" t="s">
        <v>583</v>
      </c>
      <c r="B437" s="15" t="s">
        <v>639</v>
      </c>
      <c r="C437" s="16" t="s">
        <v>239</v>
      </c>
      <c r="D437" s="17">
        <v>6.2500000000000003E-3</v>
      </c>
      <c r="E437" s="67" t="s">
        <v>41</v>
      </c>
      <c r="F437" s="68" t="str">
        <f>IFERROR(VLOOKUP(E437,PROVEEDORES!$A$3:$G$42,2,0),"")</f>
        <v>FRUTAS Y VERDURAS</v>
      </c>
      <c r="G437" s="69" t="str">
        <f>IFERROR(VLOOKUP(E437,PROVEEDORES!$A$3:$G$42,4,0),"")</f>
        <v>caseritaencasa@gmail.com</v>
      </c>
      <c r="H437" s="18" t="str">
        <f>IFERROR(VLOOKUP(E437,PROVEEDORES!$A$3:$G$42,5,0),"")</f>
        <v>56952069703</v>
      </c>
      <c r="I437" s="19">
        <v>1200</v>
      </c>
      <c r="J437" s="67" t="s">
        <v>102</v>
      </c>
      <c r="K437" s="68" t="str">
        <f>IFERROR(VLOOKUP(J437,PROVEEDORES!$A$3:$G$42,2,0),"")</f>
        <v>FRUTAS Y VERDURAS</v>
      </c>
      <c r="L437" s="69" t="str">
        <f>IFERROR(VLOOKUP(J437,PROVEEDORES!$A$3:$G$42,4,0),"")</f>
        <v>gescobargalvez@gmail.com</v>
      </c>
      <c r="M437" s="18">
        <f>IFERROR(VLOOKUP(J437,PROVEEDORES!$A$3:$G$42,5,0),"")</f>
        <v>0</v>
      </c>
      <c r="N437" s="19">
        <v>622</v>
      </c>
      <c r="O437" s="67" t="s">
        <v>74</v>
      </c>
      <c r="P437" s="68" t="str">
        <f>IFERROR(VLOOKUP(O437,PROVEEDORES!$A$3:$G$42,2,0),"")</f>
        <v>ABARROTES Y VERDURAS</v>
      </c>
      <c r="Q437" s="69" t="str">
        <f>IFERROR(VLOOKUP(O437,PROVEEDORES!$A$3:$G$42,4,0),"")</f>
        <v>santacatalina3@gmail.com</v>
      </c>
      <c r="R437" s="18" t="str">
        <f>IFERROR(VLOOKUP(O437,PROVEEDORES!$A$3:$G$42,5,0),"")</f>
        <v>56996996469</v>
      </c>
      <c r="S437" s="19">
        <v>223</v>
      </c>
      <c r="T437" s="20">
        <f t="shared" si="20"/>
        <v>681.66666666666663</v>
      </c>
      <c r="U437" s="21">
        <f t="shared" si="21"/>
        <v>749.83333333333337</v>
      </c>
    </row>
    <row r="438" spans="1:21" ht="15" customHeight="1" x14ac:dyDescent="0.35">
      <c r="A438" s="6" t="s">
        <v>583</v>
      </c>
      <c r="B438" s="7" t="s">
        <v>640</v>
      </c>
      <c r="C438" s="8" t="s">
        <v>239</v>
      </c>
      <c r="D438" s="9">
        <v>0.63749999999999996</v>
      </c>
      <c r="E438" s="64" t="s">
        <v>41</v>
      </c>
      <c r="F438" s="65" t="str">
        <f>IFERROR(VLOOKUP(E438,PROVEEDORES!$A$3:$G$42,2,0),"")</f>
        <v>FRUTAS Y VERDURAS</v>
      </c>
      <c r="G438" s="66" t="str">
        <f>IFERROR(VLOOKUP(E438,PROVEEDORES!$A$3:$G$42,4,0),"")</f>
        <v>caseritaencasa@gmail.com</v>
      </c>
      <c r="H438" s="10" t="str">
        <f>IFERROR(VLOOKUP(E438,PROVEEDORES!$A$3:$G$42,5,0),"")</f>
        <v>56952069703</v>
      </c>
      <c r="I438" s="11">
        <v>765</v>
      </c>
      <c r="J438" s="64" t="s">
        <v>102</v>
      </c>
      <c r="K438" s="65" t="str">
        <f>IFERROR(VLOOKUP(J438,PROVEEDORES!$A$3:$G$42,2,0),"")</f>
        <v>FRUTAS Y VERDURAS</v>
      </c>
      <c r="L438" s="66" t="str">
        <f>IFERROR(VLOOKUP(J438,PROVEEDORES!$A$3:$G$42,4,0),"")</f>
        <v>gescobargalvez@gmail.com</v>
      </c>
      <c r="M438" s="10">
        <f>IFERROR(VLOOKUP(J438,PROVEEDORES!$A$3:$G$42,5,0),"")</f>
        <v>0</v>
      </c>
      <c r="N438" s="11">
        <v>327</v>
      </c>
      <c r="O438" s="64" t="s">
        <v>74</v>
      </c>
      <c r="P438" s="65" t="str">
        <f>IFERROR(VLOOKUP(O438,PROVEEDORES!$A$3:$G$42,2,0),"")</f>
        <v>ABARROTES Y VERDURAS</v>
      </c>
      <c r="Q438" s="66" t="str">
        <f>IFERROR(VLOOKUP(O438,PROVEEDORES!$A$3:$G$42,4,0),"")</f>
        <v>santacatalina3@gmail.com</v>
      </c>
      <c r="R438" s="10" t="str">
        <f>IFERROR(VLOOKUP(O438,PROVEEDORES!$A$3:$G$42,5,0),"")</f>
        <v>56996996469</v>
      </c>
      <c r="S438" s="11">
        <v>-51</v>
      </c>
      <c r="T438" s="12">
        <f t="shared" si="20"/>
        <v>347</v>
      </c>
      <c r="U438" s="13">
        <f t="shared" si="21"/>
        <v>381.70000000000005</v>
      </c>
    </row>
    <row r="439" spans="1:21" ht="15" customHeight="1" x14ac:dyDescent="0.35">
      <c r="A439" s="14" t="s">
        <v>583</v>
      </c>
      <c r="B439" s="15" t="s">
        <v>641</v>
      </c>
      <c r="C439" s="16" t="s">
        <v>239</v>
      </c>
      <c r="D439" s="17">
        <v>0.42499999999999999</v>
      </c>
      <c r="E439" s="67" t="s">
        <v>41</v>
      </c>
      <c r="F439" s="68" t="str">
        <f>IFERROR(VLOOKUP(E439,PROVEEDORES!$A$3:$G$42,2,0),"")</f>
        <v>FRUTAS Y VERDURAS</v>
      </c>
      <c r="G439" s="69" t="str">
        <f>IFERROR(VLOOKUP(E439,PROVEEDORES!$A$3:$G$42,4,0),"")</f>
        <v>caseritaencasa@gmail.com</v>
      </c>
      <c r="H439" s="18" t="str">
        <f>IFERROR(VLOOKUP(E439,PROVEEDORES!$A$3:$G$42,5,0),"")</f>
        <v>56952069703</v>
      </c>
      <c r="I439" s="19">
        <v>765</v>
      </c>
      <c r="J439" s="67" t="s">
        <v>102</v>
      </c>
      <c r="K439" s="68" t="str">
        <f>IFERROR(VLOOKUP(J439,PROVEEDORES!$A$3:$G$42,2,0),"")</f>
        <v>FRUTAS Y VERDURAS</v>
      </c>
      <c r="L439" s="69" t="str">
        <f>IFERROR(VLOOKUP(J439,PROVEEDORES!$A$3:$G$42,4,0),"")</f>
        <v>gescobargalvez@gmail.com</v>
      </c>
      <c r="M439" s="18">
        <f>IFERROR(VLOOKUP(J439,PROVEEDORES!$A$3:$G$42,5,0),"")</f>
        <v>0</v>
      </c>
      <c r="N439" s="19">
        <v>727</v>
      </c>
      <c r="O439" s="67" t="s">
        <v>74</v>
      </c>
      <c r="P439" s="68" t="str">
        <f>IFERROR(VLOOKUP(O439,PROVEEDORES!$A$3:$G$42,2,0),"")</f>
        <v>ABARROTES Y VERDURAS</v>
      </c>
      <c r="Q439" s="69" t="str">
        <f>IFERROR(VLOOKUP(O439,PROVEEDORES!$A$3:$G$42,4,0),"")</f>
        <v>santacatalina3@gmail.com</v>
      </c>
      <c r="R439" s="18" t="str">
        <f>IFERROR(VLOOKUP(O439,PROVEEDORES!$A$3:$G$42,5,0),"")</f>
        <v>56996996469</v>
      </c>
      <c r="S439" s="19">
        <v>1260</v>
      </c>
      <c r="T439" s="20">
        <f t="shared" si="20"/>
        <v>917.33333333333337</v>
      </c>
      <c r="U439" s="21">
        <f t="shared" si="21"/>
        <v>1009.0666666666668</v>
      </c>
    </row>
    <row r="440" spans="1:21" ht="15" customHeight="1" x14ac:dyDescent="0.35">
      <c r="A440" s="6" t="s">
        <v>583</v>
      </c>
      <c r="B440" s="7" t="s">
        <v>642</v>
      </c>
      <c r="C440" s="8" t="s">
        <v>219</v>
      </c>
      <c r="D440" s="9">
        <v>5.8622500000000004</v>
      </c>
      <c r="E440" s="64" t="s">
        <v>41</v>
      </c>
      <c r="F440" s="65" t="str">
        <f>IFERROR(VLOOKUP(E440,PROVEEDORES!$A$3:$G$42,2,0),"")</f>
        <v>FRUTAS Y VERDURAS</v>
      </c>
      <c r="G440" s="66" t="str">
        <f>IFERROR(VLOOKUP(E440,PROVEEDORES!$A$3:$G$42,4,0),"")</f>
        <v>caseritaencasa@gmail.com</v>
      </c>
      <c r="H440" s="10" t="str">
        <f>IFERROR(VLOOKUP(E440,PROVEEDORES!$A$3:$G$42,5,0),"")</f>
        <v>56952069703</v>
      </c>
      <c r="I440" s="11">
        <v>1967</v>
      </c>
      <c r="J440" s="64" t="s">
        <v>102</v>
      </c>
      <c r="K440" s="65" t="str">
        <f>IFERROR(VLOOKUP(J440,PROVEEDORES!$A$3:$G$42,2,0),"")</f>
        <v>FRUTAS Y VERDURAS</v>
      </c>
      <c r="L440" s="66" t="str">
        <f>IFERROR(VLOOKUP(J440,PROVEEDORES!$A$3:$G$42,4,0),"")</f>
        <v>gescobargalvez@gmail.com</v>
      </c>
      <c r="M440" s="10">
        <f>IFERROR(VLOOKUP(J440,PROVEEDORES!$A$3:$G$42,5,0),"")</f>
        <v>0</v>
      </c>
      <c r="N440" s="11">
        <v>2185</v>
      </c>
      <c r="O440" s="64" t="s">
        <v>74</v>
      </c>
      <c r="P440" s="65" t="str">
        <f>IFERROR(VLOOKUP(O440,PROVEEDORES!$A$3:$G$42,2,0),"")</f>
        <v>ABARROTES Y VERDURAS</v>
      </c>
      <c r="Q440" s="66" t="str">
        <f>IFERROR(VLOOKUP(O440,PROVEEDORES!$A$3:$G$42,4,0),"")</f>
        <v>santacatalina3@gmail.com</v>
      </c>
      <c r="R440" s="10" t="str">
        <f>IFERROR(VLOOKUP(O440,PROVEEDORES!$A$3:$G$42,5,0),"")</f>
        <v>56996996469</v>
      </c>
      <c r="S440" s="11">
        <v>712</v>
      </c>
      <c r="T440" s="12">
        <f t="shared" si="20"/>
        <v>1621.3333333333333</v>
      </c>
      <c r="U440" s="13">
        <f t="shared" si="21"/>
        <v>1783.4666666666667</v>
      </c>
    </row>
    <row r="441" spans="1:21" ht="15" customHeight="1" x14ac:dyDescent="0.35">
      <c r="A441" s="14" t="s">
        <v>583</v>
      </c>
      <c r="B441" s="15" t="s">
        <v>643</v>
      </c>
      <c r="C441" s="16" t="s">
        <v>219</v>
      </c>
      <c r="D441" s="17">
        <v>0.25874999999999998</v>
      </c>
      <c r="E441" s="67" t="s">
        <v>41</v>
      </c>
      <c r="F441" s="68" t="str">
        <f>IFERROR(VLOOKUP(E441,PROVEEDORES!$A$3:$G$42,2,0),"")</f>
        <v>FRUTAS Y VERDURAS</v>
      </c>
      <c r="G441" s="69" t="str">
        <f>IFERROR(VLOOKUP(E441,PROVEEDORES!$A$3:$G$42,4,0),"")</f>
        <v>caseritaencasa@gmail.com</v>
      </c>
      <c r="H441" s="18" t="str">
        <f>IFERROR(VLOOKUP(E441,PROVEEDORES!$A$3:$G$42,5,0),"")</f>
        <v>56952069703</v>
      </c>
      <c r="I441" s="19">
        <v>2800</v>
      </c>
      <c r="J441" s="67" t="s">
        <v>102</v>
      </c>
      <c r="K441" s="68" t="str">
        <f>IFERROR(VLOOKUP(J441,PROVEEDORES!$A$3:$G$42,2,0),"")</f>
        <v>FRUTAS Y VERDURAS</v>
      </c>
      <c r="L441" s="69" t="str">
        <f>IFERROR(VLOOKUP(J441,PROVEEDORES!$A$3:$G$42,4,0),"")</f>
        <v>gescobargalvez@gmail.com</v>
      </c>
      <c r="M441" s="18">
        <f>IFERROR(VLOOKUP(J441,PROVEEDORES!$A$3:$G$42,5,0),"")</f>
        <v>0</v>
      </c>
      <c r="N441" s="19">
        <v>4497</v>
      </c>
      <c r="O441" s="67" t="s">
        <v>74</v>
      </c>
      <c r="P441" s="68" t="str">
        <f>IFERROR(VLOOKUP(O441,PROVEEDORES!$A$3:$G$42,2,0),"")</f>
        <v>ABARROTES Y VERDURAS</v>
      </c>
      <c r="Q441" s="69" t="str">
        <f>IFERROR(VLOOKUP(O441,PROVEEDORES!$A$3:$G$42,4,0),"")</f>
        <v>santacatalina3@gmail.com</v>
      </c>
      <c r="R441" s="18" t="str">
        <f>IFERROR(VLOOKUP(O441,PROVEEDORES!$A$3:$G$42,5,0),"")</f>
        <v>56996996469</v>
      </c>
      <c r="S441" s="19">
        <v>4057</v>
      </c>
      <c r="T441" s="20">
        <f t="shared" si="20"/>
        <v>3784.6666666666665</v>
      </c>
      <c r="U441" s="21">
        <f t="shared" si="21"/>
        <v>4163.1333333333332</v>
      </c>
    </row>
    <row r="442" spans="1:21" ht="15" customHeight="1" x14ac:dyDescent="0.35">
      <c r="A442" s="6" t="s">
        <v>583</v>
      </c>
      <c r="B442" s="7" t="s">
        <v>644</v>
      </c>
      <c r="C442" s="8" t="s">
        <v>219</v>
      </c>
      <c r="D442" s="9">
        <v>3.4875000000000003E-2</v>
      </c>
      <c r="E442" s="64" t="s">
        <v>41</v>
      </c>
      <c r="F442" s="65" t="str">
        <f>IFERROR(VLOOKUP(E442,PROVEEDORES!$A$3:$G$42,2,0),"")</f>
        <v>FRUTAS Y VERDURAS</v>
      </c>
      <c r="G442" s="66" t="str">
        <f>IFERROR(VLOOKUP(E442,PROVEEDORES!$A$3:$G$42,4,0),"")</f>
        <v>caseritaencasa@gmail.com</v>
      </c>
      <c r="H442" s="10" t="str">
        <f>IFERROR(VLOOKUP(E442,PROVEEDORES!$A$3:$G$42,5,0),"")</f>
        <v>56952069703</v>
      </c>
      <c r="I442" s="11">
        <v>3824</v>
      </c>
      <c r="J442" s="64" t="s">
        <v>102</v>
      </c>
      <c r="K442" s="65" t="str">
        <f>IFERROR(VLOOKUP(J442,PROVEEDORES!$A$3:$G$42,2,0),"")</f>
        <v>FRUTAS Y VERDURAS</v>
      </c>
      <c r="L442" s="66" t="str">
        <f>IFERROR(VLOOKUP(J442,PROVEEDORES!$A$3:$G$42,4,0),"")</f>
        <v>gescobargalvez@gmail.com</v>
      </c>
      <c r="M442" s="10">
        <f>IFERROR(VLOOKUP(J442,PROVEEDORES!$A$3:$G$42,5,0),"")</f>
        <v>0</v>
      </c>
      <c r="N442" s="11">
        <v>2774</v>
      </c>
      <c r="O442" s="64" t="s">
        <v>74</v>
      </c>
      <c r="P442" s="65" t="str">
        <f>IFERROR(VLOOKUP(O442,PROVEEDORES!$A$3:$G$42,2,0),"")</f>
        <v>ABARROTES Y VERDURAS</v>
      </c>
      <c r="Q442" s="66" t="str">
        <f>IFERROR(VLOOKUP(O442,PROVEEDORES!$A$3:$G$42,4,0),"")</f>
        <v>santacatalina3@gmail.com</v>
      </c>
      <c r="R442" s="10" t="str">
        <f>IFERROR(VLOOKUP(O442,PROVEEDORES!$A$3:$G$42,5,0),"")</f>
        <v>56996996469</v>
      </c>
      <c r="S442" s="11">
        <v>5422</v>
      </c>
      <c r="T442" s="12">
        <f t="shared" si="20"/>
        <v>4006.6666666666665</v>
      </c>
      <c r="U442" s="13">
        <f t="shared" si="21"/>
        <v>4407.3333333333339</v>
      </c>
    </row>
    <row r="443" spans="1:21" ht="15" customHeight="1" x14ac:dyDescent="0.35">
      <c r="A443" s="14" t="s">
        <v>583</v>
      </c>
      <c r="B443" s="15" t="s">
        <v>645</v>
      </c>
      <c r="C443" s="16" t="s">
        <v>219</v>
      </c>
      <c r="D443" s="17">
        <v>8.7499999999999994E-2</v>
      </c>
      <c r="E443" s="67" t="s">
        <v>41</v>
      </c>
      <c r="F443" s="68" t="str">
        <f>IFERROR(VLOOKUP(E443,PROVEEDORES!$A$3:$G$42,2,0),"")</f>
        <v>FRUTAS Y VERDURAS</v>
      </c>
      <c r="G443" s="69" t="str">
        <f>IFERROR(VLOOKUP(E443,PROVEEDORES!$A$3:$G$42,4,0),"")</f>
        <v>caseritaencasa@gmail.com</v>
      </c>
      <c r="H443" s="18" t="str">
        <f>IFERROR(VLOOKUP(E443,PROVEEDORES!$A$3:$G$42,5,0),"")</f>
        <v>56952069703</v>
      </c>
      <c r="I443" s="19">
        <v>1450</v>
      </c>
      <c r="J443" s="67" t="s">
        <v>102</v>
      </c>
      <c r="K443" s="68" t="str">
        <f>IFERROR(VLOOKUP(J443,PROVEEDORES!$A$3:$G$42,2,0),"")</f>
        <v>FRUTAS Y VERDURAS</v>
      </c>
      <c r="L443" s="69" t="str">
        <f>IFERROR(VLOOKUP(J443,PROVEEDORES!$A$3:$G$42,4,0),"")</f>
        <v>gescobargalvez@gmail.com</v>
      </c>
      <c r="M443" s="18">
        <f>IFERROR(VLOOKUP(J443,PROVEEDORES!$A$3:$G$42,5,0),"")</f>
        <v>0</v>
      </c>
      <c r="N443" s="19">
        <v>2192</v>
      </c>
      <c r="O443" s="67" t="s">
        <v>74</v>
      </c>
      <c r="P443" s="68" t="str">
        <f>IFERROR(VLOOKUP(O443,PROVEEDORES!$A$3:$G$42,2,0),"")</f>
        <v>ABARROTES Y VERDURAS</v>
      </c>
      <c r="Q443" s="69" t="str">
        <f>IFERROR(VLOOKUP(O443,PROVEEDORES!$A$3:$G$42,4,0),"")</f>
        <v>santacatalina3@gmail.com</v>
      </c>
      <c r="R443" s="18" t="str">
        <f>IFERROR(VLOOKUP(O443,PROVEEDORES!$A$3:$G$42,5,0),"")</f>
        <v>56996996469</v>
      </c>
      <c r="S443" s="19">
        <v>2930</v>
      </c>
      <c r="T443" s="20">
        <f t="shared" si="20"/>
        <v>2190.6666666666665</v>
      </c>
      <c r="U443" s="21">
        <f t="shared" si="21"/>
        <v>2409.7333333333336</v>
      </c>
    </row>
    <row r="444" spans="1:21" ht="15" customHeight="1" x14ac:dyDescent="0.35">
      <c r="A444" s="6" t="s">
        <v>583</v>
      </c>
      <c r="B444" s="7" t="s">
        <v>646</v>
      </c>
      <c r="C444" s="8" t="s">
        <v>219</v>
      </c>
      <c r="D444" s="9">
        <v>0.71187500000000004</v>
      </c>
      <c r="E444" s="64" t="s">
        <v>41</v>
      </c>
      <c r="F444" s="65" t="str">
        <f>IFERROR(VLOOKUP(E444,PROVEEDORES!$A$3:$G$42,2,0),"")</f>
        <v>FRUTAS Y VERDURAS</v>
      </c>
      <c r="G444" s="66" t="str">
        <f>IFERROR(VLOOKUP(E444,PROVEEDORES!$A$3:$G$42,4,0),"")</f>
        <v>caseritaencasa@gmail.com</v>
      </c>
      <c r="H444" s="10" t="str">
        <f>IFERROR(VLOOKUP(E444,PROVEEDORES!$A$3:$G$42,5,0),"")</f>
        <v>56952069703</v>
      </c>
      <c r="I444" s="11">
        <v>1450</v>
      </c>
      <c r="J444" s="64" t="s">
        <v>102</v>
      </c>
      <c r="K444" s="65" t="str">
        <f>IFERROR(VLOOKUP(J444,PROVEEDORES!$A$3:$G$42,2,0),"")</f>
        <v>FRUTAS Y VERDURAS</v>
      </c>
      <c r="L444" s="66" t="str">
        <f>IFERROR(VLOOKUP(J444,PROVEEDORES!$A$3:$G$42,4,0),"")</f>
        <v>gescobargalvez@gmail.com</v>
      </c>
      <c r="M444" s="10">
        <f>IFERROR(VLOOKUP(J444,PROVEEDORES!$A$3:$G$42,5,0),"")</f>
        <v>0</v>
      </c>
      <c r="N444" s="11">
        <v>2111</v>
      </c>
      <c r="O444" s="64" t="s">
        <v>74</v>
      </c>
      <c r="P444" s="65" t="str">
        <f>IFERROR(VLOOKUP(O444,PROVEEDORES!$A$3:$G$42,2,0),"")</f>
        <v>ABARROTES Y VERDURAS</v>
      </c>
      <c r="Q444" s="66" t="str">
        <f>IFERROR(VLOOKUP(O444,PROVEEDORES!$A$3:$G$42,4,0),"")</f>
        <v>santacatalina3@gmail.com</v>
      </c>
      <c r="R444" s="10" t="str">
        <f>IFERROR(VLOOKUP(O444,PROVEEDORES!$A$3:$G$42,5,0),"")</f>
        <v>56996996469</v>
      </c>
      <c r="S444" s="11">
        <v>1099</v>
      </c>
      <c r="T444" s="12">
        <f t="shared" si="20"/>
        <v>1553.3333333333333</v>
      </c>
      <c r="U444" s="13">
        <f t="shared" si="21"/>
        <v>1708.6666666666667</v>
      </c>
    </row>
    <row r="445" spans="1:21" ht="15" customHeight="1" x14ac:dyDescent="0.35">
      <c r="A445" s="14" t="s">
        <v>583</v>
      </c>
      <c r="B445" s="15" t="s">
        <v>647</v>
      </c>
      <c r="C445" s="16" t="s">
        <v>219</v>
      </c>
      <c r="D445" s="17">
        <v>3.5000000000000003E-2</v>
      </c>
      <c r="E445" s="67" t="s">
        <v>41</v>
      </c>
      <c r="F445" s="68" t="str">
        <f>IFERROR(VLOOKUP(E445,PROVEEDORES!$A$3:$G$42,2,0),"")</f>
        <v>FRUTAS Y VERDURAS</v>
      </c>
      <c r="G445" s="69" t="str">
        <f>IFERROR(VLOOKUP(E445,PROVEEDORES!$A$3:$G$42,4,0),"")</f>
        <v>caseritaencasa@gmail.com</v>
      </c>
      <c r="H445" s="18" t="str">
        <f>IFERROR(VLOOKUP(E445,PROVEEDORES!$A$3:$G$42,5,0),"")</f>
        <v>56952069703</v>
      </c>
      <c r="I445" s="19">
        <v>12030</v>
      </c>
      <c r="J445" s="67" t="s">
        <v>102</v>
      </c>
      <c r="K445" s="68" t="str">
        <f>IFERROR(VLOOKUP(J445,PROVEEDORES!$A$3:$G$42,2,0),"")</f>
        <v>FRUTAS Y VERDURAS</v>
      </c>
      <c r="L445" s="69" t="str">
        <f>IFERROR(VLOOKUP(J445,PROVEEDORES!$A$3:$G$42,4,0),"")</f>
        <v>gescobargalvez@gmail.com</v>
      </c>
      <c r="M445" s="18">
        <f>IFERROR(VLOOKUP(J445,PROVEEDORES!$A$3:$G$42,5,0),"")</f>
        <v>0</v>
      </c>
      <c r="N445" s="19">
        <v>11651</v>
      </c>
      <c r="O445" s="67" t="s">
        <v>74</v>
      </c>
      <c r="P445" s="68" t="str">
        <f>IFERROR(VLOOKUP(O445,PROVEEDORES!$A$3:$G$42,2,0),"")</f>
        <v>ABARROTES Y VERDURAS</v>
      </c>
      <c r="Q445" s="69" t="str">
        <f>IFERROR(VLOOKUP(O445,PROVEEDORES!$A$3:$G$42,4,0),"")</f>
        <v>santacatalina3@gmail.com</v>
      </c>
      <c r="R445" s="18" t="str">
        <f>IFERROR(VLOOKUP(O445,PROVEEDORES!$A$3:$G$42,5,0),"")</f>
        <v>56996996469</v>
      </c>
      <c r="S445" s="19">
        <v>11607</v>
      </c>
      <c r="T445" s="20">
        <f t="shared" si="20"/>
        <v>11762.666666666666</v>
      </c>
      <c r="U445" s="21">
        <f t="shared" si="21"/>
        <v>12938.933333333334</v>
      </c>
    </row>
    <row r="446" spans="1:21" ht="15" customHeight="1" x14ac:dyDescent="0.35">
      <c r="A446" s="6" t="s">
        <v>583</v>
      </c>
      <c r="B446" s="7" t="s">
        <v>648</v>
      </c>
      <c r="C446" s="8" t="s">
        <v>219</v>
      </c>
      <c r="D446" s="9">
        <v>1.651</v>
      </c>
      <c r="E446" s="64" t="s">
        <v>41</v>
      </c>
      <c r="F446" s="65" t="str">
        <f>IFERROR(VLOOKUP(E446,PROVEEDORES!$A$3:$G$42,2,0),"")</f>
        <v>FRUTAS Y VERDURAS</v>
      </c>
      <c r="G446" s="66" t="str">
        <f>IFERROR(VLOOKUP(E446,PROVEEDORES!$A$3:$G$42,4,0),"")</f>
        <v>caseritaencasa@gmail.com</v>
      </c>
      <c r="H446" s="10" t="str">
        <f>IFERROR(VLOOKUP(E446,PROVEEDORES!$A$3:$G$42,5,0),"")</f>
        <v>56952069703</v>
      </c>
      <c r="I446" s="11">
        <v>8500</v>
      </c>
      <c r="J446" s="64" t="s">
        <v>102</v>
      </c>
      <c r="K446" s="65" t="str">
        <f>IFERROR(VLOOKUP(J446,PROVEEDORES!$A$3:$G$42,2,0),"")</f>
        <v>FRUTAS Y VERDURAS</v>
      </c>
      <c r="L446" s="66" t="str">
        <f>IFERROR(VLOOKUP(J446,PROVEEDORES!$A$3:$G$42,4,0),"")</f>
        <v>gescobargalvez@gmail.com</v>
      </c>
      <c r="M446" s="10">
        <f>IFERROR(VLOOKUP(J446,PROVEEDORES!$A$3:$G$42,5,0),"")</f>
        <v>0</v>
      </c>
      <c r="N446" s="11">
        <v>11254</v>
      </c>
      <c r="O446" s="64" t="s">
        <v>74</v>
      </c>
      <c r="P446" s="65" t="str">
        <f>IFERROR(VLOOKUP(O446,PROVEEDORES!$A$3:$G$42,2,0),"")</f>
        <v>ABARROTES Y VERDURAS</v>
      </c>
      <c r="Q446" s="66" t="str">
        <f>IFERROR(VLOOKUP(O446,PROVEEDORES!$A$3:$G$42,4,0),"")</f>
        <v>santacatalina3@gmail.com</v>
      </c>
      <c r="R446" s="10" t="str">
        <f>IFERROR(VLOOKUP(O446,PROVEEDORES!$A$3:$G$42,5,0),"")</f>
        <v>56996996469</v>
      </c>
      <c r="S446" s="11">
        <v>12072</v>
      </c>
      <c r="T446" s="12">
        <f t="shared" ref="T446:T477" si="22">AVERAGE(I446,N446,S446)</f>
        <v>10608.666666666666</v>
      </c>
      <c r="U446" s="13">
        <f t="shared" ref="U446:U477" si="23">T446*(1+$B$2)</f>
        <v>11669.533333333333</v>
      </c>
    </row>
    <row r="447" spans="1:21" ht="15" customHeight="1" x14ac:dyDescent="0.35">
      <c r="A447" s="14" t="s">
        <v>583</v>
      </c>
      <c r="B447" s="15" t="s">
        <v>649</v>
      </c>
      <c r="C447" s="16" t="s">
        <v>239</v>
      </c>
      <c r="D447" s="17">
        <v>0.12</v>
      </c>
      <c r="E447" s="67" t="s">
        <v>41</v>
      </c>
      <c r="F447" s="68" t="str">
        <f>IFERROR(VLOOKUP(E447,PROVEEDORES!$A$3:$G$42,2,0),"")</f>
        <v>FRUTAS Y VERDURAS</v>
      </c>
      <c r="G447" s="69" t="str">
        <f>IFERROR(VLOOKUP(E447,PROVEEDORES!$A$3:$G$42,4,0),"")</f>
        <v>caseritaencasa@gmail.com</v>
      </c>
      <c r="H447" s="18" t="str">
        <f>IFERROR(VLOOKUP(E447,PROVEEDORES!$A$3:$G$42,5,0),"")</f>
        <v>56952069703</v>
      </c>
      <c r="I447" s="19">
        <v>2176</v>
      </c>
      <c r="J447" s="67" t="s">
        <v>102</v>
      </c>
      <c r="K447" s="68" t="str">
        <f>IFERROR(VLOOKUP(J447,PROVEEDORES!$A$3:$G$42,2,0),"")</f>
        <v>FRUTAS Y VERDURAS</v>
      </c>
      <c r="L447" s="69" t="str">
        <f>IFERROR(VLOOKUP(J447,PROVEEDORES!$A$3:$G$42,4,0),"")</f>
        <v>gescobargalvez@gmail.com</v>
      </c>
      <c r="M447" s="18">
        <f>IFERROR(VLOOKUP(J447,PROVEEDORES!$A$3:$G$42,5,0),"")</f>
        <v>0</v>
      </c>
      <c r="N447" s="19">
        <v>2809</v>
      </c>
      <c r="O447" s="67" t="s">
        <v>74</v>
      </c>
      <c r="P447" s="68" t="str">
        <f>IFERROR(VLOOKUP(O447,PROVEEDORES!$A$3:$G$42,2,0),"")</f>
        <v>ABARROTES Y VERDURAS</v>
      </c>
      <c r="Q447" s="69" t="str">
        <f>IFERROR(VLOOKUP(O447,PROVEEDORES!$A$3:$G$42,4,0),"")</f>
        <v>santacatalina3@gmail.com</v>
      </c>
      <c r="R447" s="18" t="str">
        <f>IFERROR(VLOOKUP(O447,PROVEEDORES!$A$3:$G$42,5,0),"")</f>
        <v>56996996469</v>
      </c>
      <c r="S447" s="19">
        <v>816</v>
      </c>
      <c r="T447" s="20">
        <f t="shared" si="22"/>
        <v>1933.6666666666667</v>
      </c>
      <c r="U447" s="21">
        <f t="shared" si="23"/>
        <v>2127.0333333333338</v>
      </c>
    </row>
    <row r="448" spans="1:21" ht="15" customHeight="1" x14ac:dyDescent="0.35">
      <c r="A448" s="6" t="s">
        <v>583</v>
      </c>
      <c r="B448" s="7" t="s">
        <v>650</v>
      </c>
      <c r="C448" s="8" t="s">
        <v>219</v>
      </c>
      <c r="D448" s="9">
        <v>3.5000000000000003E-2</v>
      </c>
      <c r="E448" s="64" t="s">
        <v>41</v>
      </c>
      <c r="F448" s="65" t="str">
        <f>IFERROR(VLOOKUP(E448,PROVEEDORES!$A$3:$G$42,2,0),"")</f>
        <v>FRUTAS Y VERDURAS</v>
      </c>
      <c r="G448" s="66" t="str">
        <f>IFERROR(VLOOKUP(E448,PROVEEDORES!$A$3:$G$42,4,0),"")</f>
        <v>caseritaencasa@gmail.com</v>
      </c>
      <c r="H448" s="10" t="str">
        <f>IFERROR(VLOOKUP(E448,PROVEEDORES!$A$3:$G$42,5,0),"")</f>
        <v>56952069703</v>
      </c>
      <c r="I448" s="11">
        <v>4481</v>
      </c>
      <c r="J448" s="64" t="s">
        <v>102</v>
      </c>
      <c r="K448" s="65" t="str">
        <f>IFERROR(VLOOKUP(J448,PROVEEDORES!$A$3:$G$42,2,0),"")</f>
        <v>FRUTAS Y VERDURAS</v>
      </c>
      <c r="L448" s="66" t="str">
        <f>IFERROR(VLOOKUP(J448,PROVEEDORES!$A$3:$G$42,4,0),"")</f>
        <v>gescobargalvez@gmail.com</v>
      </c>
      <c r="M448" s="10">
        <f>IFERROR(VLOOKUP(J448,PROVEEDORES!$A$3:$G$42,5,0),"")</f>
        <v>0</v>
      </c>
      <c r="N448" s="11">
        <v>1147</v>
      </c>
      <c r="O448" s="64" t="s">
        <v>74</v>
      </c>
      <c r="P448" s="65" t="str">
        <f>IFERROR(VLOOKUP(O448,PROVEEDORES!$A$3:$G$42,2,0),"")</f>
        <v>ABARROTES Y VERDURAS</v>
      </c>
      <c r="Q448" s="66" t="str">
        <f>IFERROR(VLOOKUP(O448,PROVEEDORES!$A$3:$G$42,4,0),"")</f>
        <v>santacatalina3@gmail.com</v>
      </c>
      <c r="R448" s="10" t="str">
        <f>IFERROR(VLOOKUP(O448,PROVEEDORES!$A$3:$G$42,5,0),"")</f>
        <v>56996996469</v>
      </c>
      <c r="S448" s="11">
        <v>2342</v>
      </c>
      <c r="T448" s="12">
        <f t="shared" si="22"/>
        <v>2656.6666666666665</v>
      </c>
      <c r="U448" s="13">
        <f t="shared" si="23"/>
        <v>2922.3333333333335</v>
      </c>
    </row>
    <row r="449" spans="1:21" ht="15" customHeight="1" x14ac:dyDescent="0.35">
      <c r="A449" s="14" t="s">
        <v>583</v>
      </c>
      <c r="B449" s="15" t="s">
        <v>651</v>
      </c>
      <c r="C449" s="16" t="s">
        <v>239</v>
      </c>
      <c r="D449" s="17">
        <v>3.125E-2</v>
      </c>
      <c r="E449" s="67" t="s">
        <v>41</v>
      </c>
      <c r="F449" s="68" t="str">
        <f>IFERROR(VLOOKUP(E449,PROVEEDORES!$A$3:$G$42,2,0),"")</f>
        <v>FRUTAS Y VERDURAS</v>
      </c>
      <c r="G449" s="69" t="str">
        <f>IFERROR(VLOOKUP(E449,PROVEEDORES!$A$3:$G$42,4,0),"")</f>
        <v>caseritaencasa@gmail.com</v>
      </c>
      <c r="H449" s="18" t="str">
        <f>IFERROR(VLOOKUP(E449,PROVEEDORES!$A$3:$G$42,5,0),"")</f>
        <v>56952069703</v>
      </c>
      <c r="I449" s="19">
        <v>3500</v>
      </c>
      <c r="J449" s="67" t="s">
        <v>102</v>
      </c>
      <c r="K449" s="68" t="str">
        <f>IFERROR(VLOOKUP(J449,PROVEEDORES!$A$3:$G$42,2,0),"")</f>
        <v>FRUTAS Y VERDURAS</v>
      </c>
      <c r="L449" s="69" t="str">
        <f>IFERROR(VLOOKUP(J449,PROVEEDORES!$A$3:$G$42,4,0),"")</f>
        <v>gescobargalvez@gmail.com</v>
      </c>
      <c r="M449" s="18">
        <f>IFERROR(VLOOKUP(J449,PROVEEDORES!$A$3:$G$42,5,0),"")</f>
        <v>0</v>
      </c>
      <c r="N449" s="19">
        <v>4204</v>
      </c>
      <c r="O449" s="67" t="s">
        <v>74</v>
      </c>
      <c r="P449" s="68" t="str">
        <f>IFERROR(VLOOKUP(O449,PROVEEDORES!$A$3:$G$42,2,0),"")</f>
        <v>ABARROTES Y VERDURAS</v>
      </c>
      <c r="Q449" s="69" t="str">
        <f>IFERROR(VLOOKUP(O449,PROVEEDORES!$A$3:$G$42,4,0),"")</f>
        <v>santacatalina3@gmail.com</v>
      </c>
      <c r="R449" s="18" t="str">
        <f>IFERROR(VLOOKUP(O449,PROVEEDORES!$A$3:$G$42,5,0),"")</f>
        <v>56996996469</v>
      </c>
      <c r="S449" s="19">
        <v>1644</v>
      </c>
      <c r="T449" s="20">
        <f t="shared" si="22"/>
        <v>3116</v>
      </c>
      <c r="U449" s="21">
        <f t="shared" si="23"/>
        <v>3427.6000000000004</v>
      </c>
    </row>
    <row r="450" spans="1:21" ht="15" customHeight="1" x14ac:dyDescent="0.35">
      <c r="A450" s="6" t="s">
        <v>583</v>
      </c>
      <c r="B450" s="7" t="s">
        <v>652</v>
      </c>
      <c r="C450" s="8" t="s">
        <v>219</v>
      </c>
      <c r="D450" s="9">
        <v>2.8571875000000002</v>
      </c>
      <c r="E450" s="64" t="s">
        <v>41</v>
      </c>
      <c r="F450" s="65" t="str">
        <f>IFERROR(VLOOKUP(E450,PROVEEDORES!$A$3:$G$42,2,0),"")</f>
        <v>FRUTAS Y VERDURAS</v>
      </c>
      <c r="G450" s="66" t="str">
        <f>IFERROR(VLOOKUP(E450,PROVEEDORES!$A$3:$G$42,4,0),"")</f>
        <v>caseritaencasa@gmail.com</v>
      </c>
      <c r="H450" s="10" t="str">
        <f>IFERROR(VLOOKUP(E450,PROVEEDORES!$A$3:$G$42,5,0),"")</f>
        <v>56952069703</v>
      </c>
      <c r="I450" s="11">
        <v>1190</v>
      </c>
      <c r="J450" s="64" t="s">
        <v>102</v>
      </c>
      <c r="K450" s="65" t="str">
        <f>IFERROR(VLOOKUP(J450,PROVEEDORES!$A$3:$G$42,2,0),"")</f>
        <v>FRUTAS Y VERDURAS</v>
      </c>
      <c r="L450" s="66" t="str">
        <f>IFERROR(VLOOKUP(J450,PROVEEDORES!$A$3:$G$42,4,0),"")</f>
        <v>gescobargalvez@gmail.com</v>
      </c>
      <c r="M450" s="10">
        <f>IFERROR(VLOOKUP(J450,PROVEEDORES!$A$3:$G$42,5,0),"")</f>
        <v>0</v>
      </c>
      <c r="N450" s="11">
        <v>608</v>
      </c>
      <c r="O450" s="64" t="s">
        <v>74</v>
      </c>
      <c r="P450" s="65" t="str">
        <f>IFERROR(VLOOKUP(O450,PROVEEDORES!$A$3:$G$42,2,0),"")</f>
        <v>ABARROTES Y VERDURAS</v>
      </c>
      <c r="Q450" s="66" t="str">
        <f>IFERROR(VLOOKUP(O450,PROVEEDORES!$A$3:$G$42,4,0),"")</f>
        <v>santacatalina3@gmail.com</v>
      </c>
      <c r="R450" s="10" t="str">
        <f>IFERROR(VLOOKUP(O450,PROVEEDORES!$A$3:$G$42,5,0),"")</f>
        <v>56996996469</v>
      </c>
      <c r="S450" s="11">
        <v>402</v>
      </c>
      <c r="T450" s="12">
        <f t="shared" si="22"/>
        <v>733.33333333333337</v>
      </c>
      <c r="U450" s="13">
        <f t="shared" si="23"/>
        <v>806.66666666666674</v>
      </c>
    </row>
    <row r="451" spans="1:21" ht="15" customHeight="1" x14ac:dyDescent="0.35">
      <c r="A451" s="14" t="s">
        <v>583</v>
      </c>
      <c r="B451" s="15" t="s">
        <v>653</v>
      </c>
      <c r="C451" s="16" t="s">
        <v>219</v>
      </c>
      <c r="D451" s="17">
        <v>0.69525000000000003</v>
      </c>
      <c r="E451" s="67" t="s">
        <v>41</v>
      </c>
      <c r="F451" s="68" t="str">
        <f>IFERROR(VLOOKUP(E451,PROVEEDORES!$A$3:$G$42,2,0),"")</f>
        <v>FRUTAS Y VERDURAS</v>
      </c>
      <c r="G451" s="69" t="str">
        <f>IFERROR(VLOOKUP(E451,PROVEEDORES!$A$3:$G$42,4,0),"")</f>
        <v>caseritaencasa@gmail.com</v>
      </c>
      <c r="H451" s="18" t="str">
        <f>IFERROR(VLOOKUP(E451,PROVEEDORES!$A$3:$G$42,5,0),"")</f>
        <v>56952069703</v>
      </c>
      <c r="I451" s="19">
        <v>6063</v>
      </c>
      <c r="J451" s="67" t="s">
        <v>102</v>
      </c>
      <c r="K451" s="68" t="str">
        <f>IFERROR(VLOOKUP(J451,PROVEEDORES!$A$3:$G$42,2,0),"")</f>
        <v>FRUTAS Y VERDURAS</v>
      </c>
      <c r="L451" s="69" t="str">
        <f>IFERROR(VLOOKUP(J451,PROVEEDORES!$A$3:$G$42,4,0),"")</f>
        <v>gescobargalvez@gmail.com</v>
      </c>
      <c r="M451" s="18">
        <f>IFERROR(VLOOKUP(J451,PROVEEDORES!$A$3:$G$42,5,0),"")</f>
        <v>0</v>
      </c>
      <c r="N451" s="19">
        <v>4826</v>
      </c>
      <c r="O451" s="67" t="s">
        <v>74</v>
      </c>
      <c r="P451" s="68" t="str">
        <f>IFERROR(VLOOKUP(O451,PROVEEDORES!$A$3:$G$42,2,0),"")</f>
        <v>ABARROTES Y VERDURAS</v>
      </c>
      <c r="Q451" s="69" t="str">
        <f>IFERROR(VLOOKUP(O451,PROVEEDORES!$A$3:$G$42,4,0),"")</f>
        <v>santacatalina3@gmail.com</v>
      </c>
      <c r="R451" s="18" t="str">
        <f>IFERROR(VLOOKUP(O451,PROVEEDORES!$A$3:$G$42,5,0),"")</f>
        <v>56996996469</v>
      </c>
      <c r="S451" s="19">
        <v>2608</v>
      </c>
      <c r="T451" s="20">
        <f t="shared" si="22"/>
        <v>4499</v>
      </c>
      <c r="U451" s="21">
        <f t="shared" si="23"/>
        <v>4948.9000000000005</v>
      </c>
    </row>
    <row r="452" spans="1:21" ht="15" customHeight="1" x14ac:dyDescent="0.35">
      <c r="A452" s="6" t="s">
        <v>583</v>
      </c>
      <c r="B452" s="7" t="s">
        <v>654</v>
      </c>
      <c r="C452" s="8" t="s">
        <v>239</v>
      </c>
      <c r="D452" s="9">
        <v>3.8</v>
      </c>
      <c r="E452" s="64" t="s">
        <v>41</v>
      </c>
      <c r="F452" s="65" t="str">
        <f>IFERROR(VLOOKUP(E452,PROVEEDORES!$A$3:$G$42,2,0),"")</f>
        <v>FRUTAS Y VERDURAS</v>
      </c>
      <c r="G452" s="66" t="str">
        <f>IFERROR(VLOOKUP(E452,PROVEEDORES!$A$3:$G$42,4,0),"")</f>
        <v>caseritaencasa@gmail.com</v>
      </c>
      <c r="H452" s="10" t="str">
        <f>IFERROR(VLOOKUP(E452,PROVEEDORES!$A$3:$G$42,5,0),"")</f>
        <v>56952069703</v>
      </c>
      <c r="I452" s="11">
        <v>192</v>
      </c>
      <c r="J452" s="64" t="s">
        <v>102</v>
      </c>
      <c r="K452" s="65" t="str">
        <f>IFERROR(VLOOKUP(J452,PROVEEDORES!$A$3:$G$42,2,0),"")</f>
        <v>FRUTAS Y VERDURAS</v>
      </c>
      <c r="L452" s="66" t="str">
        <f>IFERROR(VLOOKUP(J452,PROVEEDORES!$A$3:$G$42,4,0),"")</f>
        <v>gescobargalvez@gmail.com</v>
      </c>
      <c r="M452" s="10">
        <f>IFERROR(VLOOKUP(J452,PROVEEDORES!$A$3:$G$42,5,0),"")</f>
        <v>0</v>
      </c>
      <c r="N452" s="11">
        <v>129</v>
      </c>
      <c r="O452" s="64" t="s">
        <v>74</v>
      </c>
      <c r="P452" s="65" t="str">
        <f>IFERROR(VLOOKUP(O452,PROVEEDORES!$A$3:$G$42,2,0),"")</f>
        <v>ABARROTES Y VERDURAS</v>
      </c>
      <c r="Q452" s="66" t="str">
        <f>IFERROR(VLOOKUP(O452,PROVEEDORES!$A$3:$G$42,4,0),"")</f>
        <v>santacatalina3@gmail.com</v>
      </c>
      <c r="R452" s="10" t="str">
        <f>IFERROR(VLOOKUP(O452,PROVEEDORES!$A$3:$G$42,5,0),"")</f>
        <v>56996996469</v>
      </c>
      <c r="S452" s="11">
        <v>61</v>
      </c>
      <c r="T452" s="12">
        <f t="shared" si="22"/>
        <v>127.33333333333333</v>
      </c>
      <c r="U452" s="13">
        <f t="shared" si="23"/>
        <v>140.06666666666666</v>
      </c>
    </row>
    <row r="453" spans="1:21" ht="15" customHeight="1" x14ac:dyDescent="0.35">
      <c r="A453" s="14" t="s">
        <v>583</v>
      </c>
      <c r="B453" s="15" t="s">
        <v>655</v>
      </c>
      <c r="C453" s="16" t="s">
        <v>219</v>
      </c>
      <c r="D453" s="17">
        <v>0.20624999999999999</v>
      </c>
      <c r="E453" s="67" t="s">
        <v>41</v>
      </c>
      <c r="F453" s="68" t="str">
        <f>IFERROR(VLOOKUP(E453,PROVEEDORES!$A$3:$G$42,2,0),"")</f>
        <v>FRUTAS Y VERDURAS</v>
      </c>
      <c r="G453" s="69" t="str">
        <f>IFERROR(VLOOKUP(E453,PROVEEDORES!$A$3:$G$42,4,0),"")</f>
        <v>caseritaencasa@gmail.com</v>
      </c>
      <c r="H453" s="18" t="str">
        <f>IFERROR(VLOOKUP(E453,PROVEEDORES!$A$3:$G$42,5,0),"")</f>
        <v>56952069703</v>
      </c>
      <c r="I453" s="19">
        <v>1750</v>
      </c>
      <c r="J453" s="67" t="s">
        <v>102</v>
      </c>
      <c r="K453" s="68" t="str">
        <f>IFERROR(VLOOKUP(J453,PROVEEDORES!$A$3:$G$42,2,0),"")</f>
        <v>FRUTAS Y VERDURAS</v>
      </c>
      <c r="L453" s="69" t="str">
        <f>IFERROR(VLOOKUP(J453,PROVEEDORES!$A$3:$G$42,4,0),"")</f>
        <v>gescobargalvez@gmail.com</v>
      </c>
      <c r="M453" s="18">
        <f>IFERROR(VLOOKUP(J453,PROVEEDORES!$A$3:$G$42,5,0),"")</f>
        <v>0</v>
      </c>
      <c r="N453" s="19">
        <v>2944</v>
      </c>
      <c r="O453" s="67" t="s">
        <v>74</v>
      </c>
      <c r="P453" s="68" t="str">
        <f>IFERROR(VLOOKUP(O453,PROVEEDORES!$A$3:$G$42,2,0),"")</f>
        <v>ABARROTES Y VERDURAS</v>
      </c>
      <c r="Q453" s="69" t="str">
        <f>IFERROR(VLOOKUP(O453,PROVEEDORES!$A$3:$G$42,4,0),"")</f>
        <v>santacatalina3@gmail.com</v>
      </c>
      <c r="R453" s="18" t="str">
        <f>IFERROR(VLOOKUP(O453,PROVEEDORES!$A$3:$G$42,5,0),"")</f>
        <v>56996996469</v>
      </c>
      <c r="S453" s="19">
        <v>1842</v>
      </c>
      <c r="T453" s="20">
        <f t="shared" si="22"/>
        <v>2178.6666666666665</v>
      </c>
      <c r="U453" s="21">
        <f t="shared" si="23"/>
        <v>2396.5333333333333</v>
      </c>
    </row>
    <row r="454" spans="1:21" ht="15" customHeight="1" x14ac:dyDescent="0.35">
      <c r="A454" s="6" t="s">
        <v>583</v>
      </c>
      <c r="B454" s="7" t="s">
        <v>656</v>
      </c>
      <c r="C454" s="8" t="s">
        <v>219</v>
      </c>
      <c r="D454" s="9">
        <v>0.05</v>
      </c>
      <c r="E454" s="64" t="s">
        <v>41</v>
      </c>
      <c r="F454" s="65" t="str">
        <f>IFERROR(VLOOKUP(E454,PROVEEDORES!$A$3:$G$42,2,0),"")</f>
        <v>FRUTAS Y VERDURAS</v>
      </c>
      <c r="G454" s="66" t="str">
        <f>IFERROR(VLOOKUP(E454,PROVEEDORES!$A$3:$G$42,4,0),"")</f>
        <v>caseritaencasa@gmail.com</v>
      </c>
      <c r="H454" s="10" t="str">
        <f>IFERROR(VLOOKUP(E454,PROVEEDORES!$A$3:$G$42,5,0),"")</f>
        <v>56952069703</v>
      </c>
      <c r="I454" s="11">
        <v>3335</v>
      </c>
      <c r="J454" s="64" t="s">
        <v>102</v>
      </c>
      <c r="K454" s="65" t="str">
        <f>IFERROR(VLOOKUP(J454,PROVEEDORES!$A$3:$G$42,2,0),"")</f>
        <v>FRUTAS Y VERDURAS</v>
      </c>
      <c r="L454" s="66" t="str">
        <f>IFERROR(VLOOKUP(J454,PROVEEDORES!$A$3:$G$42,4,0),"")</f>
        <v>gescobargalvez@gmail.com</v>
      </c>
      <c r="M454" s="10">
        <f>IFERROR(VLOOKUP(J454,PROVEEDORES!$A$3:$G$42,5,0),"")</f>
        <v>0</v>
      </c>
      <c r="N454" s="11">
        <v>5101</v>
      </c>
      <c r="O454" s="64" t="s">
        <v>74</v>
      </c>
      <c r="P454" s="65" t="str">
        <f>IFERROR(VLOOKUP(O454,PROVEEDORES!$A$3:$G$42,2,0),"")</f>
        <v>ABARROTES Y VERDURAS</v>
      </c>
      <c r="Q454" s="66" t="str">
        <f>IFERROR(VLOOKUP(O454,PROVEEDORES!$A$3:$G$42,4,0),"")</f>
        <v>santacatalina3@gmail.com</v>
      </c>
      <c r="R454" s="10" t="str">
        <f>IFERROR(VLOOKUP(O454,PROVEEDORES!$A$3:$G$42,5,0),"")</f>
        <v>56996996469</v>
      </c>
      <c r="S454" s="11">
        <v>4428</v>
      </c>
      <c r="T454" s="12">
        <f t="shared" si="22"/>
        <v>4288</v>
      </c>
      <c r="U454" s="13">
        <f t="shared" si="23"/>
        <v>4716.8</v>
      </c>
    </row>
    <row r="455" spans="1:21" ht="15" customHeight="1" x14ac:dyDescent="0.35">
      <c r="A455" s="14" t="s">
        <v>583</v>
      </c>
      <c r="B455" s="15" t="s">
        <v>381</v>
      </c>
      <c r="C455" s="16" t="s">
        <v>219</v>
      </c>
      <c r="D455" s="17">
        <v>5.6587500000000004</v>
      </c>
      <c r="E455" s="67" t="s">
        <v>41</v>
      </c>
      <c r="F455" s="68" t="str">
        <f>IFERROR(VLOOKUP(E455,PROVEEDORES!$A$3:$G$42,2,0),"")</f>
        <v>FRUTAS Y VERDURAS</v>
      </c>
      <c r="G455" s="69" t="str">
        <f>IFERROR(VLOOKUP(E455,PROVEEDORES!$A$3:$G$42,4,0),"")</f>
        <v>caseritaencasa@gmail.com</v>
      </c>
      <c r="H455" s="18" t="str">
        <f>IFERROR(VLOOKUP(E455,PROVEEDORES!$A$3:$G$42,5,0),"")</f>
        <v>56952069703</v>
      </c>
      <c r="I455" s="19">
        <v>936</v>
      </c>
      <c r="J455" s="67" t="s">
        <v>102</v>
      </c>
      <c r="K455" s="68" t="str">
        <f>IFERROR(VLOOKUP(J455,PROVEEDORES!$A$3:$G$42,2,0),"")</f>
        <v>FRUTAS Y VERDURAS</v>
      </c>
      <c r="L455" s="69" t="str">
        <f>IFERROR(VLOOKUP(J455,PROVEEDORES!$A$3:$G$42,4,0),"")</f>
        <v>gescobargalvez@gmail.com</v>
      </c>
      <c r="M455" s="18">
        <f>IFERROR(VLOOKUP(J455,PROVEEDORES!$A$3:$G$42,5,0),"")</f>
        <v>0</v>
      </c>
      <c r="N455" s="19">
        <v>1454</v>
      </c>
      <c r="O455" s="67" t="s">
        <v>74</v>
      </c>
      <c r="P455" s="68" t="str">
        <f>IFERROR(VLOOKUP(O455,PROVEEDORES!$A$3:$G$42,2,0),"")</f>
        <v>ABARROTES Y VERDURAS</v>
      </c>
      <c r="Q455" s="69" t="str">
        <f>IFERROR(VLOOKUP(O455,PROVEEDORES!$A$3:$G$42,4,0),"")</f>
        <v>santacatalina3@gmail.com</v>
      </c>
      <c r="R455" s="18" t="str">
        <f>IFERROR(VLOOKUP(O455,PROVEEDORES!$A$3:$G$42,5,0),"")</f>
        <v>56996996469</v>
      </c>
      <c r="S455" s="19">
        <v>1799</v>
      </c>
      <c r="T455" s="20">
        <f t="shared" si="22"/>
        <v>1396.3333333333333</v>
      </c>
      <c r="U455" s="21">
        <f t="shared" si="23"/>
        <v>1535.9666666666667</v>
      </c>
    </row>
    <row r="456" spans="1:21" ht="15" customHeight="1" x14ac:dyDescent="0.35">
      <c r="A456" s="6" t="s">
        <v>583</v>
      </c>
      <c r="B456" s="7" t="s">
        <v>657</v>
      </c>
      <c r="C456" s="8" t="s">
        <v>219</v>
      </c>
      <c r="D456" s="9">
        <v>0.1</v>
      </c>
      <c r="E456" s="64" t="s">
        <v>41</v>
      </c>
      <c r="F456" s="65" t="str">
        <f>IFERROR(VLOOKUP(E456,PROVEEDORES!$A$3:$G$42,2,0),"")</f>
        <v>FRUTAS Y VERDURAS</v>
      </c>
      <c r="G456" s="66" t="str">
        <f>IFERROR(VLOOKUP(E456,PROVEEDORES!$A$3:$G$42,4,0),"")</f>
        <v>caseritaencasa@gmail.com</v>
      </c>
      <c r="H456" s="10" t="str">
        <f>IFERROR(VLOOKUP(E456,PROVEEDORES!$A$3:$G$42,5,0),"")</f>
        <v>56952069703</v>
      </c>
      <c r="I456" s="11">
        <v>5940</v>
      </c>
      <c r="J456" s="64" t="s">
        <v>102</v>
      </c>
      <c r="K456" s="65" t="str">
        <f>IFERROR(VLOOKUP(J456,PROVEEDORES!$A$3:$G$42,2,0),"")</f>
        <v>FRUTAS Y VERDURAS</v>
      </c>
      <c r="L456" s="66" t="str">
        <f>IFERROR(VLOOKUP(J456,PROVEEDORES!$A$3:$G$42,4,0),"")</f>
        <v>gescobargalvez@gmail.com</v>
      </c>
      <c r="M456" s="10">
        <f>IFERROR(VLOOKUP(J456,PROVEEDORES!$A$3:$G$42,5,0),"")</f>
        <v>0</v>
      </c>
      <c r="N456" s="11">
        <v>4122</v>
      </c>
      <c r="O456" s="64" t="s">
        <v>74</v>
      </c>
      <c r="P456" s="65" t="str">
        <f>IFERROR(VLOOKUP(O456,PROVEEDORES!$A$3:$G$42,2,0),"")</f>
        <v>ABARROTES Y VERDURAS</v>
      </c>
      <c r="Q456" s="66" t="str">
        <f>IFERROR(VLOOKUP(O456,PROVEEDORES!$A$3:$G$42,4,0),"")</f>
        <v>santacatalina3@gmail.com</v>
      </c>
      <c r="R456" s="10" t="str">
        <f>IFERROR(VLOOKUP(O456,PROVEEDORES!$A$3:$G$42,5,0),"")</f>
        <v>56996996469</v>
      </c>
      <c r="S456" s="11">
        <v>7391</v>
      </c>
      <c r="T456" s="12">
        <f t="shared" si="22"/>
        <v>5817.666666666667</v>
      </c>
      <c r="U456" s="13">
        <f t="shared" si="23"/>
        <v>6399.4333333333343</v>
      </c>
    </row>
    <row r="457" spans="1:21" ht="15" customHeight="1" x14ac:dyDescent="0.35">
      <c r="A457" s="14" t="s">
        <v>583</v>
      </c>
      <c r="B457" s="15" t="s">
        <v>658</v>
      </c>
      <c r="C457" s="16" t="s">
        <v>219</v>
      </c>
      <c r="D457" s="17">
        <v>0.4</v>
      </c>
      <c r="E457" s="67" t="s">
        <v>41</v>
      </c>
      <c r="F457" s="68" t="str">
        <f>IFERROR(VLOOKUP(E457,PROVEEDORES!$A$3:$G$42,2,0),"")</f>
        <v>FRUTAS Y VERDURAS</v>
      </c>
      <c r="G457" s="69" t="str">
        <f>IFERROR(VLOOKUP(E457,PROVEEDORES!$A$3:$G$42,4,0),"")</f>
        <v>caseritaencasa@gmail.com</v>
      </c>
      <c r="H457" s="18" t="str">
        <f>IFERROR(VLOOKUP(E457,PROVEEDORES!$A$3:$G$42,5,0),"")</f>
        <v>56952069703</v>
      </c>
      <c r="I457" s="19">
        <v>3000</v>
      </c>
      <c r="J457" s="67" t="s">
        <v>102</v>
      </c>
      <c r="K457" s="68" t="str">
        <f>IFERROR(VLOOKUP(J457,PROVEEDORES!$A$3:$G$42,2,0),"")</f>
        <v>FRUTAS Y VERDURAS</v>
      </c>
      <c r="L457" s="69" t="str">
        <f>IFERROR(VLOOKUP(J457,PROVEEDORES!$A$3:$G$42,4,0),"")</f>
        <v>gescobargalvez@gmail.com</v>
      </c>
      <c r="M457" s="18">
        <f>IFERROR(VLOOKUP(J457,PROVEEDORES!$A$3:$G$42,5,0),"")</f>
        <v>0</v>
      </c>
      <c r="N457" s="19">
        <v>4719</v>
      </c>
      <c r="O457" s="67" t="s">
        <v>74</v>
      </c>
      <c r="P457" s="68" t="str">
        <f>IFERROR(VLOOKUP(O457,PROVEEDORES!$A$3:$G$42,2,0),"")</f>
        <v>ABARROTES Y VERDURAS</v>
      </c>
      <c r="Q457" s="69" t="str">
        <f>IFERROR(VLOOKUP(O457,PROVEEDORES!$A$3:$G$42,4,0),"")</f>
        <v>santacatalina3@gmail.com</v>
      </c>
      <c r="R457" s="18" t="str">
        <f>IFERROR(VLOOKUP(O457,PROVEEDORES!$A$3:$G$42,5,0),"")</f>
        <v>56996996469</v>
      </c>
      <c r="S457" s="19">
        <v>2564</v>
      </c>
      <c r="T457" s="20">
        <f t="shared" si="22"/>
        <v>3427.6666666666665</v>
      </c>
      <c r="U457" s="21">
        <f t="shared" si="23"/>
        <v>3770.4333333333334</v>
      </c>
    </row>
    <row r="458" spans="1:21" ht="15" customHeight="1" x14ac:dyDescent="0.35">
      <c r="A458" s="6" t="s">
        <v>583</v>
      </c>
      <c r="B458" s="7" t="s">
        <v>659</v>
      </c>
      <c r="C458" s="8" t="s">
        <v>239</v>
      </c>
      <c r="D458" s="9">
        <v>1.3325</v>
      </c>
      <c r="E458" s="64" t="s">
        <v>41</v>
      </c>
      <c r="F458" s="65" t="str">
        <f>IFERROR(VLOOKUP(E458,PROVEEDORES!$A$3:$G$42,2,0),"")</f>
        <v>FRUTAS Y VERDURAS</v>
      </c>
      <c r="G458" s="66" t="str">
        <f>IFERROR(VLOOKUP(E458,PROVEEDORES!$A$3:$G$42,4,0),"")</f>
        <v>caseritaencasa@gmail.com</v>
      </c>
      <c r="H458" s="10" t="str">
        <f>IFERROR(VLOOKUP(E458,PROVEEDORES!$A$3:$G$42,5,0),"")</f>
        <v>56952069703</v>
      </c>
      <c r="I458" s="11">
        <v>650</v>
      </c>
      <c r="J458" s="64" t="s">
        <v>102</v>
      </c>
      <c r="K458" s="65" t="str">
        <f>IFERROR(VLOOKUP(J458,PROVEEDORES!$A$3:$G$42,2,0),"")</f>
        <v>FRUTAS Y VERDURAS</v>
      </c>
      <c r="L458" s="66" t="str">
        <f>IFERROR(VLOOKUP(J458,PROVEEDORES!$A$3:$G$42,4,0),"")</f>
        <v>gescobargalvez@gmail.com</v>
      </c>
      <c r="M458" s="10">
        <f>IFERROR(VLOOKUP(J458,PROVEEDORES!$A$3:$G$42,5,0),"")</f>
        <v>0</v>
      </c>
      <c r="N458" s="11">
        <v>833</v>
      </c>
      <c r="O458" s="64" t="s">
        <v>74</v>
      </c>
      <c r="P458" s="65" t="str">
        <f>IFERROR(VLOOKUP(O458,PROVEEDORES!$A$3:$G$42,2,0),"")</f>
        <v>ABARROTES Y VERDURAS</v>
      </c>
      <c r="Q458" s="66" t="str">
        <f>IFERROR(VLOOKUP(O458,PROVEEDORES!$A$3:$G$42,4,0),"")</f>
        <v>santacatalina3@gmail.com</v>
      </c>
      <c r="R458" s="10" t="str">
        <f>IFERROR(VLOOKUP(O458,PROVEEDORES!$A$3:$G$42,5,0),"")</f>
        <v>56996996469</v>
      </c>
      <c r="S458" s="11">
        <v>511</v>
      </c>
      <c r="T458" s="12">
        <f t="shared" si="22"/>
        <v>664.66666666666663</v>
      </c>
      <c r="U458" s="13">
        <f t="shared" si="23"/>
        <v>731.13333333333333</v>
      </c>
    </row>
    <row r="459" spans="1:21" ht="15" customHeight="1" x14ac:dyDescent="0.35">
      <c r="A459" s="14" t="s">
        <v>583</v>
      </c>
      <c r="B459" s="15" t="s">
        <v>660</v>
      </c>
      <c r="C459" s="16" t="s">
        <v>219</v>
      </c>
      <c r="D459" s="17">
        <v>0.28000000000000003</v>
      </c>
      <c r="E459" s="67" t="s">
        <v>41</v>
      </c>
      <c r="F459" s="68" t="str">
        <f>IFERROR(VLOOKUP(E459,PROVEEDORES!$A$3:$G$42,2,0),"")</f>
        <v>FRUTAS Y VERDURAS</v>
      </c>
      <c r="G459" s="69" t="str">
        <f>IFERROR(VLOOKUP(E459,PROVEEDORES!$A$3:$G$42,4,0),"")</f>
        <v>caseritaencasa@gmail.com</v>
      </c>
      <c r="H459" s="18" t="str">
        <f>IFERROR(VLOOKUP(E459,PROVEEDORES!$A$3:$G$42,5,0),"")</f>
        <v>56952069703</v>
      </c>
      <c r="I459" s="19">
        <v>1950</v>
      </c>
      <c r="J459" s="67" t="s">
        <v>102</v>
      </c>
      <c r="K459" s="68" t="str">
        <f>IFERROR(VLOOKUP(J459,PROVEEDORES!$A$3:$G$42,2,0),"")</f>
        <v>FRUTAS Y VERDURAS</v>
      </c>
      <c r="L459" s="69" t="str">
        <f>IFERROR(VLOOKUP(J459,PROVEEDORES!$A$3:$G$42,4,0),"")</f>
        <v>gescobargalvez@gmail.com</v>
      </c>
      <c r="M459" s="18">
        <f>IFERROR(VLOOKUP(J459,PROVEEDORES!$A$3:$G$42,5,0),"")</f>
        <v>0</v>
      </c>
      <c r="N459" s="19">
        <v>1573</v>
      </c>
      <c r="O459" s="67" t="s">
        <v>74</v>
      </c>
      <c r="P459" s="68" t="str">
        <f>IFERROR(VLOOKUP(O459,PROVEEDORES!$A$3:$G$42,2,0),"")</f>
        <v>ABARROTES Y VERDURAS</v>
      </c>
      <c r="Q459" s="69" t="str">
        <f>IFERROR(VLOOKUP(O459,PROVEEDORES!$A$3:$G$42,4,0),"")</f>
        <v>santacatalina3@gmail.com</v>
      </c>
      <c r="R459" s="18" t="str">
        <f>IFERROR(VLOOKUP(O459,PROVEEDORES!$A$3:$G$42,5,0),"")</f>
        <v>56996996469</v>
      </c>
      <c r="S459" s="19">
        <v>3889</v>
      </c>
      <c r="T459" s="20">
        <f t="shared" si="22"/>
        <v>2470.6666666666665</v>
      </c>
      <c r="U459" s="21">
        <f t="shared" si="23"/>
        <v>2717.7333333333336</v>
      </c>
    </row>
    <row r="460" spans="1:21" ht="15" customHeight="1" x14ac:dyDescent="0.35">
      <c r="A460" s="6" t="s">
        <v>583</v>
      </c>
      <c r="B460" s="7" t="s">
        <v>661</v>
      </c>
      <c r="C460" s="8" t="s">
        <v>219</v>
      </c>
      <c r="D460" s="9">
        <v>0.49612499999999998</v>
      </c>
      <c r="E460" s="64" t="s">
        <v>41</v>
      </c>
      <c r="F460" s="65" t="str">
        <f>IFERROR(VLOOKUP(E460,PROVEEDORES!$A$3:$G$42,2,0),"")</f>
        <v>FRUTAS Y VERDURAS</v>
      </c>
      <c r="G460" s="66" t="str">
        <f>IFERROR(VLOOKUP(E460,PROVEEDORES!$A$3:$G$42,4,0),"")</f>
        <v>caseritaencasa@gmail.com</v>
      </c>
      <c r="H460" s="10" t="str">
        <f>IFERROR(VLOOKUP(E460,PROVEEDORES!$A$3:$G$42,5,0),"")</f>
        <v>56952069703</v>
      </c>
      <c r="I460" s="11">
        <v>2730</v>
      </c>
      <c r="J460" s="64" t="s">
        <v>102</v>
      </c>
      <c r="K460" s="65" t="str">
        <f>IFERROR(VLOOKUP(J460,PROVEEDORES!$A$3:$G$42,2,0),"")</f>
        <v>FRUTAS Y VERDURAS</v>
      </c>
      <c r="L460" s="66" t="str">
        <f>IFERROR(VLOOKUP(J460,PROVEEDORES!$A$3:$G$42,4,0),"")</f>
        <v>gescobargalvez@gmail.com</v>
      </c>
      <c r="M460" s="10">
        <f>IFERROR(VLOOKUP(J460,PROVEEDORES!$A$3:$G$42,5,0),"")</f>
        <v>0</v>
      </c>
      <c r="N460" s="11">
        <v>2075</v>
      </c>
      <c r="O460" s="64" t="s">
        <v>74</v>
      </c>
      <c r="P460" s="65" t="str">
        <f>IFERROR(VLOOKUP(O460,PROVEEDORES!$A$3:$G$42,2,0),"")</f>
        <v>ABARROTES Y VERDURAS</v>
      </c>
      <c r="Q460" s="66" t="str">
        <f>IFERROR(VLOOKUP(O460,PROVEEDORES!$A$3:$G$42,4,0),"")</f>
        <v>santacatalina3@gmail.com</v>
      </c>
      <c r="R460" s="10" t="str">
        <f>IFERROR(VLOOKUP(O460,PROVEEDORES!$A$3:$G$42,5,0),"")</f>
        <v>56996996469</v>
      </c>
      <c r="S460" s="11">
        <v>490</v>
      </c>
      <c r="T460" s="12">
        <f t="shared" si="22"/>
        <v>1765</v>
      </c>
      <c r="U460" s="13">
        <f t="shared" si="23"/>
        <v>1941.5000000000002</v>
      </c>
    </row>
    <row r="461" spans="1:21" ht="15" customHeight="1" x14ac:dyDescent="0.35">
      <c r="A461" s="14" t="s">
        <v>583</v>
      </c>
      <c r="B461" s="15" t="s">
        <v>662</v>
      </c>
      <c r="C461" s="16" t="s">
        <v>219</v>
      </c>
      <c r="D461" s="17">
        <v>7.0000000000000001E-3</v>
      </c>
      <c r="E461" s="67" t="s">
        <v>41</v>
      </c>
      <c r="F461" s="68" t="str">
        <f>IFERROR(VLOOKUP(E461,PROVEEDORES!$A$3:$G$42,2,0),"")</f>
        <v>FRUTAS Y VERDURAS</v>
      </c>
      <c r="G461" s="69" t="str">
        <f>IFERROR(VLOOKUP(E461,PROVEEDORES!$A$3:$G$42,4,0),"")</f>
        <v>caseritaencasa@gmail.com</v>
      </c>
      <c r="H461" s="18" t="str">
        <f>IFERROR(VLOOKUP(E461,PROVEEDORES!$A$3:$G$42,5,0),"")</f>
        <v>56952069703</v>
      </c>
      <c r="I461" s="19">
        <v>20825</v>
      </c>
      <c r="J461" s="67" t="s">
        <v>102</v>
      </c>
      <c r="K461" s="68" t="str">
        <f>IFERROR(VLOOKUP(J461,PROVEEDORES!$A$3:$G$42,2,0),"")</f>
        <v>FRUTAS Y VERDURAS</v>
      </c>
      <c r="L461" s="69" t="str">
        <f>IFERROR(VLOOKUP(J461,PROVEEDORES!$A$3:$G$42,4,0),"")</f>
        <v>gescobargalvez@gmail.com</v>
      </c>
      <c r="M461" s="18">
        <f>IFERROR(VLOOKUP(J461,PROVEEDORES!$A$3:$G$42,5,0),"")</f>
        <v>0</v>
      </c>
      <c r="N461" s="19">
        <v>18826</v>
      </c>
      <c r="O461" s="67" t="s">
        <v>74</v>
      </c>
      <c r="P461" s="68" t="str">
        <f>IFERROR(VLOOKUP(O461,PROVEEDORES!$A$3:$G$42,2,0),"")</f>
        <v>ABARROTES Y VERDURAS</v>
      </c>
      <c r="Q461" s="69" t="str">
        <f>IFERROR(VLOOKUP(O461,PROVEEDORES!$A$3:$G$42,4,0),"")</f>
        <v>santacatalina3@gmail.com</v>
      </c>
      <c r="R461" s="18" t="str">
        <f>IFERROR(VLOOKUP(O461,PROVEEDORES!$A$3:$G$42,5,0),"")</f>
        <v>56996996469</v>
      </c>
      <c r="S461" s="19">
        <v>-1762</v>
      </c>
      <c r="T461" s="20">
        <f t="shared" si="22"/>
        <v>12629.666666666666</v>
      </c>
      <c r="U461" s="21">
        <f t="shared" si="23"/>
        <v>13892.633333333333</v>
      </c>
    </row>
    <row r="462" spans="1:21" ht="15" customHeight="1" x14ac:dyDescent="0.35">
      <c r="A462" s="6" t="s">
        <v>583</v>
      </c>
      <c r="B462" s="7" t="s">
        <v>663</v>
      </c>
      <c r="C462" s="8" t="s">
        <v>239</v>
      </c>
      <c r="D462" s="9">
        <v>0.26</v>
      </c>
      <c r="E462" s="64" t="s">
        <v>41</v>
      </c>
      <c r="F462" s="65" t="str">
        <f>IFERROR(VLOOKUP(E462,PROVEEDORES!$A$3:$G$42,2,0),"")</f>
        <v>FRUTAS Y VERDURAS</v>
      </c>
      <c r="G462" s="66" t="str">
        <f>IFERROR(VLOOKUP(E462,PROVEEDORES!$A$3:$G$42,4,0),"")</f>
        <v>caseritaencasa@gmail.com</v>
      </c>
      <c r="H462" s="10" t="str">
        <f>IFERROR(VLOOKUP(E462,PROVEEDORES!$A$3:$G$42,5,0),"")</f>
        <v>56952069703</v>
      </c>
      <c r="I462" s="11">
        <v>1311</v>
      </c>
      <c r="J462" s="64" t="s">
        <v>102</v>
      </c>
      <c r="K462" s="65" t="str">
        <f>IFERROR(VLOOKUP(J462,PROVEEDORES!$A$3:$G$42,2,0),"")</f>
        <v>FRUTAS Y VERDURAS</v>
      </c>
      <c r="L462" s="66" t="str">
        <f>IFERROR(VLOOKUP(J462,PROVEEDORES!$A$3:$G$42,4,0),"")</f>
        <v>gescobargalvez@gmail.com</v>
      </c>
      <c r="M462" s="10">
        <f>IFERROR(VLOOKUP(J462,PROVEEDORES!$A$3:$G$42,5,0),"")</f>
        <v>0</v>
      </c>
      <c r="N462" s="11">
        <v>1374</v>
      </c>
      <c r="O462" s="64" t="s">
        <v>74</v>
      </c>
      <c r="P462" s="65" t="str">
        <f>IFERROR(VLOOKUP(O462,PROVEEDORES!$A$3:$G$42,2,0),"")</f>
        <v>ABARROTES Y VERDURAS</v>
      </c>
      <c r="Q462" s="66" t="str">
        <f>IFERROR(VLOOKUP(O462,PROVEEDORES!$A$3:$G$42,4,0),"")</f>
        <v>santacatalina3@gmail.com</v>
      </c>
      <c r="R462" s="10" t="str">
        <f>IFERROR(VLOOKUP(O462,PROVEEDORES!$A$3:$G$42,5,0),"")</f>
        <v>56996996469</v>
      </c>
      <c r="S462" s="11">
        <v>-47</v>
      </c>
      <c r="T462" s="12">
        <f t="shared" si="22"/>
        <v>879.33333333333337</v>
      </c>
      <c r="U462" s="13">
        <f t="shared" si="23"/>
        <v>967.26666666666677</v>
      </c>
    </row>
    <row r="463" spans="1:21" ht="15" customHeight="1" x14ac:dyDescent="0.35">
      <c r="A463" s="14" t="s">
        <v>583</v>
      </c>
      <c r="B463" s="15" t="s">
        <v>664</v>
      </c>
      <c r="C463" s="16" t="s">
        <v>239</v>
      </c>
      <c r="D463" s="17">
        <v>1.25</v>
      </c>
      <c r="E463" s="67" t="s">
        <v>41</v>
      </c>
      <c r="F463" s="68" t="str">
        <f>IFERROR(VLOOKUP(E463,PROVEEDORES!$A$3:$G$42,2,0),"")</f>
        <v>FRUTAS Y VERDURAS</v>
      </c>
      <c r="G463" s="69" t="str">
        <f>IFERROR(VLOOKUP(E463,PROVEEDORES!$A$3:$G$42,4,0),"")</f>
        <v>caseritaencasa@gmail.com</v>
      </c>
      <c r="H463" s="18" t="str">
        <f>IFERROR(VLOOKUP(E463,PROVEEDORES!$A$3:$G$42,5,0),"")</f>
        <v>56952069703</v>
      </c>
      <c r="I463" s="19">
        <v>546</v>
      </c>
      <c r="J463" s="67" t="s">
        <v>102</v>
      </c>
      <c r="K463" s="68" t="str">
        <f>IFERROR(VLOOKUP(J463,PROVEEDORES!$A$3:$G$42,2,0),"")</f>
        <v>FRUTAS Y VERDURAS</v>
      </c>
      <c r="L463" s="69" t="str">
        <f>IFERROR(VLOOKUP(J463,PROVEEDORES!$A$3:$G$42,4,0),"")</f>
        <v>gescobargalvez@gmail.com</v>
      </c>
      <c r="M463" s="18">
        <f>IFERROR(VLOOKUP(J463,PROVEEDORES!$A$3:$G$42,5,0),"")</f>
        <v>0</v>
      </c>
      <c r="N463" s="19">
        <v>154</v>
      </c>
      <c r="O463" s="67" t="s">
        <v>74</v>
      </c>
      <c r="P463" s="68" t="str">
        <f>IFERROR(VLOOKUP(O463,PROVEEDORES!$A$3:$G$42,2,0),"")</f>
        <v>ABARROTES Y VERDURAS</v>
      </c>
      <c r="Q463" s="69" t="str">
        <f>IFERROR(VLOOKUP(O463,PROVEEDORES!$A$3:$G$42,4,0),"")</f>
        <v>santacatalina3@gmail.com</v>
      </c>
      <c r="R463" s="18" t="str">
        <f>IFERROR(VLOOKUP(O463,PROVEEDORES!$A$3:$G$42,5,0),"")</f>
        <v>56996996469</v>
      </c>
      <c r="S463" s="19">
        <v>532</v>
      </c>
      <c r="T463" s="20">
        <f t="shared" si="22"/>
        <v>410.66666666666669</v>
      </c>
      <c r="U463" s="21">
        <f t="shared" si="23"/>
        <v>451.73333333333341</v>
      </c>
    </row>
    <row r="464" spans="1:21" ht="15" customHeight="1" x14ac:dyDescent="0.35">
      <c r="A464" s="6" t="s">
        <v>583</v>
      </c>
      <c r="B464" s="7" t="s">
        <v>665</v>
      </c>
      <c r="C464" s="8" t="s">
        <v>239</v>
      </c>
      <c r="D464" s="9">
        <v>4.9362500000000002</v>
      </c>
      <c r="E464" s="64" t="s">
        <v>41</v>
      </c>
      <c r="F464" s="65" t="str">
        <f>IFERROR(VLOOKUP(E464,PROVEEDORES!$A$3:$G$42,2,0),"")</f>
        <v>FRUTAS Y VERDURAS</v>
      </c>
      <c r="G464" s="66" t="str">
        <f>IFERROR(VLOOKUP(E464,PROVEEDORES!$A$3:$G$42,4,0),"")</f>
        <v>caseritaencasa@gmail.com</v>
      </c>
      <c r="H464" s="10" t="str">
        <f>IFERROR(VLOOKUP(E464,PROVEEDORES!$A$3:$G$42,5,0),"")</f>
        <v>56952069703</v>
      </c>
      <c r="I464" s="11">
        <v>1092</v>
      </c>
      <c r="J464" s="64" t="s">
        <v>102</v>
      </c>
      <c r="K464" s="65" t="str">
        <f>IFERROR(VLOOKUP(J464,PROVEEDORES!$A$3:$G$42,2,0),"")</f>
        <v>FRUTAS Y VERDURAS</v>
      </c>
      <c r="L464" s="66" t="str">
        <f>IFERROR(VLOOKUP(J464,PROVEEDORES!$A$3:$G$42,4,0),"")</f>
        <v>gescobargalvez@gmail.com</v>
      </c>
      <c r="M464" s="10">
        <f>IFERROR(VLOOKUP(J464,PROVEEDORES!$A$3:$G$42,5,0),"")</f>
        <v>0</v>
      </c>
      <c r="N464" s="11">
        <v>684</v>
      </c>
      <c r="O464" s="64" t="s">
        <v>74</v>
      </c>
      <c r="P464" s="65" t="str">
        <f>IFERROR(VLOOKUP(O464,PROVEEDORES!$A$3:$G$42,2,0),"")</f>
        <v>ABARROTES Y VERDURAS</v>
      </c>
      <c r="Q464" s="66" t="str">
        <f>IFERROR(VLOOKUP(O464,PROVEEDORES!$A$3:$G$42,4,0),"")</f>
        <v>santacatalina3@gmail.com</v>
      </c>
      <c r="R464" s="10" t="str">
        <f>IFERROR(VLOOKUP(O464,PROVEEDORES!$A$3:$G$42,5,0),"")</f>
        <v>56996996469</v>
      </c>
      <c r="S464" s="11">
        <v>16</v>
      </c>
      <c r="T464" s="12">
        <f t="shared" si="22"/>
        <v>597.33333333333337</v>
      </c>
      <c r="U464" s="13">
        <f t="shared" si="23"/>
        <v>657.06666666666672</v>
      </c>
    </row>
    <row r="465" spans="1:21" ht="15" customHeight="1" x14ac:dyDescent="0.35">
      <c r="A465" s="14" t="s">
        <v>583</v>
      </c>
      <c r="B465" s="15" t="s">
        <v>666</v>
      </c>
      <c r="C465" s="16" t="s">
        <v>239</v>
      </c>
      <c r="D465" s="17">
        <v>1.0649999999999999</v>
      </c>
      <c r="E465" s="67" t="s">
        <v>41</v>
      </c>
      <c r="F465" s="68" t="str">
        <f>IFERROR(VLOOKUP(E465,PROVEEDORES!$A$3:$G$42,2,0),"")</f>
        <v>FRUTAS Y VERDURAS</v>
      </c>
      <c r="G465" s="69" t="str">
        <f>IFERROR(VLOOKUP(E465,PROVEEDORES!$A$3:$G$42,4,0),"")</f>
        <v>caseritaencasa@gmail.com</v>
      </c>
      <c r="H465" s="18" t="str">
        <f>IFERROR(VLOOKUP(E465,PROVEEDORES!$A$3:$G$42,5,0),"")</f>
        <v>56952069703</v>
      </c>
      <c r="I465" s="19">
        <v>765</v>
      </c>
      <c r="J465" s="67" t="s">
        <v>102</v>
      </c>
      <c r="K465" s="68" t="str">
        <f>IFERROR(VLOOKUP(J465,PROVEEDORES!$A$3:$G$42,2,0),"")</f>
        <v>FRUTAS Y VERDURAS</v>
      </c>
      <c r="L465" s="69" t="str">
        <f>IFERROR(VLOOKUP(J465,PROVEEDORES!$A$3:$G$42,4,0),"")</f>
        <v>gescobargalvez@gmail.com</v>
      </c>
      <c r="M465" s="18">
        <f>IFERROR(VLOOKUP(J465,PROVEEDORES!$A$3:$G$42,5,0),"")</f>
        <v>0</v>
      </c>
      <c r="N465" s="19">
        <v>1210</v>
      </c>
      <c r="O465" s="67" t="s">
        <v>74</v>
      </c>
      <c r="P465" s="68" t="str">
        <f>IFERROR(VLOOKUP(O465,PROVEEDORES!$A$3:$G$42,2,0),"")</f>
        <v>ABARROTES Y VERDURAS</v>
      </c>
      <c r="Q465" s="69" t="str">
        <f>IFERROR(VLOOKUP(O465,PROVEEDORES!$A$3:$G$42,4,0),"")</f>
        <v>santacatalina3@gmail.com</v>
      </c>
      <c r="R465" s="18" t="str">
        <f>IFERROR(VLOOKUP(O465,PROVEEDORES!$A$3:$G$42,5,0),"")</f>
        <v>56996996469</v>
      </c>
      <c r="S465" s="19">
        <v>681</v>
      </c>
      <c r="T465" s="20">
        <f t="shared" si="22"/>
        <v>885.33333333333337</v>
      </c>
      <c r="U465" s="21">
        <f t="shared" si="23"/>
        <v>973.86666666666679</v>
      </c>
    </row>
    <row r="466" spans="1:21" ht="15" customHeight="1" x14ac:dyDescent="0.35">
      <c r="A466" s="6" t="s">
        <v>583</v>
      </c>
      <c r="B466" s="7" t="s">
        <v>667</v>
      </c>
      <c r="C466" s="8" t="s">
        <v>239</v>
      </c>
      <c r="D466" s="9">
        <v>0.17249999999999999</v>
      </c>
      <c r="E466" s="64" t="s">
        <v>41</v>
      </c>
      <c r="F466" s="65" t="str">
        <f>IFERROR(VLOOKUP(E466,PROVEEDORES!$A$3:$G$42,2,0),"")</f>
        <v>FRUTAS Y VERDURAS</v>
      </c>
      <c r="G466" s="66" t="str">
        <f>IFERROR(VLOOKUP(E466,PROVEEDORES!$A$3:$G$42,4,0),"")</f>
        <v>caseritaencasa@gmail.com</v>
      </c>
      <c r="H466" s="10" t="str">
        <f>IFERROR(VLOOKUP(E466,PROVEEDORES!$A$3:$G$42,5,0),"")</f>
        <v>56952069703</v>
      </c>
      <c r="I466" s="11">
        <v>3059</v>
      </c>
      <c r="J466" s="64" t="s">
        <v>102</v>
      </c>
      <c r="K466" s="65" t="str">
        <f>IFERROR(VLOOKUP(J466,PROVEEDORES!$A$3:$G$42,2,0),"")</f>
        <v>FRUTAS Y VERDURAS</v>
      </c>
      <c r="L466" s="66" t="str">
        <f>IFERROR(VLOOKUP(J466,PROVEEDORES!$A$3:$G$42,4,0),"")</f>
        <v>gescobargalvez@gmail.com</v>
      </c>
      <c r="M466" s="10">
        <f>IFERROR(VLOOKUP(J466,PROVEEDORES!$A$3:$G$42,5,0),"")</f>
        <v>0</v>
      </c>
      <c r="N466" s="11">
        <v>4009</v>
      </c>
      <c r="O466" s="64" t="s">
        <v>74</v>
      </c>
      <c r="P466" s="65" t="str">
        <f>IFERROR(VLOOKUP(O466,PROVEEDORES!$A$3:$G$42,2,0),"")</f>
        <v>ABARROTES Y VERDURAS</v>
      </c>
      <c r="Q466" s="66" t="str">
        <f>IFERROR(VLOOKUP(O466,PROVEEDORES!$A$3:$G$42,4,0),"")</f>
        <v>santacatalina3@gmail.com</v>
      </c>
      <c r="R466" s="10" t="str">
        <f>IFERROR(VLOOKUP(O466,PROVEEDORES!$A$3:$G$42,5,0),"")</f>
        <v>56996996469</v>
      </c>
      <c r="S466" s="11">
        <v>946</v>
      </c>
      <c r="T466" s="12">
        <f t="shared" si="22"/>
        <v>2671.3333333333335</v>
      </c>
      <c r="U466" s="13">
        <f t="shared" si="23"/>
        <v>2938.4666666666672</v>
      </c>
    </row>
    <row r="467" spans="1:21" ht="15" customHeight="1" x14ac:dyDescent="0.35">
      <c r="A467" s="14" t="s">
        <v>583</v>
      </c>
      <c r="B467" s="15" t="s">
        <v>668</v>
      </c>
      <c r="C467" s="16" t="s">
        <v>219</v>
      </c>
      <c r="D467" s="17">
        <v>1.3875</v>
      </c>
      <c r="E467" s="67" t="s">
        <v>41</v>
      </c>
      <c r="F467" s="68" t="str">
        <f>IFERROR(VLOOKUP(E467,PROVEEDORES!$A$3:$G$42,2,0),"")</f>
        <v>FRUTAS Y VERDURAS</v>
      </c>
      <c r="G467" s="69" t="str">
        <f>IFERROR(VLOOKUP(E467,PROVEEDORES!$A$3:$G$42,4,0),"")</f>
        <v>caseritaencasa@gmail.com</v>
      </c>
      <c r="H467" s="18" t="str">
        <f>IFERROR(VLOOKUP(E467,PROVEEDORES!$A$3:$G$42,5,0),"")</f>
        <v>56952069703</v>
      </c>
      <c r="I467" s="19">
        <v>1529</v>
      </c>
      <c r="J467" s="67" t="s">
        <v>102</v>
      </c>
      <c r="K467" s="68" t="str">
        <f>IFERROR(VLOOKUP(J467,PROVEEDORES!$A$3:$G$42,2,0),"")</f>
        <v>FRUTAS Y VERDURAS</v>
      </c>
      <c r="L467" s="69" t="str">
        <f>IFERROR(VLOOKUP(J467,PROVEEDORES!$A$3:$G$42,4,0),"")</f>
        <v>gescobargalvez@gmail.com</v>
      </c>
      <c r="M467" s="18">
        <f>IFERROR(VLOOKUP(J467,PROVEEDORES!$A$3:$G$42,5,0),"")</f>
        <v>0</v>
      </c>
      <c r="N467" s="19">
        <v>2274</v>
      </c>
      <c r="O467" s="67" t="s">
        <v>74</v>
      </c>
      <c r="P467" s="68" t="str">
        <f>IFERROR(VLOOKUP(O467,PROVEEDORES!$A$3:$G$42,2,0),"")</f>
        <v>ABARROTES Y VERDURAS</v>
      </c>
      <c r="Q467" s="69" t="str">
        <f>IFERROR(VLOOKUP(O467,PROVEEDORES!$A$3:$G$42,4,0),"")</f>
        <v>santacatalina3@gmail.com</v>
      </c>
      <c r="R467" s="18" t="str">
        <f>IFERROR(VLOOKUP(O467,PROVEEDORES!$A$3:$G$42,5,0),"")</f>
        <v>56996996469</v>
      </c>
      <c r="S467" s="19">
        <v>2437</v>
      </c>
      <c r="T467" s="20">
        <f t="shared" si="22"/>
        <v>2080</v>
      </c>
      <c r="U467" s="21">
        <f t="shared" si="23"/>
        <v>2288</v>
      </c>
    </row>
    <row r="468" spans="1:21" ht="15" customHeight="1" x14ac:dyDescent="0.35">
      <c r="A468" s="6" t="s">
        <v>583</v>
      </c>
      <c r="B468" s="7" t="s">
        <v>669</v>
      </c>
      <c r="C468" s="8" t="s">
        <v>219</v>
      </c>
      <c r="D468" s="9">
        <v>9.4500000000000001E-2</v>
      </c>
      <c r="E468" s="64" t="s">
        <v>41</v>
      </c>
      <c r="F468" s="65" t="str">
        <f>IFERROR(VLOOKUP(E468,PROVEEDORES!$A$3:$G$42,2,0),"")</f>
        <v>FRUTAS Y VERDURAS</v>
      </c>
      <c r="G468" s="66" t="str">
        <f>IFERROR(VLOOKUP(E468,PROVEEDORES!$A$3:$G$42,4,0),"")</f>
        <v>caseritaencasa@gmail.com</v>
      </c>
      <c r="H468" s="10" t="str">
        <f>IFERROR(VLOOKUP(E468,PROVEEDORES!$A$3:$G$42,5,0),"")</f>
        <v>56952069703</v>
      </c>
      <c r="I468" s="11">
        <v>2185</v>
      </c>
      <c r="J468" s="64" t="s">
        <v>102</v>
      </c>
      <c r="K468" s="65" t="str">
        <f>IFERROR(VLOOKUP(J468,PROVEEDORES!$A$3:$G$42,2,0),"")</f>
        <v>FRUTAS Y VERDURAS</v>
      </c>
      <c r="L468" s="66" t="str">
        <f>IFERROR(VLOOKUP(J468,PROVEEDORES!$A$3:$G$42,4,0),"")</f>
        <v>gescobargalvez@gmail.com</v>
      </c>
      <c r="M468" s="10">
        <f>IFERROR(VLOOKUP(J468,PROVEEDORES!$A$3:$G$42,5,0),"")</f>
        <v>0</v>
      </c>
      <c r="N468" s="11">
        <v>2647</v>
      </c>
      <c r="O468" s="64" t="s">
        <v>74</v>
      </c>
      <c r="P468" s="65" t="str">
        <f>IFERROR(VLOOKUP(O468,PROVEEDORES!$A$3:$G$42,2,0),"")</f>
        <v>ABARROTES Y VERDURAS</v>
      </c>
      <c r="Q468" s="66" t="str">
        <f>IFERROR(VLOOKUP(O468,PROVEEDORES!$A$3:$G$42,4,0),"")</f>
        <v>santacatalina3@gmail.com</v>
      </c>
      <c r="R468" s="10" t="str">
        <f>IFERROR(VLOOKUP(O468,PROVEEDORES!$A$3:$G$42,5,0),"")</f>
        <v>56996996469</v>
      </c>
      <c r="S468" s="11">
        <v>272</v>
      </c>
      <c r="T468" s="12">
        <f t="shared" si="22"/>
        <v>1701.3333333333333</v>
      </c>
      <c r="U468" s="13">
        <f t="shared" si="23"/>
        <v>1871.4666666666667</v>
      </c>
    </row>
    <row r="469" spans="1:21" ht="15" customHeight="1" x14ac:dyDescent="0.35">
      <c r="A469" s="14" t="s">
        <v>583</v>
      </c>
      <c r="B469" s="15" t="s">
        <v>670</v>
      </c>
      <c r="C469" s="16" t="s">
        <v>239</v>
      </c>
      <c r="D469" s="17">
        <v>2.98</v>
      </c>
      <c r="E469" s="67" t="s">
        <v>41</v>
      </c>
      <c r="F469" s="68" t="str">
        <f>IFERROR(VLOOKUP(E469,PROVEEDORES!$A$3:$G$42,2,0),"")</f>
        <v>FRUTAS Y VERDURAS</v>
      </c>
      <c r="G469" s="69" t="str">
        <f>IFERROR(VLOOKUP(E469,PROVEEDORES!$A$3:$G$42,4,0),"")</f>
        <v>caseritaencasa@gmail.com</v>
      </c>
      <c r="H469" s="18" t="str">
        <f>IFERROR(VLOOKUP(E469,PROVEEDORES!$A$3:$G$42,5,0),"")</f>
        <v>56952069703</v>
      </c>
      <c r="I469" s="19">
        <v>1311</v>
      </c>
      <c r="J469" s="67" t="s">
        <v>102</v>
      </c>
      <c r="K469" s="68" t="str">
        <f>IFERROR(VLOOKUP(J469,PROVEEDORES!$A$3:$G$42,2,0),"")</f>
        <v>FRUTAS Y VERDURAS</v>
      </c>
      <c r="L469" s="69" t="str">
        <f>IFERROR(VLOOKUP(J469,PROVEEDORES!$A$3:$G$42,4,0),"")</f>
        <v>gescobargalvez@gmail.com</v>
      </c>
      <c r="M469" s="18">
        <f>IFERROR(VLOOKUP(J469,PROVEEDORES!$A$3:$G$42,5,0),"")</f>
        <v>0</v>
      </c>
      <c r="N469" s="19">
        <v>1051</v>
      </c>
      <c r="O469" s="67" t="s">
        <v>74</v>
      </c>
      <c r="P469" s="68" t="str">
        <f>IFERROR(VLOOKUP(O469,PROVEEDORES!$A$3:$G$42,2,0),"")</f>
        <v>ABARROTES Y VERDURAS</v>
      </c>
      <c r="Q469" s="69" t="str">
        <f>IFERROR(VLOOKUP(O469,PROVEEDORES!$A$3:$G$42,4,0),"")</f>
        <v>santacatalina3@gmail.com</v>
      </c>
      <c r="R469" s="18" t="str">
        <f>IFERROR(VLOOKUP(O469,PROVEEDORES!$A$3:$G$42,5,0),"")</f>
        <v>56996996469</v>
      </c>
      <c r="S469" s="19">
        <v>79</v>
      </c>
      <c r="T469" s="20">
        <f t="shared" si="22"/>
        <v>813.66666666666663</v>
      </c>
      <c r="U469" s="21">
        <f t="shared" si="23"/>
        <v>895.03333333333342</v>
      </c>
    </row>
    <row r="470" spans="1:21" ht="15" customHeight="1" x14ac:dyDescent="0.35">
      <c r="A470" s="6" t="s">
        <v>583</v>
      </c>
      <c r="B470" s="7" t="s">
        <v>671</v>
      </c>
      <c r="C470" s="8" t="s">
        <v>219</v>
      </c>
      <c r="D470" s="9">
        <v>7.4999999999999997E-2</v>
      </c>
      <c r="E470" s="64" t="s">
        <v>41</v>
      </c>
      <c r="F470" s="65" t="str">
        <f>IFERROR(VLOOKUP(E470,PROVEEDORES!$A$3:$G$42,2,0),"")</f>
        <v>FRUTAS Y VERDURAS</v>
      </c>
      <c r="G470" s="66" t="str">
        <f>IFERROR(VLOOKUP(E470,PROVEEDORES!$A$3:$G$42,4,0),"")</f>
        <v>caseritaencasa@gmail.com</v>
      </c>
      <c r="H470" s="10" t="str">
        <f>IFERROR(VLOOKUP(E470,PROVEEDORES!$A$3:$G$42,5,0),"")</f>
        <v>56952069703</v>
      </c>
      <c r="I470" s="11">
        <v>10000</v>
      </c>
      <c r="J470" s="64" t="s">
        <v>102</v>
      </c>
      <c r="K470" s="65" t="str">
        <f>IFERROR(VLOOKUP(J470,PROVEEDORES!$A$3:$G$42,2,0),"")</f>
        <v>FRUTAS Y VERDURAS</v>
      </c>
      <c r="L470" s="66" t="str">
        <f>IFERROR(VLOOKUP(J470,PROVEEDORES!$A$3:$G$42,4,0),"")</f>
        <v>gescobargalvez@gmail.com</v>
      </c>
      <c r="M470" s="10">
        <f>IFERROR(VLOOKUP(J470,PROVEEDORES!$A$3:$G$42,5,0),"")</f>
        <v>0</v>
      </c>
      <c r="N470" s="11">
        <v>6970</v>
      </c>
      <c r="O470" s="64" t="s">
        <v>74</v>
      </c>
      <c r="P470" s="65" t="str">
        <f>IFERROR(VLOOKUP(O470,PROVEEDORES!$A$3:$G$42,2,0),"")</f>
        <v>ABARROTES Y VERDURAS</v>
      </c>
      <c r="Q470" s="66" t="str">
        <f>IFERROR(VLOOKUP(O470,PROVEEDORES!$A$3:$G$42,4,0),"")</f>
        <v>santacatalina3@gmail.com</v>
      </c>
      <c r="R470" s="10" t="str">
        <f>IFERROR(VLOOKUP(O470,PROVEEDORES!$A$3:$G$42,5,0),"")</f>
        <v>56996996469</v>
      </c>
      <c r="S470" s="11">
        <v>20472</v>
      </c>
      <c r="T470" s="12">
        <f t="shared" si="22"/>
        <v>12480.666666666666</v>
      </c>
      <c r="U470" s="13">
        <f t="shared" si="23"/>
        <v>13728.733333333334</v>
      </c>
    </row>
    <row r="471" spans="1:21" ht="15" customHeight="1" x14ac:dyDescent="0.35">
      <c r="A471" s="14" t="s">
        <v>583</v>
      </c>
      <c r="B471" s="15" t="s">
        <v>672</v>
      </c>
      <c r="C471" s="16" t="s">
        <v>239</v>
      </c>
      <c r="D471" s="17">
        <v>0.185</v>
      </c>
      <c r="E471" s="67" t="s">
        <v>41</v>
      </c>
      <c r="F471" s="68" t="str">
        <f>IFERROR(VLOOKUP(E471,PROVEEDORES!$A$3:$G$42,2,0),"")</f>
        <v>FRUTAS Y VERDURAS</v>
      </c>
      <c r="G471" s="69" t="str">
        <f>IFERROR(VLOOKUP(E471,PROVEEDORES!$A$3:$G$42,4,0),"")</f>
        <v>caseritaencasa@gmail.com</v>
      </c>
      <c r="H471" s="18" t="str">
        <f>IFERROR(VLOOKUP(E471,PROVEEDORES!$A$3:$G$42,5,0),"")</f>
        <v>56952069703</v>
      </c>
      <c r="I471" s="19">
        <v>1850</v>
      </c>
      <c r="J471" s="67" t="s">
        <v>102</v>
      </c>
      <c r="K471" s="68" t="str">
        <f>IFERROR(VLOOKUP(J471,PROVEEDORES!$A$3:$G$42,2,0),"")</f>
        <v>FRUTAS Y VERDURAS</v>
      </c>
      <c r="L471" s="69" t="str">
        <f>IFERROR(VLOOKUP(J471,PROVEEDORES!$A$3:$G$42,4,0),"")</f>
        <v>gescobargalvez@gmail.com</v>
      </c>
      <c r="M471" s="18">
        <f>IFERROR(VLOOKUP(J471,PROVEEDORES!$A$3:$G$42,5,0),"")</f>
        <v>0</v>
      </c>
      <c r="N471" s="19">
        <v>2397</v>
      </c>
      <c r="O471" s="67" t="s">
        <v>74</v>
      </c>
      <c r="P471" s="68" t="str">
        <f>IFERROR(VLOOKUP(O471,PROVEEDORES!$A$3:$G$42,2,0),"")</f>
        <v>ABARROTES Y VERDURAS</v>
      </c>
      <c r="Q471" s="69" t="str">
        <f>IFERROR(VLOOKUP(O471,PROVEEDORES!$A$3:$G$42,4,0),"")</f>
        <v>santacatalina3@gmail.com</v>
      </c>
      <c r="R471" s="18" t="str">
        <f>IFERROR(VLOOKUP(O471,PROVEEDORES!$A$3:$G$42,5,0),"")</f>
        <v>56996996469</v>
      </c>
      <c r="S471" s="19">
        <v>1976</v>
      </c>
      <c r="T471" s="20">
        <f t="shared" si="22"/>
        <v>2074.3333333333335</v>
      </c>
      <c r="U471" s="21">
        <f t="shared" si="23"/>
        <v>2281.7666666666669</v>
      </c>
    </row>
    <row r="472" spans="1:21" ht="15" customHeight="1" x14ac:dyDescent="0.35">
      <c r="A472" s="6" t="s">
        <v>583</v>
      </c>
      <c r="B472" s="7" t="s">
        <v>673</v>
      </c>
      <c r="C472" s="8" t="s">
        <v>239</v>
      </c>
      <c r="D472" s="9">
        <v>0.14937500000000001</v>
      </c>
      <c r="E472" s="64" t="s">
        <v>41</v>
      </c>
      <c r="F472" s="65" t="str">
        <f>IFERROR(VLOOKUP(E472,PROVEEDORES!$A$3:$G$42,2,0),"")</f>
        <v>FRUTAS Y VERDURAS</v>
      </c>
      <c r="G472" s="66" t="str">
        <f>IFERROR(VLOOKUP(E472,PROVEEDORES!$A$3:$G$42,4,0),"")</f>
        <v>caseritaencasa@gmail.com</v>
      </c>
      <c r="H472" s="10" t="str">
        <f>IFERROR(VLOOKUP(E472,PROVEEDORES!$A$3:$G$42,5,0),"")</f>
        <v>56952069703</v>
      </c>
      <c r="I472" s="11">
        <v>2185</v>
      </c>
      <c r="J472" s="64" t="s">
        <v>102</v>
      </c>
      <c r="K472" s="65" t="str">
        <f>IFERROR(VLOOKUP(J472,PROVEEDORES!$A$3:$G$42,2,0),"")</f>
        <v>FRUTAS Y VERDURAS</v>
      </c>
      <c r="L472" s="66" t="str">
        <f>IFERROR(VLOOKUP(J472,PROVEEDORES!$A$3:$G$42,4,0),"")</f>
        <v>gescobargalvez@gmail.com</v>
      </c>
      <c r="M472" s="10">
        <f>IFERROR(VLOOKUP(J472,PROVEEDORES!$A$3:$G$42,5,0),"")</f>
        <v>0</v>
      </c>
      <c r="N472" s="11">
        <v>2133</v>
      </c>
      <c r="O472" s="64" t="s">
        <v>74</v>
      </c>
      <c r="P472" s="65" t="str">
        <f>IFERROR(VLOOKUP(O472,PROVEEDORES!$A$3:$G$42,2,0),"")</f>
        <v>ABARROTES Y VERDURAS</v>
      </c>
      <c r="Q472" s="66" t="str">
        <f>IFERROR(VLOOKUP(O472,PROVEEDORES!$A$3:$G$42,4,0),"")</f>
        <v>santacatalina3@gmail.com</v>
      </c>
      <c r="R472" s="10" t="str">
        <f>IFERROR(VLOOKUP(O472,PROVEEDORES!$A$3:$G$42,5,0),"")</f>
        <v>56996996469</v>
      </c>
      <c r="S472" s="11">
        <v>483</v>
      </c>
      <c r="T472" s="12">
        <f t="shared" si="22"/>
        <v>1600.3333333333333</v>
      </c>
      <c r="U472" s="13">
        <f t="shared" si="23"/>
        <v>1760.3666666666668</v>
      </c>
    </row>
    <row r="473" spans="1:21" ht="15" customHeight="1" x14ac:dyDescent="0.35">
      <c r="A473" s="14" t="s">
        <v>583</v>
      </c>
      <c r="B473" s="15" t="s">
        <v>674</v>
      </c>
      <c r="C473" s="16" t="s">
        <v>219</v>
      </c>
      <c r="D473" s="17">
        <v>9.3812499999999993E-2</v>
      </c>
      <c r="E473" s="67" t="s">
        <v>41</v>
      </c>
      <c r="F473" s="68" t="str">
        <f>IFERROR(VLOOKUP(E473,PROVEEDORES!$A$3:$G$42,2,0),"")</f>
        <v>FRUTAS Y VERDURAS</v>
      </c>
      <c r="G473" s="69" t="str">
        <f>IFERROR(VLOOKUP(E473,PROVEEDORES!$A$3:$G$42,4,0),"")</f>
        <v>caseritaencasa@gmail.com</v>
      </c>
      <c r="H473" s="18" t="str">
        <f>IFERROR(VLOOKUP(E473,PROVEEDORES!$A$3:$G$42,5,0),"")</f>
        <v>56952069703</v>
      </c>
      <c r="I473" s="19">
        <v>13500</v>
      </c>
      <c r="J473" s="67" t="s">
        <v>102</v>
      </c>
      <c r="K473" s="68" t="str">
        <f>IFERROR(VLOOKUP(J473,PROVEEDORES!$A$3:$G$42,2,0),"")</f>
        <v>FRUTAS Y VERDURAS</v>
      </c>
      <c r="L473" s="69" t="str">
        <f>IFERROR(VLOOKUP(J473,PROVEEDORES!$A$3:$G$42,4,0),"")</f>
        <v>gescobargalvez@gmail.com</v>
      </c>
      <c r="M473" s="18">
        <f>IFERROR(VLOOKUP(J473,PROVEEDORES!$A$3:$G$42,5,0),"")</f>
        <v>0</v>
      </c>
      <c r="N473" s="19">
        <v>14209</v>
      </c>
      <c r="O473" s="67" t="s">
        <v>74</v>
      </c>
      <c r="P473" s="68" t="str">
        <f>IFERROR(VLOOKUP(O473,PROVEEDORES!$A$3:$G$42,2,0),"")</f>
        <v>ABARROTES Y VERDURAS</v>
      </c>
      <c r="Q473" s="69" t="str">
        <f>IFERROR(VLOOKUP(O473,PROVEEDORES!$A$3:$G$42,4,0),"")</f>
        <v>santacatalina3@gmail.com</v>
      </c>
      <c r="R473" s="18" t="str">
        <f>IFERROR(VLOOKUP(O473,PROVEEDORES!$A$3:$G$42,5,0),"")</f>
        <v>56996996469</v>
      </c>
      <c r="S473" s="19">
        <v>2630</v>
      </c>
      <c r="T473" s="20">
        <f t="shared" si="22"/>
        <v>10113</v>
      </c>
      <c r="U473" s="21">
        <f t="shared" si="23"/>
        <v>11124.300000000001</v>
      </c>
    </row>
    <row r="474" spans="1:21" ht="15" customHeight="1" x14ac:dyDescent="0.35">
      <c r="A474" s="6" t="s">
        <v>583</v>
      </c>
      <c r="B474" s="7" t="s">
        <v>675</v>
      </c>
      <c r="C474" s="8" t="s">
        <v>219</v>
      </c>
      <c r="D474" s="9">
        <v>0.01</v>
      </c>
      <c r="E474" s="64" t="s">
        <v>41</v>
      </c>
      <c r="F474" s="65" t="str">
        <f>IFERROR(VLOOKUP(E474,PROVEEDORES!$A$3:$G$42,2,0),"")</f>
        <v>FRUTAS Y VERDURAS</v>
      </c>
      <c r="G474" s="66" t="str">
        <f>IFERROR(VLOOKUP(E474,PROVEEDORES!$A$3:$G$42,4,0),"")</f>
        <v>caseritaencasa@gmail.com</v>
      </c>
      <c r="H474" s="10" t="str">
        <f>IFERROR(VLOOKUP(E474,PROVEEDORES!$A$3:$G$42,5,0),"")</f>
        <v>56952069703</v>
      </c>
      <c r="I474" s="11">
        <v>6800</v>
      </c>
      <c r="J474" s="64" t="s">
        <v>102</v>
      </c>
      <c r="K474" s="65" t="str">
        <f>IFERROR(VLOOKUP(J474,PROVEEDORES!$A$3:$G$42,2,0),"")</f>
        <v>FRUTAS Y VERDURAS</v>
      </c>
      <c r="L474" s="66" t="str">
        <f>IFERROR(VLOOKUP(J474,PROVEEDORES!$A$3:$G$42,4,0),"")</f>
        <v>gescobargalvez@gmail.com</v>
      </c>
      <c r="M474" s="10">
        <f>IFERROR(VLOOKUP(J474,PROVEEDORES!$A$3:$G$42,5,0),"")</f>
        <v>0</v>
      </c>
      <c r="N474" s="11">
        <v>6331</v>
      </c>
      <c r="O474" s="64" t="s">
        <v>74</v>
      </c>
      <c r="P474" s="65" t="str">
        <f>IFERROR(VLOOKUP(O474,PROVEEDORES!$A$3:$G$42,2,0),"")</f>
        <v>ABARROTES Y VERDURAS</v>
      </c>
      <c r="Q474" s="66" t="str">
        <f>IFERROR(VLOOKUP(O474,PROVEEDORES!$A$3:$G$42,4,0),"")</f>
        <v>santacatalina3@gmail.com</v>
      </c>
      <c r="R474" s="10" t="str">
        <f>IFERROR(VLOOKUP(O474,PROVEEDORES!$A$3:$G$42,5,0),"")</f>
        <v>56996996469</v>
      </c>
      <c r="S474" s="11">
        <v>10061</v>
      </c>
      <c r="T474" s="12">
        <f t="shared" si="22"/>
        <v>7730.666666666667</v>
      </c>
      <c r="U474" s="13">
        <f t="shared" si="23"/>
        <v>8503.7333333333336</v>
      </c>
    </row>
    <row r="475" spans="1:21" ht="15" customHeight="1" x14ac:dyDescent="0.35">
      <c r="A475" s="14" t="s">
        <v>583</v>
      </c>
      <c r="B475" s="15" t="s">
        <v>676</v>
      </c>
      <c r="C475" s="16" t="s">
        <v>219</v>
      </c>
      <c r="D475" s="17">
        <v>8.1249999999999996E-4</v>
      </c>
      <c r="E475" s="67" t="s">
        <v>41</v>
      </c>
      <c r="F475" s="68" t="str">
        <f>IFERROR(VLOOKUP(E475,PROVEEDORES!$A$3:$G$42,2,0),"")</f>
        <v>FRUTAS Y VERDURAS</v>
      </c>
      <c r="G475" s="69" t="str">
        <f>IFERROR(VLOOKUP(E475,PROVEEDORES!$A$3:$G$42,4,0),"")</f>
        <v>caseritaencasa@gmail.com</v>
      </c>
      <c r="H475" s="18" t="str">
        <f>IFERROR(VLOOKUP(E475,PROVEEDORES!$A$3:$G$42,5,0),"")</f>
        <v>56952069703</v>
      </c>
      <c r="I475" s="19">
        <v>21848</v>
      </c>
      <c r="J475" s="67" t="s">
        <v>102</v>
      </c>
      <c r="K475" s="68" t="str">
        <f>IFERROR(VLOOKUP(J475,PROVEEDORES!$A$3:$G$42,2,0),"")</f>
        <v>FRUTAS Y VERDURAS</v>
      </c>
      <c r="L475" s="69" t="str">
        <f>IFERROR(VLOOKUP(J475,PROVEEDORES!$A$3:$G$42,4,0),"")</f>
        <v>gescobargalvez@gmail.com</v>
      </c>
      <c r="M475" s="18">
        <f>IFERROR(VLOOKUP(J475,PROVEEDORES!$A$3:$G$42,5,0),"")</f>
        <v>0</v>
      </c>
      <c r="N475" s="19">
        <v>17981</v>
      </c>
      <c r="O475" s="67" t="s">
        <v>74</v>
      </c>
      <c r="P475" s="68" t="str">
        <f>IFERROR(VLOOKUP(O475,PROVEEDORES!$A$3:$G$42,2,0),"")</f>
        <v>ABARROTES Y VERDURAS</v>
      </c>
      <c r="Q475" s="69" t="str">
        <f>IFERROR(VLOOKUP(O475,PROVEEDORES!$A$3:$G$42,4,0),"")</f>
        <v>santacatalina3@gmail.com</v>
      </c>
      <c r="R475" s="18" t="str">
        <f>IFERROR(VLOOKUP(O475,PROVEEDORES!$A$3:$G$42,5,0),"")</f>
        <v>56996996469</v>
      </c>
      <c r="S475" s="19">
        <v>32903</v>
      </c>
      <c r="T475" s="20">
        <f t="shared" si="22"/>
        <v>24244</v>
      </c>
      <c r="U475" s="21">
        <f t="shared" si="23"/>
        <v>26668.400000000001</v>
      </c>
    </row>
    <row r="476" spans="1:21" ht="15" customHeight="1" x14ac:dyDescent="0.35">
      <c r="A476" s="6" t="s">
        <v>583</v>
      </c>
      <c r="B476" s="7" t="s">
        <v>677</v>
      </c>
      <c r="C476" s="8" t="s">
        <v>219</v>
      </c>
      <c r="D476" s="9">
        <v>2.8125000000000001E-2</v>
      </c>
      <c r="E476" s="64" t="s">
        <v>41</v>
      </c>
      <c r="F476" s="65" t="str">
        <f>IFERROR(VLOOKUP(E476,PROVEEDORES!$A$3:$G$42,2,0),"")</f>
        <v>FRUTAS Y VERDURAS</v>
      </c>
      <c r="G476" s="66" t="str">
        <f>IFERROR(VLOOKUP(E476,PROVEEDORES!$A$3:$G$42,4,0),"")</f>
        <v>caseritaencasa@gmail.com</v>
      </c>
      <c r="H476" s="10" t="str">
        <f>IFERROR(VLOOKUP(E476,PROVEEDORES!$A$3:$G$42,5,0),"")</f>
        <v>56952069703</v>
      </c>
      <c r="I476" s="11">
        <v>18564</v>
      </c>
      <c r="J476" s="64" t="s">
        <v>102</v>
      </c>
      <c r="K476" s="65" t="str">
        <f>IFERROR(VLOOKUP(J476,PROVEEDORES!$A$3:$G$42,2,0),"")</f>
        <v>FRUTAS Y VERDURAS</v>
      </c>
      <c r="L476" s="66" t="str">
        <f>IFERROR(VLOOKUP(J476,PROVEEDORES!$A$3:$G$42,4,0),"")</f>
        <v>gescobargalvez@gmail.com</v>
      </c>
      <c r="M476" s="10">
        <f>IFERROR(VLOOKUP(J476,PROVEEDORES!$A$3:$G$42,5,0),"")</f>
        <v>0</v>
      </c>
      <c r="N476" s="11">
        <v>20541</v>
      </c>
      <c r="O476" s="64" t="s">
        <v>74</v>
      </c>
      <c r="P476" s="65" t="str">
        <f>IFERROR(VLOOKUP(O476,PROVEEDORES!$A$3:$G$42,2,0),"")</f>
        <v>ABARROTES Y VERDURAS</v>
      </c>
      <c r="Q476" s="66" t="str">
        <f>IFERROR(VLOOKUP(O476,PROVEEDORES!$A$3:$G$42,4,0),"")</f>
        <v>santacatalina3@gmail.com</v>
      </c>
      <c r="R476" s="10" t="str">
        <f>IFERROR(VLOOKUP(O476,PROVEEDORES!$A$3:$G$42,5,0),"")</f>
        <v>56996996469</v>
      </c>
      <c r="S476" s="11">
        <v>8150</v>
      </c>
      <c r="T476" s="12">
        <f t="shared" si="22"/>
        <v>15751.666666666666</v>
      </c>
      <c r="U476" s="13">
        <f t="shared" si="23"/>
        <v>17326.833333333336</v>
      </c>
    </row>
    <row r="477" spans="1:21" ht="15" customHeight="1" x14ac:dyDescent="0.35">
      <c r="A477" s="14" t="s">
        <v>583</v>
      </c>
      <c r="B477" s="15" t="s">
        <v>678</v>
      </c>
      <c r="C477" s="16" t="s">
        <v>219</v>
      </c>
      <c r="D477" s="17">
        <v>0.24437500000000001</v>
      </c>
      <c r="E477" s="67" t="s">
        <v>41</v>
      </c>
      <c r="F477" s="68" t="str">
        <f>IFERROR(VLOOKUP(E477,PROVEEDORES!$A$3:$G$42,2,0),"")</f>
        <v>FRUTAS Y VERDURAS</v>
      </c>
      <c r="G477" s="69" t="str">
        <f>IFERROR(VLOOKUP(E477,PROVEEDORES!$A$3:$G$42,4,0),"")</f>
        <v>caseritaencasa@gmail.com</v>
      </c>
      <c r="H477" s="18" t="str">
        <f>IFERROR(VLOOKUP(E477,PROVEEDORES!$A$3:$G$42,5,0),"")</f>
        <v>56952069703</v>
      </c>
      <c r="I477" s="19">
        <v>6010</v>
      </c>
      <c r="J477" s="67" t="s">
        <v>102</v>
      </c>
      <c r="K477" s="68" t="str">
        <f>IFERROR(VLOOKUP(J477,PROVEEDORES!$A$3:$G$42,2,0),"")</f>
        <v>FRUTAS Y VERDURAS</v>
      </c>
      <c r="L477" s="69" t="str">
        <f>IFERROR(VLOOKUP(J477,PROVEEDORES!$A$3:$G$42,4,0),"")</f>
        <v>gescobargalvez@gmail.com</v>
      </c>
      <c r="M477" s="18">
        <f>IFERROR(VLOOKUP(J477,PROVEEDORES!$A$3:$G$42,5,0),"")</f>
        <v>0</v>
      </c>
      <c r="N477" s="19">
        <v>1926</v>
      </c>
      <c r="O477" s="67" t="s">
        <v>74</v>
      </c>
      <c r="P477" s="68" t="str">
        <f>IFERROR(VLOOKUP(O477,PROVEEDORES!$A$3:$G$42,2,0),"")</f>
        <v>ABARROTES Y VERDURAS</v>
      </c>
      <c r="Q477" s="69" t="str">
        <f>IFERROR(VLOOKUP(O477,PROVEEDORES!$A$3:$G$42,4,0),"")</f>
        <v>santacatalina3@gmail.com</v>
      </c>
      <c r="R477" s="18" t="str">
        <f>IFERROR(VLOOKUP(O477,PROVEEDORES!$A$3:$G$42,5,0),"")</f>
        <v>56996996469</v>
      </c>
      <c r="S477" s="19">
        <v>11510</v>
      </c>
      <c r="T477" s="20">
        <f t="shared" si="22"/>
        <v>6482</v>
      </c>
      <c r="U477" s="21">
        <f t="shared" si="23"/>
        <v>7130.2000000000007</v>
      </c>
    </row>
    <row r="478" spans="1:21" ht="15" customHeight="1" x14ac:dyDescent="0.35">
      <c r="A478" s="6" t="s">
        <v>583</v>
      </c>
      <c r="B478" s="7" t="s">
        <v>679</v>
      </c>
      <c r="C478" s="8" t="s">
        <v>219</v>
      </c>
      <c r="D478" s="9">
        <v>3.1974999999999998</v>
      </c>
      <c r="E478" s="64" t="s">
        <v>41</v>
      </c>
      <c r="F478" s="65" t="str">
        <f>IFERROR(VLOOKUP(E478,PROVEEDORES!$A$3:$G$42,2,0),"")</f>
        <v>FRUTAS Y VERDURAS</v>
      </c>
      <c r="G478" s="66" t="str">
        <f>IFERROR(VLOOKUP(E478,PROVEEDORES!$A$3:$G$42,4,0),"")</f>
        <v>caseritaencasa@gmail.com</v>
      </c>
      <c r="H478" s="10" t="str">
        <f>IFERROR(VLOOKUP(E478,PROVEEDORES!$A$3:$G$42,5,0),"")</f>
        <v>56952069703</v>
      </c>
      <c r="I478" s="11">
        <v>1671</v>
      </c>
      <c r="J478" s="64" t="s">
        <v>102</v>
      </c>
      <c r="K478" s="65" t="str">
        <f>IFERROR(VLOOKUP(J478,PROVEEDORES!$A$3:$G$42,2,0),"")</f>
        <v>FRUTAS Y VERDURAS</v>
      </c>
      <c r="L478" s="66" t="str">
        <f>IFERROR(VLOOKUP(J478,PROVEEDORES!$A$3:$G$42,4,0),"")</f>
        <v>gescobargalvez@gmail.com</v>
      </c>
      <c r="M478" s="10">
        <f>IFERROR(VLOOKUP(J478,PROVEEDORES!$A$3:$G$42,5,0),"")</f>
        <v>0</v>
      </c>
      <c r="N478" s="11">
        <v>1809</v>
      </c>
      <c r="O478" s="64" t="s">
        <v>74</v>
      </c>
      <c r="P478" s="65" t="str">
        <f>IFERROR(VLOOKUP(O478,PROVEEDORES!$A$3:$G$42,2,0),"")</f>
        <v>ABARROTES Y VERDURAS</v>
      </c>
      <c r="Q478" s="66" t="str">
        <f>IFERROR(VLOOKUP(O478,PROVEEDORES!$A$3:$G$42,4,0),"")</f>
        <v>santacatalina3@gmail.com</v>
      </c>
      <c r="R478" s="10" t="str">
        <f>IFERROR(VLOOKUP(O478,PROVEEDORES!$A$3:$G$42,5,0),"")</f>
        <v>56996996469</v>
      </c>
      <c r="S478" s="11">
        <v>756</v>
      </c>
      <c r="T478" s="12">
        <f t="shared" ref="T478:T485" si="24">AVERAGE(I478,N478,S478)</f>
        <v>1412</v>
      </c>
      <c r="U478" s="13">
        <f t="shared" ref="U478:U485" si="25">T478*(1+$B$2)</f>
        <v>1553.2</v>
      </c>
    </row>
    <row r="479" spans="1:21" ht="15" customHeight="1" x14ac:dyDescent="0.35">
      <c r="A479" s="14" t="s">
        <v>583</v>
      </c>
      <c r="B479" s="15" t="s">
        <v>680</v>
      </c>
      <c r="C479" s="16" t="s">
        <v>219</v>
      </c>
      <c r="D479" s="17">
        <v>0.58499999999999996</v>
      </c>
      <c r="E479" s="67" t="s">
        <v>41</v>
      </c>
      <c r="F479" s="68" t="str">
        <f>IFERROR(VLOOKUP(E479,PROVEEDORES!$A$3:$G$42,2,0),"")</f>
        <v>FRUTAS Y VERDURAS</v>
      </c>
      <c r="G479" s="69" t="str">
        <f>IFERROR(VLOOKUP(E479,PROVEEDORES!$A$3:$G$42,4,0),"")</f>
        <v>caseritaencasa@gmail.com</v>
      </c>
      <c r="H479" s="18" t="str">
        <f>IFERROR(VLOOKUP(E479,PROVEEDORES!$A$3:$G$42,5,0),"")</f>
        <v>56952069703</v>
      </c>
      <c r="I479" s="19">
        <v>3719</v>
      </c>
      <c r="J479" s="67" t="s">
        <v>102</v>
      </c>
      <c r="K479" s="68" t="str">
        <f>IFERROR(VLOOKUP(J479,PROVEEDORES!$A$3:$G$42,2,0),"")</f>
        <v>FRUTAS Y VERDURAS</v>
      </c>
      <c r="L479" s="69" t="str">
        <f>IFERROR(VLOOKUP(J479,PROVEEDORES!$A$3:$G$42,4,0),"")</f>
        <v>gescobargalvez@gmail.com</v>
      </c>
      <c r="M479" s="18">
        <f>IFERROR(VLOOKUP(J479,PROVEEDORES!$A$3:$G$42,5,0),"")</f>
        <v>0</v>
      </c>
      <c r="N479" s="19">
        <v>2882</v>
      </c>
      <c r="O479" s="67" t="s">
        <v>74</v>
      </c>
      <c r="P479" s="68" t="str">
        <f>IFERROR(VLOOKUP(O479,PROVEEDORES!$A$3:$G$42,2,0),"")</f>
        <v>ABARROTES Y VERDURAS</v>
      </c>
      <c r="Q479" s="69" t="str">
        <f>IFERROR(VLOOKUP(O479,PROVEEDORES!$A$3:$G$42,4,0),"")</f>
        <v>santacatalina3@gmail.com</v>
      </c>
      <c r="R479" s="18" t="str">
        <f>IFERROR(VLOOKUP(O479,PROVEEDORES!$A$3:$G$42,5,0),"")</f>
        <v>56996996469</v>
      </c>
      <c r="S479" s="19">
        <v>6673</v>
      </c>
      <c r="T479" s="20">
        <f t="shared" si="24"/>
        <v>4424.666666666667</v>
      </c>
      <c r="U479" s="21">
        <f t="shared" si="25"/>
        <v>4867.1333333333341</v>
      </c>
    </row>
    <row r="480" spans="1:21" ht="15" customHeight="1" x14ac:dyDescent="0.35">
      <c r="A480" s="6" t="s">
        <v>583</v>
      </c>
      <c r="B480" s="7" t="s">
        <v>681</v>
      </c>
      <c r="C480" s="8" t="s">
        <v>219</v>
      </c>
      <c r="D480" s="9">
        <v>0.122375</v>
      </c>
      <c r="E480" s="64" t="s">
        <v>41</v>
      </c>
      <c r="F480" s="65" t="str">
        <f>IFERROR(VLOOKUP(E480,PROVEEDORES!$A$3:$G$42,2,0),"")</f>
        <v>FRUTAS Y VERDURAS</v>
      </c>
      <c r="G480" s="66" t="str">
        <f>IFERROR(VLOOKUP(E480,PROVEEDORES!$A$3:$G$42,4,0),"")</f>
        <v>caseritaencasa@gmail.com</v>
      </c>
      <c r="H480" s="10" t="str">
        <f>IFERROR(VLOOKUP(E480,PROVEEDORES!$A$3:$G$42,5,0),"")</f>
        <v>56952069703</v>
      </c>
      <c r="I480" s="11">
        <v>16400</v>
      </c>
      <c r="J480" s="64" t="s">
        <v>102</v>
      </c>
      <c r="K480" s="65" t="str">
        <f>IFERROR(VLOOKUP(J480,PROVEEDORES!$A$3:$G$42,2,0),"")</f>
        <v>FRUTAS Y VERDURAS</v>
      </c>
      <c r="L480" s="66" t="str">
        <f>IFERROR(VLOOKUP(J480,PROVEEDORES!$A$3:$G$42,4,0),"")</f>
        <v>gescobargalvez@gmail.com</v>
      </c>
      <c r="M480" s="10">
        <f>IFERROR(VLOOKUP(J480,PROVEEDORES!$A$3:$G$42,5,0),"")</f>
        <v>0</v>
      </c>
      <c r="N480" s="11">
        <v>5182</v>
      </c>
      <c r="O480" s="64" t="s">
        <v>74</v>
      </c>
      <c r="P480" s="65" t="str">
        <f>IFERROR(VLOOKUP(O480,PROVEEDORES!$A$3:$G$42,2,0),"")</f>
        <v>ABARROTES Y VERDURAS</v>
      </c>
      <c r="Q480" s="66" t="str">
        <f>IFERROR(VLOOKUP(O480,PROVEEDORES!$A$3:$G$42,4,0),"")</f>
        <v>santacatalina3@gmail.com</v>
      </c>
      <c r="R480" s="10" t="str">
        <f>IFERROR(VLOOKUP(O480,PROVEEDORES!$A$3:$G$42,5,0),"")</f>
        <v>56996996469</v>
      </c>
      <c r="S480" s="11">
        <v>5540</v>
      </c>
      <c r="T480" s="12">
        <f t="shared" si="24"/>
        <v>9040.6666666666661</v>
      </c>
      <c r="U480" s="13">
        <f t="shared" si="25"/>
        <v>9944.7333333333336</v>
      </c>
    </row>
    <row r="481" spans="1:21" ht="15" customHeight="1" x14ac:dyDescent="0.35">
      <c r="A481" s="14" t="s">
        <v>583</v>
      </c>
      <c r="B481" s="15" t="s">
        <v>682</v>
      </c>
      <c r="C481" s="16" t="s">
        <v>219</v>
      </c>
      <c r="D481" s="17">
        <v>0.02</v>
      </c>
      <c r="E481" s="67" t="s">
        <v>41</v>
      </c>
      <c r="F481" s="68" t="str">
        <f>IFERROR(VLOOKUP(E481,PROVEEDORES!$A$3:$G$42,2,0),"")</f>
        <v>FRUTAS Y VERDURAS</v>
      </c>
      <c r="G481" s="69" t="str">
        <f>IFERROR(VLOOKUP(E481,PROVEEDORES!$A$3:$G$42,4,0),"")</f>
        <v>caseritaencasa@gmail.com</v>
      </c>
      <c r="H481" s="18" t="str">
        <f>IFERROR(VLOOKUP(E481,PROVEEDORES!$A$3:$G$42,5,0),"")</f>
        <v>56952069703</v>
      </c>
      <c r="I481" s="19">
        <v>4500</v>
      </c>
      <c r="J481" s="67" t="s">
        <v>102</v>
      </c>
      <c r="K481" s="68" t="str">
        <f>IFERROR(VLOOKUP(J481,PROVEEDORES!$A$3:$G$42,2,0),"")</f>
        <v>FRUTAS Y VERDURAS</v>
      </c>
      <c r="L481" s="69" t="str">
        <f>IFERROR(VLOOKUP(J481,PROVEEDORES!$A$3:$G$42,4,0),"")</f>
        <v>gescobargalvez@gmail.com</v>
      </c>
      <c r="M481" s="18">
        <f>IFERROR(VLOOKUP(J481,PROVEEDORES!$A$3:$G$42,5,0),"")</f>
        <v>0</v>
      </c>
      <c r="N481" s="19">
        <v>2752</v>
      </c>
      <c r="O481" s="67" t="s">
        <v>74</v>
      </c>
      <c r="P481" s="68" t="str">
        <f>IFERROR(VLOOKUP(O481,PROVEEDORES!$A$3:$G$42,2,0),"")</f>
        <v>ABARROTES Y VERDURAS</v>
      </c>
      <c r="Q481" s="69" t="str">
        <f>IFERROR(VLOOKUP(O481,PROVEEDORES!$A$3:$G$42,4,0),"")</f>
        <v>santacatalina3@gmail.com</v>
      </c>
      <c r="R481" s="18" t="str">
        <f>IFERROR(VLOOKUP(O481,PROVEEDORES!$A$3:$G$42,5,0),"")</f>
        <v>56996996469</v>
      </c>
      <c r="S481" s="19">
        <v>1322</v>
      </c>
      <c r="T481" s="20">
        <f t="shared" si="24"/>
        <v>2858</v>
      </c>
      <c r="U481" s="21">
        <f t="shared" si="25"/>
        <v>3143.8</v>
      </c>
    </row>
    <row r="482" spans="1:21" ht="15" customHeight="1" x14ac:dyDescent="0.35">
      <c r="A482" s="6" t="s">
        <v>583</v>
      </c>
      <c r="B482" s="7" t="s">
        <v>683</v>
      </c>
      <c r="C482" s="8" t="s">
        <v>219</v>
      </c>
      <c r="D482" s="9">
        <v>2.6795</v>
      </c>
      <c r="E482" s="64" t="s">
        <v>41</v>
      </c>
      <c r="F482" s="65" t="str">
        <f>IFERROR(VLOOKUP(E482,PROVEEDORES!$A$3:$G$42,2,0),"")</f>
        <v>FRUTAS Y VERDURAS</v>
      </c>
      <c r="G482" s="66" t="str">
        <f>IFERROR(VLOOKUP(E482,PROVEEDORES!$A$3:$G$42,4,0),"")</f>
        <v>caseritaencasa@gmail.com</v>
      </c>
      <c r="H482" s="10" t="str">
        <f>IFERROR(VLOOKUP(E482,PROVEEDORES!$A$3:$G$42,5,0),"")</f>
        <v>56952069703</v>
      </c>
      <c r="I482" s="11">
        <v>983</v>
      </c>
      <c r="J482" s="64" t="s">
        <v>102</v>
      </c>
      <c r="K482" s="65" t="str">
        <f>IFERROR(VLOOKUP(J482,PROVEEDORES!$A$3:$G$42,2,0),"")</f>
        <v>FRUTAS Y VERDURAS</v>
      </c>
      <c r="L482" s="66" t="str">
        <f>IFERROR(VLOOKUP(J482,PROVEEDORES!$A$3:$G$42,4,0),"")</f>
        <v>gescobargalvez@gmail.com</v>
      </c>
      <c r="M482" s="10">
        <f>IFERROR(VLOOKUP(J482,PROVEEDORES!$A$3:$G$42,5,0),"")</f>
        <v>0</v>
      </c>
      <c r="N482" s="11">
        <v>524</v>
      </c>
      <c r="O482" s="64" t="s">
        <v>74</v>
      </c>
      <c r="P482" s="65" t="str">
        <f>IFERROR(VLOOKUP(O482,PROVEEDORES!$A$3:$G$42,2,0),"")</f>
        <v>ABARROTES Y VERDURAS</v>
      </c>
      <c r="Q482" s="66" t="str">
        <f>IFERROR(VLOOKUP(O482,PROVEEDORES!$A$3:$G$42,4,0),"")</f>
        <v>santacatalina3@gmail.com</v>
      </c>
      <c r="R482" s="10" t="str">
        <f>IFERROR(VLOOKUP(O482,PROVEEDORES!$A$3:$G$42,5,0),"")</f>
        <v>56996996469</v>
      </c>
      <c r="S482" s="11">
        <v>1889</v>
      </c>
      <c r="T482" s="12">
        <f t="shared" si="24"/>
        <v>1132</v>
      </c>
      <c r="U482" s="13">
        <f t="shared" si="25"/>
        <v>1245.2</v>
      </c>
    </row>
    <row r="483" spans="1:21" ht="15" customHeight="1" x14ac:dyDescent="0.35">
      <c r="A483" s="14" t="s">
        <v>583</v>
      </c>
      <c r="B483" s="15" t="s">
        <v>684</v>
      </c>
      <c r="C483" s="16" t="s">
        <v>239</v>
      </c>
      <c r="D483" s="17">
        <v>0.125</v>
      </c>
      <c r="E483" s="67" t="s">
        <v>41</v>
      </c>
      <c r="F483" s="68" t="str">
        <f>IFERROR(VLOOKUP(E483,PROVEEDORES!$A$3:$G$42,2,0),"")</f>
        <v>FRUTAS Y VERDURAS</v>
      </c>
      <c r="G483" s="69" t="str">
        <f>IFERROR(VLOOKUP(E483,PROVEEDORES!$A$3:$G$42,4,0),"")</f>
        <v>caseritaencasa@gmail.com</v>
      </c>
      <c r="H483" s="18" t="str">
        <f>IFERROR(VLOOKUP(E483,PROVEEDORES!$A$3:$G$42,5,0),"")</f>
        <v>56952069703</v>
      </c>
      <c r="I483" s="19">
        <v>2457</v>
      </c>
      <c r="J483" s="67" t="s">
        <v>102</v>
      </c>
      <c r="K483" s="68" t="str">
        <f>IFERROR(VLOOKUP(J483,PROVEEDORES!$A$3:$G$42,2,0),"")</f>
        <v>FRUTAS Y VERDURAS</v>
      </c>
      <c r="L483" s="69" t="str">
        <f>IFERROR(VLOOKUP(J483,PROVEEDORES!$A$3:$G$42,4,0),"")</f>
        <v>gescobargalvez@gmail.com</v>
      </c>
      <c r="M483" s="18">
        <f>IFERROR(VLOOKUP(J483,PROVEEDORES!$A$3:$G$42,5,0),"")</f>
        <v>0</v>
      </c>
      <c r="N483" s="19">
        <v>1937</v>
      </c>
      <c r="O483" s="67" t="s">
        <v>74</v>
      </c>
      <c r="P483" s="68" t="str">
        <f>IFERROR(VLOOKUP(O483,PROVEEDORES!$A$3:$G$42,2,0),"")</f>
        <v>ABARROTES Y VERDURAS</v>
      </c>
      <c r="Q483" s="69" t="str">
        <f>IFERROR(VLOOKUP(O483,PROVEEDORES!$A$3:$G$42,4,0),"")</f>
        <v>santacatalina3@gmail.com</v>
      </c>
      <c r="R483" s="18" t="str">
        <f>IFERROR(VLOOKUP(O483,PROVEEDORES!$A$3:$G$42,5,0),"")</f>
        <v>56996996469</v>
      </c>
      <c r="S483" s="19">
        <v>3711</v>
      </c>
      <c r="T483" s="20">
        <f t="shared" si="24"/>
        <v>2701.6666666666665</v>
      </c>
      <c r="U483" s="21">
        <f t="shared" si="25"/>
        <v>2971.8333333333335</v>
      </c>
    </row>
    <row r="484" spans="1:21" ht="15" customHeight="1" x14ac:dyDescent="0.35">
      <c r="A484" s="6" t="s">
        <v>583</v>
      </c>
      <c r="B484" s="7" t="s">
        <v>685</v>
      </c>
      <c r="C484" s="8" t="s">
        <v>219</v>
      </c>
      <c r="D484" s="9">
        <v>0.73750000000000004</v>
      </c>
      <c r="E484" s="64" t="s">
        <v>41</v>
      </c>
      <c r="F484" s="65" t="str">
        <f>IFERROR(VLOOKUP(E484,PROVEEDORES!$A$3:$G$42,2,0),"")</f>
        <v>FRUTAS Y VERDURAS</v>
      </c>
      <c r="G484" s="66" t="str">
        <f>IFERROR(VLOOKUP(E484,PROVEEDORES!$A$3:$G$42,4,0),"")</f>
        <v>caseritaencasa@gmail.com</v>
      </c>
      <c r="H484" s="10" t="str">
        <f>IFERROR(VLOOKUP(E484,PROVEEDORES!$A$3:$G$42,5,0),"")</f>
        <v>56952069703</v>
      </c>
      <c r="I484" s="11">
        <v>780</v>
      </c>
      <c r="J484" s="64" t="s">
        <v>102</v>
      </c>
      <c r="K484" s="65" t="str">
        <f>IFERROR(VLOOKUP(J484,PROVEEDORES!$A$3:$G$42,2,0),"")</f>
        <v>FRUTAS Y VERDURAS</v>
      </c>
      <c r="L484" s="66" t="str">
        <f>IFERROR(VLOOKUP(J484,PROVEEDORES!$A$3:$G$42,4,0),"")</f>
        <v>gescobargalvez@gmail.com</v>
      </c>
      <c r="M484" s="10">
        <f>IFERROR(VLOOKUP(J484,PROVEEDORES!$A$3:$G$42,5,0),"")</f>
        <v>0</v>
      </c>
      <c r="N484" s="11">
        <v>626</v>
      </c>
      <c r="O484" s="64" t="s">
        <v>74</v>
      </c>
      <c r="P484" s="65" t="str">
        <f>IFERROR(VLOOKUP(O484,PROVEEDORES!$A$3:$G$42,2,0),"")</f>
        <v>ABARROTES Y VERDURAS</v>
      </c>
      <c r="Q484" s="66" t="str">
        <f>IFERROR(VLOOKUP(O484,PROVEEDORES!$A$3:$G$42,4,0),"")</f>
        <v>santacatalina3@gmail.com</v>
      </c>
      <c r="R484" s="10" t="str">
        <f>IFERROR(VLOOKUP(O484,PROVEEDORES!$A$3:$G$42,5,0),"")</f>
        <v>56996996469</v>
      </c>
      <c r="S484" s="11">
        <v>837</v>
      </c>
      <c r="T484" s="12">
        <f t="shared" si="24"/>
        <v>747.66666666666663</v>
      </c>
      <c r="U484" s="13">
        <f t="shared" si="25"/>
        <v>822.43333333333339</v>
      </c>
    </row>
    <row r="485" spans="1:21" ht="15" customHeight="1" x14ac:dyDescent="0.35">
      <c r="A485" s="14" t="s">
        <v>583</v>
      </c>
      <c r="B485" s="15" t="s">
        <v>686</v>
      </c>
      <c r="C485" s="16" t="s">
        <v>239</v>
      </c>
      <c r="D485" s="17">
        <v>3.6887500000000002</v>
      </c>
      <c r="E485" s="67" t="s">
        <v>41</v>
      </c>
      <c r="F485" s="68" t="str">
        <f>IFERROR(VLOOKUP(E485,PROVEEDORES!$A$3:$G$42,2,0),"")</f>
        <v>FRUTAS Y VERDURAS</v>
      </c>
      <c r="G485" s="69" t="str">
        <f>IFERROR(VLOOKUP(E485,PROVEEDORES!$A$3:$G$42,4,0),"")</f>
        <v>caseritaencasa@gmail.com</v>
      </c>
      <c r="H485" s="18" t="str">
        <f>IFERROR(VLOOKUP(E485,PROVEEDORES!$A$3:$G$42,5,0),"")</f>
        <v>56952069703</v>
      </c>
      <c r="I485" s="19">
        <v>574</v>
      </c>
      <c r="J485" s="67" t="s">
        <v>102</v>
      </c>
      <c r="K485" s="68" t="str">
        <f>IFERROR(VLOOKUP(J485,PROVEEDORES!$A$3:$G$42,2,0),"")</f>
        <v>FRUTAS Y VERDURAS</v>
      </c>
      <c r="L485" s="69" t="str">
        <f>IFERROR(VLOOKUP(J485,PROVEEDORES!$A$3:$G$42,4,0),"")</f>
        <v>gescobargalvez@gmail.com</v>
      </c>
      <c r="M485" s="18">
        <f>IFERROR(VLOOKUP(J485,PROVEEDORES!$A$3:$G$42,5,0),"")</f>
        <v>0</v>
      </c>
      <c r="N485" s="19">
        <v>812</v>
      </c>
      <c r="O485" s="67" t="s">
        <v>74</v>
      </c>
      <c r="P485" s="68" t="str">
        <f>IFERROR(VLOOKUP(O485,PROVEEDORES!$A$3:$G$42,2,0),"")</f>
        <v>ABARROTES Y VERDURAS</v>
      </c>
      <c r="Q485" s="69" t="str">
        <f>IFERROR(VLOOKUP(O485,PROVEEDORES!$A$3:$G$42,4,0),"")</f>
        <v>santacatalina3@gmail.com</v>
      </c>
      <c r="R485" s="18" t="str">
        <f>IFERROR(VLOOKUP(O485,PROVEEDORES!$A$3:$G$42,5,0),"")</f>
        <v>56996996469</v>
      </c>
      <c r="S485" s="19">
        <v>213</v>
      </c>
      <c r="T485" s="20">
        <f t="shared" si="24"/>
        <v>533</v>
      </c>
      <c r="U485" s="21">
        <f t="shared" si="25"/>
        <v>586.30000000000007</v>
      </c>
    </row>
    <row r="486" spans="1:21" ht="12" customHeight="1" x14ac:dyDescent="0.35">
      <c r="A486" s="59" t="s">
        <v>687</v>
      </c>
      <c r="B486" s="59"/>
      <c r="C486" s="59"/>
      <c r="D486" s="59"/>
      <c r="E486" s="59"/>
      <c r="F486" s="59"/>
      <c r="G486" s="59"/>
      <c r="H486" s="59"/>
      <c r="I486" s="59"/>
      <c r="J486" s="59"/>
      <c r="K486" s="59"/>
      <c r="L486" s="59"/>
      <c r="M486" s="59"/>
      <c r="N486" s="59"/>
      <c r="O486" s="59"/>
      <c r="P486" s="59"/>
      <c r="Q486" s="59"/>
      <c r="R486" s="59"/>
      <c r="S486" s="59"/>
      <c r="T486" s="59"/>
      <c r="U486" s="59"/>
    </row>
    <row r="487" spans="1:21" ht="15" customHeight="1" x14ac:dyDescent="0.35">
      <c r="A487" s="14" t="s">
        <v>687</v>
      </c>
      <c r="B487" s="15" t="s">
        <v>688</v>
      </c>
      <c r="C487" s="16" t="s">
        <v>219</v>
      </c>
      <c r="D487" s="17">
        <v>0.21312500000000001</v>
      </c>
      <c r="E487" s="67" t="s">
        <v>35</v>
      </c>
      <c r="F487" s="68" t="str">
        <f>IFERROR(VLOOKUP(E487,PROVEEDORES!$A$3:$G$42,2,0),"")</f>
        <v>ABARROTES</v>
      </c>
      <c r="G487" s="69" t="str">
        <f>IFERROR(VLOOKUP(E487,PROVEEDORES!$A$3:$G$42,4,0),"")</f>
        <v>pagos@bidfood.cl,pmolina@bidfood.cl</v>
      </c>
      <c r="H487" s="18" t="str">
        <f>IFERROR(VLOOKUP(E487,PROVEEDORES!$A$3:$G$42,5,0),"")</f>
        <v>56225994444 - 56998038459</v>
      </c>
      <c r="I487" s="19">
        <v>7500</v>
      </c>
      <c r="J487" s="67" t="s">
        <v>105</v>
      </c>
      <c r="K487" s="68" t="str">
        <f>IFERROR(VLOOKUP(J487,PROVEEDORES!$A$3:$G$42,2,0),"")</f>
        <v>ESPECIES</v>
      </c>
      <c r="L487" s="69" t="str">
        <f>IFERROR(VLOOKUP(J487,PROVEEDORES!$A$3:$G$42,4,0),"")</f>
        <v>chef@gourmetselect.cl,contabilidad@gourmetselect.cl,pedidos@gourmetselect.cl,info@gourmetselect.cl</v>
      </c>
      <c r="M487" s="18" t="str">
        <f>IFERROR(VLOOKUP(J487,PROVEEDORES!$A$3:$G$42,5,0),"")</f>
        <v>56944921093</v>
      </c>
      <c r="N487" s="19">
        <v>12720</v>
      </c>
      <c r="O487" s="67"/>
      <c r="P487" s="68"/>
      <c r="Q487" s="69"/>
      <c r="R487" s="18"/>
      <c r="S487" s="19"/>
      <c r="T487" s="20">
        <f>AVERAGE(I487,N487)</f>
        <v>10110</v>
      </c>
      <c r="U487" s="21">
        <f>T487*(1+$B$2)</f>
        <v>11121</v>
      </c>
    </row>
    <row r="488" spans="1:21" ht="15" customHeight="1" x14ac:dyDescent="0.35">
      <c r="A488" s="6" t="s">
        <v>687</v>
      </c>
      <c r="B488" s="7" t="s">
        <v>689</v>
      </c>
      <c r="C488" s="8" t="s">
        <v>219</v>
      </c>
      <c r="D488" s="9">
        <v>0.03</v>
      </c>
      <c r="E488" s="64" t="s">
        <v>35</v>
      </c>
      <c r="F488" s="65" t="str">
        <f>IFERROR(VLOOKUP(E488,PROVEEDORES!$A$3:$G$42,2,0),"")</f>
        <v>ABARROTES</v>
      </c>
      <c r="G488" s="66" t="str">
        <f>IFERROR(VLOOKUP(E488,PROVEEDORES!$A$3:$G$42,4,0),"")</f>
        <v>pagos@bidfood.cl,pmolina@bidfood.cl</v>
      </c>
      <c r="H488" s="10" t="str">
        <f>IFERROR(VLOOKUP(E488,PROVEEDORES!$A$3:$G$42,5,0),"")</f>
        <v>56225994444 - 56998038459</v>
      </c>
      <c r="I488" s="11">
        <v>28000</v>
      </c>
      <c r="J488" s="64" t="s">
        <v>105</v>
      </c>
      <c r="K488" s="65" t="str">
        <f>IFERROR(VLOOKUP(J488,PROVEEDORES!$A$3:$G$42,2,0),"")</f>
        <v>ESPECIES</v>
      </c>
      <c r="L488" s="66" t="str">
        <f>IFERROR(VLOOKUP(J488,PROVEEDORES!$A$3:$G$42,4,0),"")</f>
        <v>chef@gourmetselect.cl,contabilidad@gourmetselect.cl,pedidos@gourmetselect.cl,info@gourmetselect.cl</v>
      </c>
      <c r="M488" s="10" t="str">
        <f>IFERROR(VLOOKUP(J488,PROVEEDORES!$A$3:$G$42,5,0),"")</f>
        <v>56944921093</v>
      </c>
      <c r="N488" s="11">
        <v>30184</v>
      </c>
      <c r="O488" s="64"/>
      <c r="P488" s="65"/>
      <c r="Q488" s="66"/>
      <c r="R488" s="10"/>
      <c r="S488" s="11"/>
      <c r="T488" s="12">
        <f>AVERAGE(I488,N488)</f>
        <v>29092</v>
      </c>
      <c r="U488" s="13">
        <f>T488*(1+$B$2)</f>
        <v>32001.200000000004</v>
      </c>
    </row>
    <row r="489" spans="1:21" ht="15" customHeight="1" x14ac:dyDescent="0.35">
      <c r="A489" s="14" t="s">
        <v>687</v>
      </c>
      <c r="B489" s="15" t="s">
        <v>690</v>
      </c>
      <c r="C489" s="16" t="s">
        <v>219</v>
      </c>
      <c r="D489" s="17">
        <v>0.13150000000000001</v>
      </c>
      <c r="E489" s="67" t="s">
        <v>35</v>
      </c>
      <c r="F489" s="68" t="str">
        <f>IFERROR(VLOOKUP(E489,PROVEEDORES!$A$3:$G$42,2,0),"")</f>
        <v>ABARROTES</v>
      </c>
      <c r="G489" s="69" t="str">
        <f>IFERROR(VLOOKUP(E489,PROVEEDORES!$A$3:$G$42,4,0),"")</f>
        <v>pagos@bidfood.cl,pmolina@bidfood.cl</v>
      </c>
      <c r="H489" s="18" t="str">
        <f>IFERROR(VLOOKUP(E489,PROVEEDORES!$A$3:$G$42,5,0),"")</f>
        <v>56225994444 - 56998038459</v>
      </c>
      <c r="I489" s="19">
        <v>45990</v>
      </c>
      <c r="J489" s="67" t="s">
        <v>105</v>
      </c>
      <c r="K489" s="68" t="str">
        <f>IFERROR(VLOOKUP(J489,PROVEEDORES!$A$3:$G$42,2,0),"")</f>
        <v>ESPECIES</v>
      </c>
      <c r="L489" s="69" t="str">
        <f>IFERROR(VLOOKUP(J489,PROVEEDORES!$A$3:$G$42,4,0),"")</f>
        <v>chef@gourmetselect.cl,contabilidad@gourmetselect.cl,pedidos@gourmetselect.cl,info@gourmetselect.cl</v>
      </c>
      <c r="M489" s="18" t="str">
        <f>IFERROR(VLOOKUP(J489,PROVEEDORES!$A$3:$G$42,5,0),"")</f>
        <v>56944921093</v>
      </c>
      <c r="N489" s="19">
        <v>37988</v>
      </c>
      <c r="O489" s="67"/>
      <c r="P489" s="68"/>
      <c r="Q489" s="69"/>
      <c r="R489" s="18"/>
      <c r="S489" s="19"/>
      <c r="T489" s="20">
        <f>AVERAGE(I489,N489)</f>
        <v>41989</v>
      </c>
      <c r="U489" s="21">
        <f>T489*(1+$B$2)</f>
        <v>46187.9</v>
      </c>
    </row>
    <row r="490" spans="1:21" ht="12" customHeight="1" x14ac:dyDescent="0.35">
      <c r="A490" s="59" t="s">
        <v>691</v>
      </c>
      <c r="B490" s="59"/>
      <c r="C490" s="59"/>
      <c r="D490" s="59"/>
      <c r="E490" s="59"/>
      <c r="F490" s="59"/>
      <c r="G490" s="59"/>
      <c r="H490" s="59"/>
      <c r="I490" s="59"/>
      <c r="J490" s="59"/>
      <c r="K490" s="59"/>
      <c r="L490" s="59"/>
      <c r="M490" s="59"/>
      <c r="N490" s="59"/>
      <c r="O490" s="59"/>
      <c r="P490" s="59"/>
      <c r="Q490" s="59"/>
      <c r="R490" s="59"/>
      <c r="S490" s="59"/>
      <c r="T490" s="59"/>
      <c r="U490" s="59"/>
    </row>
    <row r="491" spans="1:21" ht="15" customHeight="1" x14ac:dyDescent="0.35">
      <c r="A491" s="14" t="s">
        <v>691</v>
      </c>
      <c r="B491" s="15" t="s">
        <v>692</v>
      </c>
      <c r="C491" s="16" t="s">
        <v>239</v>
      </c>
      <c r="D491" s="17">
        <v>230.01249999999999</v>
      </c>
      <c r="E491" s="67" t="s">
        <v>94</v>
      </c>
      <c r="F491" s="68" t="str">
        <f>IFERROR(VLOOKUP(E491,PROVEEDORES!$A$3:$G$42,2,0),"")</f>
        <v>HUEVOS</v>
      </c>
      <c r="G491" s="69" t="str">
        <f>IFERROR(VLOOKUP(E491,PROVEEDORES!$A$3:$G$42,4,0),"")</f>
        <v>equipo@benbo.cl,ventas@benbo.cl</v>
      </c>
      <c r="H491" s="18">
        <f>IFERROR(VLOOKUP(E491,PROVEEDORES!$A$3:$G$42,5,0),"")</f>
        <v>0</v>
      </c>
      <c r="I491" s="19">
        <v>191</v>
      </c>
      <c r="J491" s="67" t="s">
        <v>35</v>
      </c>
      <c r="K491" s="68" t="str">
        <f>IFERROR(VLOOKUP(J491,PROVEEDORES!$A$3:$G$42,2,0),"")</f>
        <v>ABARROTES</v>
      </c>
      <c r="L491" s="69" t="str">
        <f>IFERROR(VLOOKUP(J491,PROVEEDORES!$A$3:$G$42,4,0),"")</f>
        <v>pagos@bidfood.cl,pmolina@bidfood.cl</v>
      </c>
      <c r="M491" s="18" t="str">
        <f>IFERROR(VLOOKUP(J491,PROVEEDORES!$A$3:$G$42,5,0),"")</f>
        <v>56225994444 - 56998038459</v>
      </c>
      <c r="N491" s="19">
        <v>229</v>
      </c>
      <c r="O491" s="67"/>
      <c r="P491" s="68"/>
      <c r="Q491" s="69"/>
      <c r="R491" s="18"/>
      <c r="S491" s="19"/>
      <c r="T491" s="20">
        <f>AVERAGE(I491,N491)</f>
        <v>210</v>
      </c>
      <c r="U491" s="21">
        <f>T491*(1+$B$2)</f>
        <v>231.00000000000003</v>
      </c>
    </row>
    <row r="492" spans="1:21" ht="15" customHeight="1" x14ac:dyDescent="0.35">
      <c r="A492" s="6" t="s">
        <v>691</v>
      </c>
      <c r="B492" s="7" t="s">
        <v>693</v>
      </c>
      <c r="C492" s="8" t="s">
        <v>239</v>
      </c>
      <c r="D492" s="9">
        <v>1.125</v>
      </c>
      <c r="E492" s="64" t="s">
        <v>94</v>
      </c>
      <c r="F492" s="65" t="str">
        <f>IFERROR(VLOOKUP(E492,PROVEEDORES!$A$3:$G$42,2,0),"")</f>
        <v>HUEVOS</v>
      </c>
      <c r="G492" s="66" t="str">
        <f>IFERROR(VLOOKUP(E492,PROVEEDORES!$A$3:$G$42,4,0),"")</f>
        <v>equipo@benbo.cl,ventas@benbo.cl</v>
      </c>
      <c r="H492" s="10">
        <f>IFERROR(VLOOKUP(E492,PROVEEDORES!$A$3:$G$42,5,0),"")</f>
        <v>0</v>
      </c>
      <c r="I492" s="11">
        <v>128</v>
      </c>
      <c r="J492" s="64" t="s">
        <v>35</v>
      </c>
      <c r="K492" s="65" t="str">
        <f>IFERROR(VLOOKUP(J492,PROVEEDORES!$A$3:$G$42,2,0),"")</f>
        <v>ABARROTES</v>
      </c>
      <c r="L492" s="66" t="str">
        <f>IFERROR(VLOOKUP(J492,PROVEEDORES!$A$3:$G$42,4,0),"")</f>
        <v>pagos@bidfood.cl,pmolina@bidfood.cl</v>
      </c>
      <c r="M492" s="10" t="str">
        <f>IFERROR(VLOOKUP(J492,PROVEEDORES!$A$3:$G$42,5,0),"")</f>
        <v>56225994444 - 56998038459</v>
      </c>
      <c r="N492" s="11">
        <v>165</v>
      </c>
      <c r="O492" s="64"/>
      <c r="P492" s="65"/>
      <c r="Q492" s="66"/>
      <c r="R492" s="10"/>
      <c r="S492" s="11"/>
      <c r="T492" s="12">
        <f>AVERAGE(I492,N492)</f>
        <v>146.5</v>
      </c>
      <c r="U492" s="13">
        <f>T492*(1+$B$2)</f>
        <v>161.15</v>
      </c>
    </row>
    <row r="493" spans="1:21" ht="12" customHeight="1" x14ac:dyDescent="0.35">
      <c r="A493" s="59" t="s">
        <v>694</v>
      </c>
      <c r="B493" s="59"/>
      <c r="C493" s="59"/>
      <c r="D493" s="59"/>
      <c r="E493" s="59"/>
      <c r="F493" s="59"/>
      <c r="G493" s="59"/>
      <c r="H493" s="59"/>
      <c r="I493" s="59"/>
      <c r="J493" s="59"/>
      <c r="K493" s="59"/>
      <c r="L493" s="59"/>
      <c r="M493" s="59"/>
      <c r="N493" s="59"/>
      <c r="O493" s="59"/>
      <c r="P493" s="59"/>
      <c r="Q493" s="59"/>
      <c r="R493" s="59"/>
      <c r="S493" s="59"/>
      <c r="T493" s="59"/>
      <c r="U493" s="59"/>
    </row>
    <row r="494" spans="1:21" ht="15" customHeight="1" x14ac:dyDescent="0.35">
      <c r="A494" s="6" t="s">
        <v>694</v>
      </c>
      <c r="B494" s="7" t="s">
        <v>695</v>
      </c>
      <c r="C494" s="8" t="s">
        <v>219</v>
      </c>
      <c r="D494" s="9">
        <v>8.5000000000000006E-2</v>
      </c>
      <c r="E494" s="64" t="s">
        <v>35</v>
      </c>
      <c r="F494" s="65" t="str">
        <f>IFERROR(VLOOKUP(E494,PROVEEDORES!$A$3:$G$42,2,0),"")</f>
        <v>ABARROTES</v>
      </c>
      <c r="G494" s="66" t="str">
        <f>IFERROR(VLOOKUP(E494,PROVEEDORES!$A$3:$G$42,4,0),"")</f>
        <v>pagos@bidfood.cl,pmolina@bidfood.cl</v>
      </c>
      <c r="H494" s="10" t="str">
        <f>IFERROR(VLOOKUP(E494,PROVEEDORES!$A$3:$G$42,5,0),"")</f>
        <v>56225994444 - 56998038459</v>
      </c>
      <c r="I494" s="11">
        <v>17250</v>
      </c>
      <c r="J494" s="64" t="s">
        <v>105</v>
      </c>
      <c r="K494" s="65" t="str">
        <f>IFERROR(VLOOKUP(J494,PROVEEDORES!$A$3:$G$42,2,0),"")</f>
        <v>ESPECIES</v>
      </c>
      <c r="L494" s="66" t="str">
        <f>IFERROR(VLOOKUP(J494,PROVEEDORES!$A$3:$G$42,4,0),"")</f>
        <v>chef@gourmetselect.cl,contabilidad@gourmetselect.cl,pedidos@gourmetselect.cl,info@gourmetselect.cl</v>
      </c>
      <c r="M494" s="10" t="str">
        <f>IFERROR(VLOOKUP(J494,PROVEEDORES!$A$3:$G$42,5,0),"")</f>
        <v>56944921093</v>
      </c>
      <c r="N494" s="11">
        <v>14171</v>
      </c>
      <c r="O494" s="64" t="s">
        <v>41</v>
      </c>
      <c r="P494" s="65" t="str">
        <f>IFERROR(VLOOKUP(O494,PROVEEDORES!$A$3:$G$42,2,0),"")</f>
        <v>FRUTAS Y VERDURAS</v>
      </c>
      <c r="Q494" s="66" t="str">
        <f>IFERROR(VLOOKUP(O494,PROVEEDORES!$A$3:$G$42,4,0),"")</f>
        <v>caseritaencasa@gmail.com</v>
      </c>
      <c r="R494" s="10" t="str">
        <f>IFERROR(VLOOKUP(O494,PROVEEDORES!$A$3:$G$42,5,0),"")</f>
        <v>56952069703</v>
      </c>
      <c r="S494" s="11">
        <v>-283</v>
      </c>
      <c r="T494" s="12">
        <f>AVERAGE(I494,N494,S494)</f>
        <v>10379.333333333334</v>
      </c>
      <c r="U494" s="13">
        <f>T494*(1+$B$2)</f>
        <v>11417.266666666668</v>
      </c>
    </row>
    <row r="495" spans="1:21" ht="15" customHeight="1" x14ac:dyDescent="0.35">
      <c r="A495" s="14" t="s">
        <v>694</v>
      </c>
      <c r="B495" s="15" t="s">
        <v>696</v>
      </c>
      <c r="C495" s="16" t="s">
        <v>219</v>
      </c>
      <c r="D495" s="17">
        <v>0.127</v>
      </c>
      <c r="E495" s="67" t="s">
        <v>35</v>
      </c>
      <c r="F495" s="68" t="str">
        <f>IFERROR(VLOOKUP(E495,PROVEEDORES!$A$3:$G$42,2,0),"")</f>
        <v>ABARROTES</v>
      </c>
      <c r="G495" s="69" t="str">
        <f>IFERROR(VLOOKUP(E495,PROVEEDORES!$A$3:$G$42,4,0),"")</f>
        <v>pagos@bidfood.cl,pmolina@bidfood.cl</v>
      </c>
      <c r="H495" s="18" t="str">
        <f>IFERROR(VLOOKUP(E495,PROVEEDORES!$A$3:$G$42,5,0),"")</f>
        <v>56225994444 - 56998038459</v>
      </c>
      <c r="I495" s="19">
        <v>17250</v>
      </c>
      <c r="J495" s="67" t="s">
        <v>105</v>
      </c>
      <c r="K495" s="68" t="str">
        <f>IFERROR(VLOOKUP(J495,PROVEEDORES!$A$3:$G$42,2,0),"")</f>
        <v>ESPECIES</v>
      </c>
      <c r="L495" s="69" t="str">
        <f>IFERROR(VLOOKUP(J495,PROVEEDORES!$A$3:$G$42,4,0),"")</f>
        <v>chef@gourmetselect.cl,contabilidad@gourmetselect.cl,pedidos@gourmetselect.cl,info@gourmetselect.cl</v>
      </c>
      <c r="M495" s="18" t="str">
        <f>IFERROR(VLOOKUP(J495,PROVEEDORES!$A$3:$G$42,5,0),"")</f>
        <v>56944921093</v>
      </c>
      <c r="N495" s="19">
        <v>14999</v>
      </c>
      <c r="O495" s="67" t="s">
        <v>41</v>
      </c>
      <c r="P495" s="68" t="str">
        <f>IFERROR(VLOOKUP(O495,PROVEEDORES!$A$3:$G$42,2,0),"")</f>
        <v>FRUTAS Y VERDURAS</v>
      </c>
      <c r="Q495" s="69" t="str">
        <f>IFERROR(VLOOKUP(O495,PROVEEDORES!$A$3:$G$42,4,0),"")</f>
        <v>caseritaencasa@gmail.com</v>
      </c>
      <c r="R495" s="18" t="str">
        <f>IFERROR(VLOOKUP(O495,PROVEEDORES!$A$3:$G$42,5,0),"")</f>
        <v>56952069703</v>
      </c>
      <c r="S495" s="19">
        <v>30039</v>
      </c>
      <c r="T495" s="20">
        <f>AVERAGE(I495,N495,S495)</f>
        <v>20762.666666666668</v>
      </c>
      <c r="U495" s="21">
        <f>T495*(1+$B$2)</f>
        <v>22838.933333333338</v>
      </c>
    </row>
    <row r="496" spans="1:21" ht="12" customHeight="1" x14ac:dyDescent="0.35">
      <c r="A496" s="59" t="s">
        <v>697</v>
      </c>
      <c r="B496" s="59"/>
      <c r="C496" s="59"/>
      <c r="D496" s="59"/>
      <c r="E496" s="59"/>
      <c r="F496" s="59"/>
      <c r="G496" s="59"/>
      <c r="H496" s="59"/>
      <c r="I496" s="59"/>
      <c r="J496" s="59"/>
      <c r="K496" s="59"/>
      <c r="L496" s="59"/>
      <c r="M496" s="59"/>
      <c r="N496" s="59"/>
      <c r="O496" s="59"/>
      <c r="P496" s="59"/>
      <c r="Q496" s="59"/>
      <c r="R496" s="59"/>
      <c r="S496" s="59"/>
      <c r="T496" s="59"/>
      <c r="U496" s="59"/>
    </row>
    <row r="497" spans="1:21" ht="15" customHeight="1" x14ac:dyDescent="0.35">
      <c r="A497" s="14" t="s">
        <v>697</v>
      </c>
      <c r="B497" s="15" t="s">
        <v>698</v>
      </c>
      <c r="C497" s="16" t="s">
        <v>239</v>
      </c>
      <c r="D497" s="17">
        <v>0.15</v>
      </c>
      <c r="E497" s="67" t="s">
        <v>35</v>
      </c>
      <c r="F497" s="68" t="str">
        <f>IFERROR(VLOOKUP(E497,PROVEEDORES!$A$3:$G$42,2,0),"")</f>
        <v>ABARROTES</v>
      </c>
      <c r="G497" s="69" t="str">
        <f>IFERROR(VLOOKUP(E497,PROVEEDORES!$A$3:$G$42,4,0),"")</f>
        <v>pagos@bidfood.cl,pmolina@bidfood.cl</v>
      </c>
      <c r="H497" s="18" t="str">
        <f>IFERROR(VLOOKUP(E497,PROVEEDORES!$A$3:$G$42,5,0),"")</f>
        <v>56225994444 - 56998038459</v>
      </c>
      <c r="I497" s="19">
        <v>3190</v>
      </c>
      <c r="J497" s="67" t="s">
        <v>105</v>
      </c>
      <c r="K497" s="68" t="str">
        <f>IFERROR(VLOOKUP(J497,PROVEEDORES!$A$3:$G$42,2,0),"")</f>
        <v>ESPECIES</v>
      </c>
      <c r="L497" s="69" t="str">
        <f>IFERROR(VLOOKUP(J497,PROVEEDORES!$A$3:$G$42,4,0),"")</f>
        <v>chef@gourmetselect.cl,contabilidad@gourmetselect.cl,pedidos@gourmetselect.cl,info@gourmetselect.cl</v>
      </c>
      <c r="M497" s="18" t="str">
        <f>IFERROR(VLOOKUP(J497,PROVEEDORES!$A$3:$G$42,5,0),"")</f>
        <v>56944921093</v>
      </c>
      <c r="N497" s="19">
        <v>3310</v>
      </c>
      <c r="O497" s="67" t="s">
        <v>41</v>
      </c>
      <c r="P497" s="68" t="str">
        <f>IFERROR(VLOOKUP(O497,PROVEEDORES!$A$3:$G$42,2,0),"")</f>
        <v>FRUTAS Y VERDURAS</v>
      </c>
      <c r="Q497" s="69" t="str">
        <f>IFERROR(VLOOKUP(O497,PROVEEDORES!$A$3:$G$42,4,0),"")</f>
        <v>caseritaencasa@gmail.com</v>
      </c>
      <c r="R497" s="18" t="str">
        <f>IFERROR(VLOOKUP(O497,PROVEEDORES!$A$3:$G$42,5,0),"")</f>
        <v>56952069703</v>
      </c>
      <c r="S497" s="19">
        <v>6685</v>
      </c>
      <c r="T497" s="20">
        <f>AVERAGE(I497,N497,S497)</f>
        <v>4395</v>
      </c>
      <c r="U497" s="21">
        <f>T497*(1+$B$2)</f>
        <v>4834.5</v>
      </c>
    </row>
    <row r="498" spans="1:21" ht="15" customHeight="1" x14ac:dyDescent="0.35">
      <c r="A498" s="6" t="s">
        <v>697</v>
      </c>
      <c r="B498" s="7" t="s">
        <v>699</v>
      </c>
      <c r="C498" s="8" t="s">
        <v>209</v>
      </c>
      <c r="D498" s="9">
        <v>0.05</v>
      </c>
      <c r="E498" s="64" t="s">
        <v>35</v>
      </c>
      <c r="F498" s="65" t="str">
        <f>IFERROR(VLOOKUP(E498,PROVEEDORES!$A$3:$G$42,2,0),"")</f>
        <v>ABARROTES</v>
      </c>
      <c r="G498" s="66" t="str">
        <f>IFERROR(VLOOKUP(E498,PROVEEDORES!$A$3:$G$42,4,0),"")</f>
        <v>pagos@bidfood.cl,pmolina@bidfood.cl</v>
      </c>
      <c r="H498" s="10" t="str">
        <f>IFERROR(VLOOKUP(E498,PROVEEDORES!$A$3:$G$42,5,0),"")</f>
        <v>56225994444 - 56998038459</v>
      </c>
      <c r="I498" s="11">
        <v>9340</v>
      </c>
      <c r="J498" s="64" t="s">
        <v>105</v>
      </c>
      <c r="K498" s="65" t="str">
        <f>IFERROR(VLOOKUP(J498,PROVEEDORES!$A$3:$G$42,2,0),"")</f>
        <v>ESPECIES</v>
      </c>
      <c r="L498" s="66" t="str">
        <f>IFERROR(VLOOKUP(J498,PROVEEDORES!$A$3:$G$42,4,0),"")</f>
        <v>chef@gourmetselect.cl,contabilidad@gourmetselect.cl,pedidos@gourmetselect.cl,info@gourmetselect.cl</v>
      </c>
      <c r="M498" s="10" t="str">
        <f>IFERROR(VLOOKUP(J498,PROVEEDORES!$A$3:$G$42,5,0),"")</f>
        <v>56944921093</v>
      </c>
      <c r="N498" s="11">
        <v>6482</v>
      </c>
      <c r="O498" s="64" t="s">
        <v>41</v>
      </c>
      <c r="P498" s="65" t="str">
        <f>IFERROR(VLOOKUP(O498,PROVEEDORES!$A$3:$G$42,2,0),"")</f>
        <v>FRUTAS Y VERDURAS</v>
      </c>
      <c r="Q498" s="66" t="str">
        <f>IFERROR(VLOOKUP(O498,PROVEEDORES!$A$3:$G$42,4,0),"")</f>
        <v>caseritaencasa@gmail.com</v>
      </c>
      <c r="R498" s="10" t="str">
        <f>IFERROR(VLOOKUP(O498,PROVEEDORES!$A$3:$G$42,5,0),"")</f>
        <v>56952069703</v>
      </c>
      <c r="S498" s="11">
        <v>607</v>
      </c>
      <c r="T498" s="12">
        <f>AVERAGE(I498,N498,S498)</f>
        <v>5476.333333333333</v>
      </c>
      <c r="U498" s="13">
        <f>T498*(1+$B$2)</f>
        <v>6023.9666666666672</v>
      </c>
    </row>
    <row r="499" spans="1:21" ht="12" customHeight="1" x14ac:dyDescent="0.35">
      <c r="A499" s="59" t="s">
        <v>700</v>
      </c>
      <c r="B499" s="59"/>
      <c r="C499" s="59"/>
      <c r="D499" s="59"/>
      <c r="E499" s="59"/>
      <c r="F499" s="59"/>
      <c r="G499" s="59"/>
      <c r="H499" s="59"/>
      <c r="I499" s="59"/>
      <c r="J499" s="59"/>
      <c r="K499" s="59"/>
      <c r="L499" s="59"/>
      <c r="M499" s="59"/>
      <c r="N499" s="59"/>
      <c r="O499" s="59"/>
      <c r="P499" s="59"/>
      <c r="Q499" s="59"/>
      <c r="R499" s="59"/>
      <c r="S499" s="59"/>
      <c r="T499" s="59"/>
      <c r="U499" s="59"/>
    </row>
    <row r="500" spans="1:21" ht="15" customHeight="1" x14ac:dyDescent="0.35">
      <c r="A500" s="6" t="s">
        <v>700</v>
      </c>
      <c r="B500" s="7" t="s">
        <v>701</v>
      </c>
      <c r="C500" s="8" t="s">
        <v>209</v>
      </c>
      <c r="D500" s="9">
        <v>9.0624999999999997E-2</v>
      </c>
      <c r="E500" s="64" t="s">
        <v>149</v>
      </c>
      <c r="F500" s="65" t="str">
        <f>IFERROR(VLOOKUP(E500,PROVEEDORES!$A$3:$G$42,2,0),"")</f>
        <v>CARNES Y LACTEOS</v>
      </c>
      <c r="G500" s="66" t="str">
        <f>IFERROR(VLOOKUP(E500,PROVEEDORES!$A$3:$G$42,4,0),"")</f>
        <v>grivas@palaisgourmet.cl</v>
      </c>
      <c r="H500" s="10" t="str">
        <f>IFERROR(VLOOKUP(E500,PROVEEDORES!$A$3:$G$42,5,0),"")</f>
        <v>56942132129</v>
      </c>
      <c r="I500" s="11">
        <v>21500</v>
      </c>
      <c r="J500" s="64" t="s">
        <v>175</v>
      </c>
      <c r="K500" s="65" t="str">
        <f>IFERROR(VLOOKUP(J500,PROVEEDORES!$A$3:$G$42,2,0),"")</f>
        <v>Leche fresca pasteurizada</v>
      </c>
      <c r="L500" s="66" t="str">
        <f>IFERROR(VLOOKUP(J500,PROVEEDORES!$A$3:$G$42,4,0),"")</f>
        <v>luis@frescarebeca.cl</v>
      </c>
      <c r="M500" s="10" t="str">
        <f>IFERROR(VLOOKUP(J500,PROVEEDORES!$A$3:$G$42,5,0),"")</f>
        <v>56985008017</v>
      </c>
      <c r="N500" s="11">
        <v>17985</v>
      </c>
      <c r="O500" s="64" t="s">
        <v>35</v>
      </c>
      <c r="P500" s="65" t="str">
        <f>IFERROR(VLOOKUP(O500,PROVEEDORES!$A$3:$G$42,2,0),"")</f>
        <v>ABARROTES</v>
      </c>
      <c r="Q500" s="66" t="str">
        <f>IFERROR(VLOOKUP(O500,PROVEEDORES!$A$3:$G$42,4,0),"")</f>
        <v>pagos@bidfood.cl,pmolina@bidfood.cl</v>
      </c>
      <c r="R500" s="10" t="str">
        <f>IFERROR(VLOOKUP(O500,PROVEEDORES!$A$3:$G$42,5,0),"")</f>
        <v>56225994444 - 56998038459</v>
      </c>
      <c r="S500" s="11">
        <v>12182</v>
      </c>
      <c r="T500" s="12">
        <f t="shared" ref="T500:T534" si="26">AVERAGE(I500,N500,S500)</f>
        <v>17222.333333333332</v>
      </c>
      <c r="U500" s="13">
        <f t="shared" ref="U500:U534" si="27">T500*(1+$B$2)</f>
        <v>18944.566666666666</v>
      </c>
    </row>
    <row r="501" spans="1:21" ht="15" customHeight="1" x14ac:dyDescent="0.35">
      <c r="A501" s="14" t="s">
        <v>700</v>
      </c>
      <c r="B501" s="15" t="s">
        <v>702</v>
      </c>
      <c r="C501" s="16" t="s">
        <v>209</v>
      </c>
      <c r="D501" s="17">
        <v>0.22500000000000001</v>
      </c>
      <c r="E501" s="67" t="s">
        <v>149</v>
      </c>
      <c r="F501" s="68" t="str">
        <f>IFERROR(VLOOKUP(E501,PROVEEDORES!$A$3:$G$42,2,0),"")</f>
        <v>CARNES Y LACTEOS</v>
      </c>
      <c r="G501" s="69" t="str">
        <f>IFERROR(VLOOKUP(E501,PROVEEDORES!$A$3:$G$42,4,0),"")</f>
        <v>grivas@palaisgourmet.cl</v>
      </c>
      <c r="H501" s="18" t="str">
        <f>IFERROR(VLOOKUP(E501,PROVEEDORES!$A$3:$G$42,5,0),"")</f>
        <v>56942132129</v>
      </c>
      <c r="I501" s="19">
        <v>6748</v>
      </c>
      <c r="J501" s="67" t="s">
        <v>175</v>
      </c>
      <c r="K501" s="68" t="str">
        <f>IFERROR(VLOOKUP(J501,PROVEEDORES!$A$3:$G$42,2,0),"")</f>
        <v>Leche fresca pasteurizada</v>
      </c>
      <c r="L501" s="69" t="str">
        <f>IFERROR(VLOOKUP(J501,PROVEEDORES!$A$3:$G$42,4,0),"")</f>
        <v>luis@frescarebeca.cl</v>
      </c>
      <c r="M501" s="18" t="str">
        <f>IFERROR(VLOOKUP(J501,PROVEEDORES!$A$3:$G$42,5,0),"")</f>
        <v>56985008017</v>
      </c>
      <c r="N501" s="19">
        <v>5624</v>
      </c>
      <c r="O501" s="67" t="s">
        <v>35</v>
      </c>
      <c r="P501" s="68" t="str">
        <f>IFERROR(VLOOKUP(O501,PROVEEDORES!$A$3:$G$42,2,0),"")</f>
        <v>ABARROTES</v>
      </c>
      <c r="Q501" s="69" t="str">
        <f>IFERROR(VLOOKUP(O501,PROVEEDORES!$A$3:$G$42,4,0),"")</f>
        <v>pagos@bidfood.cl,pmolina@bidfood.cl</v>
      </c>
      <c r="R501" s="18" t="str">
        <f>IFERROR(VLOOKUP(O501,PROVEEDORES!$A$3:$G$42,5,0),"")</f>
        <v>56225994444 - 56998038459</v>
      </c>
      <c r="S501" s="19">
        <v>439</v>
      </c>
      <c r="T501" s="20">
        <f t="shared" si="26"/>
        <v>4270.333333333333</v>
      </c>
      <c r="U501" s="21">
        <f t="shared" si="27"/>
        <v>4697.3666666666668</v>
      </c>
    </row>
    <row r="502" spans="1:21" ht="15" customHeight="1" x14ac:dyDescent="0.35">
      <c r="A502" s="6" t="s">
        <v>700</v>
      </c>
      <c r="B502" s="7" t="s">
        <v>703</v>
      </c>
      <c r="C502" s="8" t="s">
        <v>209</v>
      </c>
      <c r="D502" s="9">
        <v>6.8933249999999999</v>
      </c>
      <c r="E502" s="64" t="s">
        <v>149</v>
      </c>
      <c r="F502" s="65" t="str">
        <f>IFERROR(VLOOKUP(E502,PROVEEDORES!$A$3:$G$42,2,0),"")</f>
        <v>CARNES Y LACTEOS</v>
      </c>
      <c r="G502" s="66" t="str">
        <f>IFERROR(VLOOKUP(E502,PROVEEDORES!$A$3:$G$42,4,0),"")</f>
        <v>grivas@palaisgourmet.cl</v>
      </c>
      <c r="H502" s="10" t="str">
        <f>IFERROR(VLOOKUP(E502,PROVEEDORES!$A$3:$G$42,5,0),"")</f>
        <v>56942132129</v>
      </c>
      <c r="I502" s="11">
        <v>4232</v>
      </c>
      <c r="J502" s="64" t="s">
        <v>175</v>
      </c>
      <c r="K502" s="65" t="str">
        <f>IFERROR(VLOOKUP(J502,PROVEEDORES!$A$3:$G$42,2,0),"")</f>
        <v>Leche fresca pasteurizada</v>
      </c>
      <c r="L502" s="66" t="str">
        <f>IFERROR(VLOOKUP(J502,PROVEEDORES!$A$3:$G$42,4,0),"")</f>
        <v>luis@frescarebeca.cl</v>
      </c>
      <c r="M502" s="10" t="str">
        <f>IFERROR(VLOOKUP(J502,PROVEEDORES!$A$3:$G$42,5,0),"")</f>
        <v>56985008017</v>
      </c>
      <c r="N502" s="11">
        <v>5698</v>
      </c>
      <c r="O502" s="64" t="s">
        <v>35</v>
      </c>
      <c r="P502" s="65" t="str">
        <f>IFERROR(VLOOKUP(O502,PROVEEDORES!$A$3:$G$42,2,0),"")</f>
        <v>ABARROTES</v>
      </c>
      <c r="Q502" s="66" t="str">
        <f>IFERROR(VLOOKUP(O502,PROVEEDORES!$A$3:$G$42,4,0),"")</f>
        <v>pagos@bidfood.cl,pmolina@bidfood.cl</v>
      </c>
      <c r="R502" s="10" t="str">
        <f>IFERROR(VLOOKUP(O502,PROVEEDORES!$A$3:$G$42,5,0),"")</f>
        <v>56225994444 - 56998038459</v>
      </c>
      <c r="S502" s="11">
        <v>4623</v>
      </c>
      <c r="T502" s="12">
        <f t="shared" si="26"/>
        <v>4851</v>
      </c>
      <c r="U502" s="13">
        <f t="shared" si="27"/>
        <v>5336.1</v>
      </c>
    </row>
    <row r="503" spans="1:21" ht="15" customHeight="1" x14ac:dyDescent="0.35">
      <c r="A503" s="14" t="s">
        <v>700</v>
      </c>
      <c r="B503" s="15" t="s">
        <v>704</v>
      </c>
      <c r="C503" s="16" t="s">
        <v>219</v>
      </c>
      <c r="D503" s="17">
        <v>0.54800000000000004</v>
      </c>
      <c r="E503" s="67" t="s">
        <v>149</v>
      </c>
      <c r="F503" s="68" t="str">
        <f>IFERROR(VLOOKUP(E503,PROVEEDORES!$A$3:$G$42,2,0),"")</f>
        <v>CARNES Y LACTEOS</v>
      </c>
      <c r="G503" s="69" t="str">
        <f>IFERROR(VLOOKUP(E503,PROVEEDORES!$A$3:$G$42,4,0),"")</f>
        <v>grivas@palaisgourmet.cl</v>
      </c>
      <c r="H503" s="18" t="str">
        <f>IFERROR(VLOOKUP(E503,PROVEEDORES!$A$3:$G$42,5,0),"")</f>
        <v>56942132129</v>
      </c>
      <c r="I503" s="19">
        <v>4026</v>
      </c>
      <c r="J503" s="67" t="s">
        <v>175</v>
      </c>
      <c r="K503" s="68" t="str">
        <f>IFERROR(VLOOKUP(J503,PROVEEDORES!$A$3:$G$42,2,0),"")</f>
        <v>Leche fresca pasteurizada</v>
      </c>
      <c r="L503" s="69" t="str">
        <f>IFERROR(VLOOKUP(J503,PROVEEDORES!$A$3:$G$42,4,0),"")</f>
        <v>luis@frescarebeca.cl</v>
      </c>
      <c r="M503" s="18" t="str">
        <f>IFERROR(VLOOKUP(J503,PROVEEDORES!$A$3:$G$42,5,0),"")</f>
        <v>56985008017</v>
      </c>
      <c r="N503" s="19">
        <v>6448</v>
      </c>
      <c r="O503" s="67" t="s">
        <v>35</v>
      </c>
      <c r="P503" s="68" t="str">
        <f>IFERROR(VLOOKUP(O503,PROVEEDORES!$A$3:$G$42,2,0),"")</f>
        <v>ABARROTES</v>
      </c>
      <c r="Q503" s="69" t="str">
        <f>IFERROR(VLOOKUP(O503,PROVEEDORES!$A$3:$G$42,4,0),"")</f>
        <v>pagos@bidfood.cl,pmolina@bidfood.cl</v>
      </c>
      <c r="R503" s="18" t="str">
        <f>IFERROR(VLOOKUP(O503,PROVEEDORES!$A$3:$G$42,5,0),"")</f>
        <v>56225994444 - 56998038459</v>
      </c>
      <c r="S503" s="19">
        <v>7294</v>
      </c>
      <c r="T503" s="20">
        <f t="shared" si="26"/>
        <v>5922.666666666667</v>
      </c>
      <c r="U503" s="21">
        <f t="shared" si="27"/>
        <v>6514.9333333333343</v>
      </c>
    </row>
    <row r="504" spans="1:21" ht="15" customHeight="1" x14ac:dyDescent="0.35">
      <c r="A504" s="6" t="s">
        <v>700</v>
      </c>
      <c r="B504" s="7" t="s">
        <v>705</v>
      </c>
      <c r="C504" s="8" t="s">
        <v>239</v>
      </c>
      <c r="D504" s="9">
        <v>0.05</v>
      </c>
      <c r="E504" s="64" t="s">
        <v>149</v>
      </c>
      <c r="F504" s="65" t="str">
        <f>IFERROR(VLOOKUP(E504,PROVEEDORES!$A$3:$G$42,2,0),"")</f>
        <v>CARNES Y LACTEOS</v>
      </c>
      <c r="G504" s="66" t="str">
        <f>IFERROR(VLOOKUP(E504,PROVEEDORES!$A$3:$G$42,4,0),"")</f>
        <v>grivas@palaisgourmet.cl</v>
      </c>
      <c r="H504" s="10" t="str">
        <f>IFERROR(VLOOKUP(E504,PROVEEDORES!$A$3:$G$42,5,0),"")</f>
        <v>56942132129</v>
      </c>
      <c r="I504" s="11">
        <v>2018</v>
      </c>
      <c r="J504" s="64" t="s">
        <v>175</v>
      </c>
      <c r="K504" s="65" t="str">
        <f>IFERROR(VLOOKUP(J504,PROVEEDORES!$A$3:$G$42,2,0),"")</f>
        <v>Leche fresca pasteurizada</v>
      </c>
      <c r="L504" s="66" t="str">
        <f>IFERROR(VLOOKUP(J504,PROVEEDORES!$A$3:$G$42,4,0),"")</f>
        <v>luis@frescarebeca.cl</v>
      </c>
      <c r="M504" s="10" t="str">
        <f>IFERROR(VLOOKUP(J504,PROVEEDORES!$A$3:$G$42,5,0),"")</f>
        <v>56985008017</v>
      </c>
      <c r="N504" s="11">
        <v>2218</v>
      </c>
      <c r="O504" s="64" t="s">
        <v>35</v>
      </c>
      <c r="P504" s="65" t="str">
        <f>IFERROR(VLOOKUP(O504,PROVEEDORES!$A$3:$G$42,2,0),"")</f>
        <v>ABARROTES</v>
      </c>
      <c r="Q504" s="66" t="str">
        <f>IFERROR(VLOOKUP(O504,PROVEEDORES!$A$3:$G$42,4,0),"")</f>
        <v>pagos@bidfood.cl,pmolina@bidfood.cl</v>
      </c>
      <c r="R504" s="10" t="str">
        <f>IFERROR(VLOOKUP(O504,PROVEEDORES!$A$3:$G$42,5,0),"")</f>
        <v>56225994444 - 56998038459</v>
      </c>
      <c r="S504" s="11">
        <v>1596</v>
      </c>
      <c r="T504" s="12">
        <f t="shared" si="26"/>
        <v>1944</v>
      </c>
      <c r="U504" s="13">
        <f t="shared" si="27"/>
        <v>2138.4</v>
      </c>
    </row>
    <row r="505" spans="1:21" ht="15" customHeight="1" x14ac:dyDescent="0.35">
      <c r="A505" s="14" t="s">
        <v>700</v>
      </c>
      <c r="B505" s="15" t="s">
        <v>706</v>
      </c>
      <c r="C505" s="16" t="s">
        <v>209</v>
      </c>
      <c r="D505" s="17">
        <v>0.02</v>
      </c>
      <c r="E505" s="67" t="s">
        <v>149</v>
      </c>
      <c r="F505" s="68" t="str">
        <f>IFERROR(VLOOKUP(E505,PROVEEDORES!$A$3:$G$42,2,0),"")</f>
        <v>CARNES Y LACTEOS</v>
      </c>
      <c r="G505" s="69" t="str">
        <f>IFERROR(VLOOKUP(E505,PROVEEDORES!$A$3:$G$42,4,0),"")</f>
        <v>grivas@palaisgourmet.cl</v>
      </c>
      <c r="H505" s="18" t="str">
        <f>IFERROR(VLOOKUP(E505,PROVEEDORES!$A$3:$G$42,5,0),"")</f>
        <v>56942132129</v>
      </c>
      <c r="I505" s="19">
        <v>3899</v>
      </c>
      <c r="J505" s="67" t="s">
        <v>175</v>
      </c>
      <c r="K505" s="68" t="str">
        <f>IFERROR(VLOOKUP(J505,PROVEEDORES!$A$3:$G$42,2,0),"")</f>
        <v>Leche fresca pasteurizada</v>
      </c>
      <c r="L505" s="69" t="str">
        <f>IFERROR(VLOOKUP(J505,PROVEEDORES!$A$3:$G$42,4,0),"")</f>
        <v>luis@frescarebeca.cl</v>
      </c>
      <c r="M505" s="18" t="str">
        <f>IFERROR(VLOOKUP(J505,PROVEEDORES!$A$3:$G$42,5,0),"")</f>
        <v>56985008017</v>
      </c>
      <c r="N505" s="19">
        <v>4221</v>
      </c>
      <c r="O505" s="67" t="s">
        <v>35</v>
      </c>
      <c r="P505" s="68" t="str">
        <f>IFERROR(VLOOKUP(O505,PROVEEDORES!$A$3:$G$42,2,0),"")</f>
        <v>ABARROTES</v>
      </c>
      <c r="Q505" s="69" t="str">
        <f>IFERROR(VLOOKUP(O505,PROVEEDORES!$A$3:$G$42,4,0),"")</f>
        <v>pagos@bidfood.cl,pmolina@bidfood.cl</v>
      </c>
      <c r="R505" s="18" t="str">
        <f>IFERROR(VLOOKUP(O505,PROVEEDORES!$A$3:$G$42,5,0),"")</f>
        <v>56225994444 - 56998038459</v>
      </c>
      <c r="S505" s="19">
        <v>6738</v>
      </c>
      <c r="T505" s="20">
        <f t="shared" si="26"/>
        <v>4952.666666666667</v>
      </c>
      <c r="U505" s="21">
        <f t="shared" si="27"/>
        <v>5447.9333333333343</v>
      </c>
    </row>
    <row r="506" spans="1:21" ht="15" customHeight="1" x14ac:dyDescent="0.35">
      <c r="A506" s="6" t="s">
        <v>700</v>
      </c>
      <c r="B506" s="7" t="s">
        <v>707</v>
      </c>
      <c r="C506" s="8" t="s">
        <v>209</v>
      </c>
      <c r="D506" s="9">
        <v>8.5000000000000006E-2</v>
      </c>
      <c r="E506" s="64" t="s">
        <v>149</v>
      </c>
      <c r="F506" s="65" t="str">
        <f>IFERROR(VLOOKUP(E506,PROVEEDORES!$A$3:$G$42,2,0),"")</f>
        <v>CARNES Y LACTEOS</v>
      </c>
      <c r="G506" s="66" t="str">
        <f>IFERROR(VLOOKUP(E506,PROVEEDORES!$A$3:$G$42,4,0),"")</f>
        <v>grivas@palaisgourmet.cl</v>
      </c>
      <c r="H506" s="10" t="str">
        <f>IFERROR(VLOOKUP(E506,PROVEEDORES!$A$3:$G$42,5,0),"")</f>
        <v>56942132129</v>
      </c>
      <c r="I506" s="11">
        <v>1554</v>
      </c>
      <c r="J506" s="64" t="s">
        <v>175</v>
      </c>
      <c r="K506" s="65" t="str">
        <f>IFERROR(VLOOKUP(J506,PROVEEDORES!$A$3:$G$42,2,0),"")</f>
        <v>Leche fresca pasteurizada</v>
      </c>
      <c r="L506" s="66" t="str">
        <f>IFERROR(VLOOKUP(J506,PROVEEDORES!$A$3:$G$42,4,0),"")</f>
        <v>luis@frescarebeca.cl</v>
      </c>
      <c r="M506" s="10" t="str">
        <f>IFERROR(VLOOKUP(J506,PROVEEDORES!$A$3:$G$42,5,0),"")</f>
        <v>56985008017</v>
      </c>
      <c r="N506" s="11">
        <v>517</v>
      </c>
      <c r="O506" s="64" t="s">
        <v>35</v>
      </c>
      <c r="P506" s="65" t="str">
        <f>IFERROR(VLOOKUP(O506,PROVEEDORES!$A$3:$G$42,2,0),"")</f>
        <v>ABARROTES</v>
      </c>
      <c r="Q506" s="66" t="str">
        <f>IFERROR(VLOOKUP(O506,PROVEEDORES!$A$3:$G$42,4,0),"")</f>
        <v>pagos@bidfood.cl,pmolina@bidfood.cl</v>
      </c>
      <c r="R506" s="10" t="str">
        <f>IFERROR(VLOOKUP(O506,PROVEEDORES!$A$3:$G$42,5,0),"")</f>
        <v>56225994444 - 56998038459</v>
      </c>
      <c r="S506" s="11">
        <v>1164</v>
      </c>
      <c r="T506" s="12">
        <f t="shared" si="26"/>
        <v>1078.3333333333333</v>
      </c>
      <c r="U506" s="13">
        <f t="shared" si="27"/>
        <v>1186.1666666666667</v>
      </c>
    </row>
    <row r="507" spans="1:21" ht="15" customHeight="1" x14ac:dyDescent="0.35">
      <c r="A507" s="14" t="s">
        <v>700</v>
      </c>
      <c r="B507" s="15" t="s">
        <v>708</v>
      </c>
      <c r="C507" s="16" t="s">
        <v>209</v>
      </c>
      <c r="D507" s="17">
        <v>1.875E-4</v>
      </c>
      <c r="E507" s="67" t="s">
        <v>149</v>
      </c>
      <c r="F507" s="68" t="str">
        <f>IFERROR(VLOOKUP(E507,PROVEEDORES!$A$3:$G$42,2,0),"")</f>
        <v>CARNES Y LACTEOS</v>
      </c>
      <c r="G507" s="69" t="str">
        <f>IFERROR(VLOOKUP(E507,PROVEEDORES!$A$3:$G$42,4,0),"")</f>
        <v>grivas@palaisgourmet.cl</v>
      </c>
      <c r="H507" s="18" t="str">
        <f>IFERROR(VLOOKUP(E507,PROVEEDORES!$A$3:$G$42,5,0),"")</f>
        <v>56942132129</v>
      </c>
      <c r="I507" s="19">
        <v>990</v>
      </c>
      <c r="J507" s="67" t="s">
        <v>175</v>
      </c>
      <c r="K507" s="68" t="str">
        <f>IFERROR(VLOOKUP(J507,PROVEEDORES!$A$3:$G$42,2,0),"")</f>
        <v>Leche fresca pasteurizada</v>
      </c>
      <c r="L507" s="69" t="str">
        <f>IFERROR(VLOOKUP(J507,PROVEEDORES!$A$3:$G$42,4,0),"")</f>
        <v>luis@frescarebeca.cl</v>
      </c>
      <c r="M507" s="18" t="str">
        <f>IFERROR(VLOOKUP(J507,PROVEEDORES!$A$3:$G$42,5,0),"")</f>
        <v>56985008017</v>
      </c>
      <c r="N507" s="19">
        <v>1280</v>
      </c>
      <c r="O507" s="67" t="s">
        <v>35</v>
      </c>
      <c r="P507" s="68" t="str">
        <f>IFERROR(VLOOKUP(O507,PROVEEDORES!$A$3:$G$42,2,0),"")</f>
        <v>ABARROTES</v>
      </c>
      <c r="Q507" s="69" t="str">
        <f>IFERROR(VLOOKUP(O507,PROVEEDORES!$A$3:$G$42,4,0),"")</f>
        <v>pagos@bidfood.cl,pmolina@bidfood.cl</v>
      </c>
      <c r="R507" s="18" t="str">
        <f>IFERROR(VLOOKUP(O507,PROVEEDORES!$A$3:$G$42,5,0),"")</f>
        <v>56225994444 - 56998038459</v>
      </c>
      <c r="S507" s="19">
        <v>1471</v>
      </c>
      <c r="T507" s="20">
        <f t="shared" si="26"/>
        <v>1247</v>
      </c>
      <c r="U507" s="21">
        <f t="shared" si="27"/>
        <v>1371.7</v>
      </c>
    </row>
    <row r="508" spans="1:21" ht="15" customHeight="1" x14ac:dyDescent="0.35">
      <c r="A508" s="6" t="s">
        <v>700</v>
      </c>
      <c r="B508" s="7" t="s">
        <v>709</v>
      </c>
      <c r="C508" s="8" t="s">
        <v>209</v>
      </c>
      <c r="D508" s="9">
        <v>1.4999999999999999E-2</v>
      </c>
      <c r="E508" s="64" t="s">
        <v>149</v>
      </c>
      <c r="F508" s="65" t="str">
        <f>IFERROR(VLOOKUP(E508,PROVEEDORES!$A$3:$G$42,2,0),"")</f>
        <v>CARNES Y LACTEOS</v>
      </c>
      <c r="G508" s="66" t="str">
        <f>IFERROR(VLOOKUP(E508,PROVEEDORES!$A$3:$G$42,4,0),"")</f>
        <v>grivas@palaisgourmet.cl</v>
      </c>
      <c r="H508" s="10" t="str">
        <f>IFERROR(VLOOKUP(E508,PROVEEDORES!$A$3:$G$42,5,0),"")</f>
        <v>56942132129</v>
      </c>
      <c r="I508" s="11">
        <v>1358</v>
      </c>
      <c r="J508" s="64" t="s">
        <v>175</v>
      </c>
      <c r="K508" s="65" t="str">
        <f>IFERROR(VLOOKUP(J508,PROVEEDORES!$A$3:$G$42,2,0),"")</f>
        <v>Leche fresca pasteurizada</v>
      </c>
      <c r="L508" s="66" t="str">
        <f>IFERROR(VLOOKUP(J508,PROVEEDORES!$A$3:$G$42,4,0),"")</f>
        <v>luis@frescarebeca.cl</v>
      </c>
      <c r="M508" s="10" t="str">
        <f>IFERROR(VLOOKUP(J508,PROVEEDORES!$A$3:$G$42,5,0),"")</f>
        <v>56985008017</v>
      </c>
      <c r="N508" s="11">
        <v>1808</v>
      </c>
      <c r="O508" s="64" t="s">
        <v>35</v>
      </c>
      <c r="P508" s="65" t="str">
        <f>IFERROR(VLOOKUP(O508,PROVEEDORES!$A$3:$G$42,2,0),"")</f>
        <v>ABARROTES</v>
      </c>
      <c r="Q508" s="66" t="str">
        <f>IFERROR(VLOOKUP(O508,PROVEEDORES!$A$3:$G$42,4,0),"")</f>
        <v>pagos@bidfood.cl,pmolina@bidfood.cl</v>
      </c>
      <c r="R508" s="10" t="str">
        <f>IFERROR(VLOOKUP(O508,PROVEEDORES!$A$3:$G$42,5,0),"")</f>
        <v>56225994444 - 56998038459</v>
      </c>
      <c r="S508" s="11">
        <v>530</v>
      </c>
      <c r="T508" s="12">
        <f t="shared" si="26"/>
        <v>1232</v>
      </c>
      <c r="U508" s="13">
        <f t="shared" si="27"/>
        <v>1355.2</v>
      </c>
    </row>
    <row r="509" spans="1:21" ht="15" customHeight="1" x14ac:dyDescent="0.35">
      <c r="A509" s="14" t="s">
        <v>700</v>
      </c>
      <c r="B509" s="15" t="s">
        <v>710</v>
      </c>
      <c r="C509" s="16" t="s">
        <v>219</v>
      </c>
      <c r="D509" s="17">
        <v>0.105</v>
      </c>
      <c r="E509" s="67" t="s">
        <v>149</v>
      </c>
      <c r="F509" s="68" t="str">
        <f>IFERROR(VLOOKUP(E509,PROVEEDORES!$A$3:$G$42,2,0),"")</f>
        <v>CARNES Y LACTEOS</v>
      </c>
      <c r="G509" s="69" t="str">
        <f>IFERROR(VLOOKUP(E509,PROVEEDORES!$A$3:$G$42,4,0),"")</f>
        <v>grivas@palaisgourmet.cl</v>
      </c>
      <c r="H509" s="18" t="str">
        <f>IFERROR(VLOOKUP(E509,PROVEEDORES!$A$3:$G$42,5,0),"")</f>
        <v>56942132129</v>
      </c>
      <c r="I509" s="19">
        <v>5788</v>
      </c>
      <c r="J509" s="67" t="s">
        <v>175</v>
      </c>
      <c r="K509" s="68" t="str">
        <f>IFERROR(VLOOKUP(J509,PROVEEDORES!$A$3:$G$42,2,0),"")</f>
        <v>Leche fresca pasteurizada</v>
      </c>
      <c r="L509" s="69" t="str">
        <f>IFERROR(VLOOKUP(J509,PROVEEDORES!$A$3:$G$42,4,0),"")</f>
        <v>luis@frescarebeca.cl</v>
      </c>
      <c r="M509" s="18" t="str">
        <f>IFERROR(VLOOKUP(J509,PROVEEDORES!$A$3:$G$42,5,0),"")</f>
        <v>56985008017</v>
      </c>
      <c r="N509" s="19">
        <v>4164</v>
      </c>
      <c r="O509" s="67" t="s">
        <v>35</v>
      </c>
      <c r="P509" s="68" t="str">
        <f>IFERROR(VLOOKUP(O509,PROVEEDORES!$A$3:$G$42,2,0),"")</f>
        <v>ABARROTES</v>
      </c>
      <c r="Q509" s="69" t="str">
        <f>IFERROR(VLOOKUP(O509,PROVEEDORES!$A$3:$G$42,4,0),"")</f>
        <v>pagos@bidfood.cl,pmolina@bidfood.cl</v>
      </c>
      <c r="R509" s="18" t="str">
        <f>IFERROR(VLOOKUP(O509,PROVEEDORES!$A$3:$G$42,5,0),"")</f>
        <v>56225994444 - 56998038459</v>
      </c>
      <c r="S509" s="19">
        <v>-337</v>
      </c>
      <c r="T509" s="20">
        <f t="shared" si="26"/>
        <v>3205</v>
      </c>
      <c r="U509" s="21">
        <f t="shared" si="27"/>
        <v>3525.5000000000005</v>
      </c>
    </row>
    <row r="510" spans="1:21" ht="15" customHeight="1" x14ac:dyDescent="0.35">
      <c r="A510" s="6" t="s">
        <v>700</v>
      </c>
      <c r="B510" s="7" t="s">
        <v>711</v>
      </c>
      <c r="C510" s="8" t="s">
        <v>219</v>
      </c>
      <c r="D510" s="9">
        <v>8.9999999999999993E-3</v>
      </c>
      <c r="E510" s="64" t="s">
        <v>149</v>
      </c>
      <c r="F510" s="65" t="str">
        <f>IFERROR(VLOOKUP(E510,PROVEEDORES!$A$3:$G$42,2,0),"")</f>
        <v>CARNES Y LACTEOS</v>
      </c>
      <c r="G510" s="66" t="str">
        <f>IFERROR(VLOOKUP(E510,PROVEEDORES!$A$3:$G$42,4,0),"")</f>
        <v>grivas@palaisgourmet.cl</v>
      </c>
      <c r="H510" s="10" t="str">
        <f>IFERROR(VLOOKUP(E510,PROVEEDORES!$A$3:$G$42,5,0),"")</f>
        <v>56942132129</v>
      </c>
      <c r="I510" s="11">
        <v>5788</v>
      </c>
      <c r="J510" s="64" t="s">
        <v>175</v>
      </c>
      <c r="K510" s="65" t="str">
        <f>IFERROR(VLOOKUP(J510,PROVEEDORES!$A$3:$G$42,2,0),"")</f>
        <v>Leche fresca pasteurizada</v>
      </c>
      <c r="L510" s="66" t="str">
        <f>IFERROR(VLOOKUP(J510,PROVEEDORES!$A$3:$G$42,4,0),"")</f>
        <v>luis@frescarebeca.cl</v>
      </c>
      <c r="M510" s="10" t="str">
        <f>IFERROR(VLOOKUP(J510,PROVEEDORES!$A$3:$G$42,5,0),"")</f>
        <v>56985008017</v>
      </c>
      <c r="N510" s="11">
        <v>8740</v>
      </c>
      <c r="O510" s="64" t="s">
        <v>35</v>
      </c>
      <c r="P510" s="65" t="str">
        <f>IFERROR(VLOOKUP(O510,PROVEEDORES!$A$3:$G$42,2,0),"")</f>
        <v>ABARROTES</v>
      </c>
      <c r="Q510" s="66" t="str">
        <f>IFERROR(VLOOKUP(O510,PROVEEDORES!$A$3:$G$42,4,0),"")</f>
        <v>pagos@bidfood.cl,pmolina@bidfood.cl</v>
      </c>
      <c r="R510" s="10" t="str">
        <f>IFERROR(VLOOKUP(O510,PROVEEDORES!$A$3:$G$42,5,0),"")</f>
        <v>56225994444 - 56998038459</v>
      </c>
      <c r="S510" s="11">
        <v>5075</v>
      </c>
      <c r="T510" s="12">
        <f t="shared" si="26"/>
        <v>6534.333333333333</v>
      </c>
      <c r="U510" s="13">
        <f t="shared" si="27"/>
        <v>7187.7666666666673</v>
      </c>
    </row>
    <row r="511" spans="1:21" ht="15" customHeight="1" x14ac:dyDescent="0.35">
      <c r="A511" s="14" t="s">
        <v>700</v>
      </c>
      <c r="B511" s="15" t="s">
        <v>712</v>
      </c>
      <c r="C511" s="16" t="s">
        <v>209</v>
      </c>
      <c r="D511" s="17">
        <v>9.4732500000000002</v>
      </c>
      <c r="E511" s="67" t="s">
        <v>149</v>
      </c>
      <c r="F511" s="68" t="str">
        <f>IFERROR(VLOOKUP(E511,PROVEEDORES!$A$3:$G$42,2,0),"")</f>
        <v>CARNES Y LACTEOS</v>
      </c>
      <c r="G511" s="69" t="str">
        <f>IFERROR(VLOOKUP(E511,PROVEEDORES!$A$3:$G$42,4,0),"")</f>
        <v>grivas@palaisgourmet.cl</v>
      </c>
      <c r="H511" s="18" t="str">
        <f>IFERROR(VLOOKUP(E511,PROVEEDORES!$A$3:$G$42,5,0),"")</f>
        <v>56942132129</v>
      </c>
      <c r="I511" s="19">
        <v>990</v>
      </c>
      <c r="J511" s="67" t="s">
        <v>175</v>
      </c>
      <c r="K511" s="68" t="str">
        <f>IFERROR(VLOOKUP(J511,PROVEEDORES!$A$3:$G$42,2,0),"")</f>
        <v>Leche fresca pasteurizada</v>
      </c>
      <c r="L511" s="69" t="str">
        <f>IFERROR(VLOOKUP(J511,PROVEEDORES!$A$3:$G$42,4,0),"")</f>
        <v>luis@frescarebeca.cl</v>
      </c>
      <c r="M511" s="18" t="str">
        <f>IFERROR(VLOOKUP(J511,PROVEEDORES!$A$3:$G$42,5,0),"")</f>
        <v>56985008017</v>
      </c>
      <c r="N511" s="19">
        <v>359</v>
      </c>
      <c r="O511" s="67" t="s">
        <v>35</v>
      </c>
      <c r="P511" s="68" t="str">
        <f>IFERROR(VLOOKUP(O511,PROVEEDORES!$A$3:$G$42,2,0),"")</f>
        <v>ABARROTES</v>
      </c>
      <c r="Q511" s="69" t="str">
        <f>IFERROR(VLOOKUP(O511,PROVEEDORES!$A$3:$G$42,4,0),"")</f>
        <v>pagos@bidfood.cl,pmolina@bidfood.cl</v>
      </c>
      <c r="R511" s="18" t="str">
        <f>IFERROR(VLOOKUP(O511,PROVEEDORES!$A$3:$G$42,5,0),"")</f>
        <v>56225994444 - 56998038459</v>
      </c>
      <c r="S511" s="19">
        <v>600</v>
      </c>
      <c r="T511" s="20">
        <f t="shared" si="26"/>
        <v>649.66666666666663</v>
      </c>
      <c r="U511" s="21">
        <f t="shared" si="27"/>
        <v>714.63333333333333</v>
      </c>
    </row>
    <row r="512" spans="1:21" ht="15" customHeight="1" x14ac:dyDescent="0.35">
      <c r="A512" s="6" t="s">
        <v>700</v>
      </c>
      <c r="B512" s="7" t="s">
        <v>713</v>
      </c>
      <c r="C512" s="8" t="s">
        <v>219</v>
      </c>
      <c r="D512" s="9">
        <v>2.27</v>
      </c>
      <c r="E512" s="64" t="s">
        <v>149</v>
      </c>
      <c r="F512" s="65" t="str">
        <f>IFERROR(VLOOKUP(E512,PROVEEDORES!$A$3:$G$42,2,0),"")</f>
        <v>CARNES Y LACTEOS</v>
      </c>
      <c r="G512" s="66" t="str">
        <f>IFERROR(VLOOKUP(E512,PROVEEDORES!$A$3:$G$42,4,0),"")</f>
        <v>grivas@palaisgourmet.cl</v>
      </c>
      <c r="H512" s="10" t="str">
        <f>IFERROR(VLOOKUP(E512,PROVEEDORES!$A$3:$G$42,5,0),"")</f>
        <v>56942132129</v>
      </c>
      <c r="I512" s="11">
        <v>3933</v>
      </c>
      <c r="J512" s="64" t="s">
        <v>175</v>
      </c>
      <c r="K512" s="65" t="str">
        <f>IFERROR(VLOOKUP(J512,PROVEEDORES!$A$3:$G$42,2,0),"")</f>
        <v>Leche fresca pasteurizada</v>
      </c>
      <c r="L512" s="66" t="str">
        <f>IFERROR(VLOOKUP(J512,PROVEEDORES!$A$3:$G$42,4,0),"")</f>
        <v>luis@frescarebeca.cl</v>
      </c>
      <c r="M512" s="10" t="str">
        <f>IFERROR(VLOOKUP(J512,PROVEEDORES!$A$3:$G$42,5,0),"")</f>
        <v>56985008017</v>
      </c>
      <c r="N512" s="11">
        <v>2134</v>
      </c>
      <c r="O512" s="64" t="s">
        <v>35</v>
      </c>
      <c r="P512" s="65" t="str">
        <f>IFERROR(VLOOKUP(O512,PROVEEDORES!$A$3:$G$42,2,0),"")</f>
        <v>ABARROTES</v>
      </c>
      <c r="Q512" s="66" t="str">
        <f>IFERROR(VLOOKUP(O512,PROVEEDORES!$A$3:$G$42,4,0),"")</f>
        <v>pagos@bidfood.cl,pmolina@bidfood.cl</v>
      </c>
      <c r="R512" s="10" t="str">
        <f>IFERROR(VLOOKUP(O512,PROVEEDORES!$A$3:$G$42,5,0),"")</f>
        <v>56225994444 - 56998038459</v>
      </c>
      <c r="S512" s="11">
        <v>4876</v>
      </c>
      <c r="T512" s="12">
        <f t="shared" si="26"/>
        <v>3647.6666666666665</v>
      </c>
      <c r="U512" s="13">
        <f t="shared" si="27"/>
        <v>4012.4333333333334</v>
      </c>
    </row>
    <row r="513" spans="1:21" ht="15" customHeight="1" x14ac:dyDescent="0.35">
      <c r="A513" s="14" t="s">
        <v>700</v>
      </c>
      <c r="B513" s="15" t="s">
        <v>714</v>
      </c>
      <c r="C513" s="16" t="s">
        <v>219</v>
      </c>
      <c r="D513" s="17">
        <v>1.7361249999999999</v>
      </c>
      <c r="E513" s="67" t="s">
        <v>149</v>
      </c>
      <c r="F513" s="68" t="str">
        <f>IFERROR(VLOOKUP(E513,PROVEEDORES!$A$3:$G$42,2,0),"")</f>
        <v>CARNES Y LACTEOS</v>
      </c>
      <c r="G513" s="69" t="str">
        <f>IFERROR(VLOOKUP(E513,PROVEEDORES!$A$3:$G$42,4,0),"")</f>
        <v>grivas@palaisgourmet.cl</v>
      </c>
      <c r="H513" s="18" t="str">
        <f>IFERROR(VLOOKUP(E513,PROVEEDORES!$A$3:$G$42,5,0),"")</f>
        <v>56942132129</v>
      </c>
      <c r="I513" s="19">
        <v>10068</v>
      </c>
      <c r="J513" s="67" t="s">
        <v>175</v>
      </c>
      <c r="K513" s="68" t="str">
        <f>IFERROR(VLOOKUP(J513,PROVEEDORES!$A$3:$G$42,2,0),"")</f>
        <v>Leche fresca pasteurizada</v>
      </c>
      <c r="L513" s="69" t="str">
        <f>IFERROR(VLOOKUP(J513,PROVEEDORES!$A$3:$G$42,4,0),"")</f>
        <v>luis@frescarebeca.cl</v>
      </c>
      <c r="M513" s="18" t="str">
        <f>IFERROR(VLOOKUP(J513,PROVEEDORES!$A$3:$G$42,5,0),"")</f>
        <v>56985008017</v>
      </c>
      <c r="N513" s="19">
        <v>16803</v>
      </c>
      <c r="O513" s="67" t="s">
        <v>35</v>
      </c>
      <c r="P513" s="68" t="str">
        <f>IFERROR(VLOOKUP(O513,PROVEEDORES!$A$3:$G$42,2,0),"")</f>
        <v>ABARROTES</v>
      </c>
      <c r="Q513" s="69" t="str">
        <f>IFERROR(VLOOKUP(O513,PROVEEDORES!$A$3:$G$42,4,0),"")</f>
        <v>pagos@bidfood.cl,pmolina@bidfood.cl</v>
      </c>
      <c r="R513" s="18" t="str">
        <f>IFERROR(VLOOKUP(O513,PROVEEDORES!$A$3:$G$42,5,0),"")</f>
        <v>56225994444 - 56998038459</v>
      </c>
      <c r="S513" s="19">
        <v>11574</v>
      </c>
      <c r="T513" s="20">
        <f t="shared" si="26"/>
        <v>12815</v>
      </c>
      <c r="U513" s="21">
        <f t="shared" si="27"/>
        <v>14096.500000000002</v>
      </c>
    </row>
    <row r="514" spans="1:21" ht="15" customHeight="1" x14ac:dyDescent="0.35">
      <c r="A514" s="6" t="s">
        <v>700</v>
      </c>
      <c r="B514" s="7" t="s">
        <v>715</v>
      </c>
      <c r="C514" s="8" t="s">
        <v>219</v>
      </c>
      <c r="D514" s="9">
        <v>4.13103</v>
      </c>
      <c r="E514" s="64" t="s">
        <v>149</v>
      </c>
      <c r="F514" s="65" t="str">
        <f>IFERROR(VLOOKUP(E514,PROVEEDORES!$A$3:$G$42,2,0),"")</f>
        <v>CARNES Y LACTEOS</v>
      </c>
      <c r="G514" s="66" t="str">
        <f>IFERROR(VLOOKUP(E514,PROVEEDORES!$A$3:$G$42,4,0),"")</f>
        <v>grivas@palaisgourmet.cl</v>
      </c>
      <c r="H514" s="10" t="str">
        <f>IFERROR(VLOOKUP(E514,PROVEEDORES!$A$3:$G$42,5,0),"")</f>
        <v>56942132129</v>
      </c>
      <c r="I514" s="11">
        <v>11128</v>
      </c>
      <c r="J514" s="64" t="s">
        <v>175</v>
      </c>
      <c r="K514" s="65" t="str">
        <f>IFERROR(VLOOKUP(J514,PROVEEDORES!$A$3:$G$42,2,0),"")</f>
        <v>Leche fresca pasteurizada</v>
      </c>
      <c r="L514" s="66" t="str">
        <f>IFERROR(VLOOKUP(J514,PROVEEDORES!$A$3:$G$42,4,0),"")</f>
        <v>luis@frescarebeca.cl</v>
      </c>
      <c r="M514" s="10" t="str">
        <f>IFERROR(VLOOKUP(J514,PROVEEDORES!$A$3:$G$42,5,0),"")</f>
        <v>56985008017</v>
      </c>
      <c r="N514" s="11">
        <v>15284</v>
      </c>
      <c r="O514" s="64" t="s">
        <v>35</v>
      </c>
      <c r="P514" s="65" t="str">
        <f>IFERROR(VLOOKUP(O514,PROVEEDORES!$A$3:$G$42,2,0),"")</f>
        <v>ABARROTES</v>
      </c>
      <c r="Q514" s="66" t="str">
        <f>IFERROR(VLOOKUP(O514,PROVEEDORES!$A$3:$G$42,4,0),"")</f>
        <v>pagos@bidfood.cl,pmolina@bidfood.cl</v>
      </c>
      <c r="R514" s="10" t="str">
        <f>IFERROR(VLOOKUP(O514,PROVEEDORES!$A$3:$G$42,5,0),"")</f>
        <v>56225994444 - 56998038459</v>
      </c>
      <c r="S514" s="11">
        <v>5375</v>
      </c>
      <c r="T514" s="12">
        <f t="shared" si="26"/>
        <v>10595.666666666666</v>
      </c>
      <c r="U514" s="13">
        <f t="shared" si="27"/>
        <v>11655.233333333334</v>
      </c>
    </row>
    <row r="515" spans="1:21" ht="15" customHeight="1" x14ac:dyDescent="0.35">
      <c r="A515" s="14" t="s">
        <v>700</v>
      </c>
      <c r="B515" s="15" t="s">
        <v>716</v>
      </c>
      <c r="C515" s="16" t="s">
        <v>219</v>
      </c>
      <c r="D515" s="17">
        <v>0.115</v>
      </c>
      <c r="E515" s="67" t="s">
        <v>149</v>
      </c>
      <c r="F515" s="68" t="str">
        <f>IFERROR(VLOOKUP(E515,PROVEEDORES!$A$3:$G$42,2,0),"")</f>
        <v>CARNES Y LACTEOS</v>
      </c>
      <c r="G515" s="69" t="str">
        <f>IFERROR(VLOOKUP(E515,PROVEEDORES!$A$3:$G$42,4,0),"")</f>
        <v>grivas@palaisgourmet.cl</v>
      </c>
      <c r="H515" s="18" t="str">
        <f>IFERROR(VLOOKUP(E515,PROVEEDORES!$A$3:$G$42,5,0),"")</f>
        <v>56942132129</v>
      </c>
      <c r="I515" s="19">
        <v>2514</v>
      </c>
      <c r="J515" s="67" t="s">
        <v>175</v>
      </c>
      <c r="K515" s="68" t="str">
        <f>IFERROR(VLOOKUP(J515,PROVEEDORES!$A$3:$G$42,2,0),"")</f>
        <v>Leche fresca pasteurizada</v>
      </c>
      <c r="L515" s="69" t="str">
        <f>IFERROR(VLOOKUP(J515,PROVEEDORES!$A$3:$G$42,4,0),"")</f>
        <v>luis@frescarebeca.cl</v>
      </c>
      <c r="M515" s="18" t="str">
        <f>IFERROR(VLOOKUP(J515,PROVEEDORES!$A$3:$G$42,5,0),"")</f>
        <v>56985008017</v>
      </c>
      <c r="N515" s="19">
        <v>4249</v>
      </c>
      <c r="O515" s="67" t="s">
        <v>35</v>
      </c>
      <c r="P515" s="68" t="str">
        <f>IFERROR(VLOOKUP(O515,PROVEEDORES!$A$3:$G$42,2,0),"")</f>
        <v>ABARROTES</v>
      </c>
      <c r="Q515" s="69" t="str">
        <f>IFERROR(VLOOKUP(O515,PROVEEDORES!$A$3:$G$42,4,0),"")</f>
        <v>pagos@bidfood.cl,pmolina@bidfood.cl</v>
      </c>
      <c r="R515" s="18" t="str">
        <f>IFERROR(VLOOKUP(O515,PROVEEDORES!$A$3:$G$42,5,0),"")</f>
        <v>56225994444 - 56998038459</v>
      </c>
      <c r="S515" s="19">
        <v>4804</v>
      </c>
      <c r="T515" s="20">
        <f t="shared" si="26"/>
        <v>3855.6666666666665</v>
      </c>
      <c r="U515" s="21">
        <f t="shared" si="27"/>
        <v>4241.2333333333336</v>
      </c>
    </row>
    <row r="516" spans="1:21" ht="15" customHeight="1" x14ac:dyDescent="0.35">
      <c r="A516" s="6" t="s">
        <v>700</v>
      </c>
      <c r="B516" s="7" t="s">
        <v>717</v>
      </c>
      <c r="C516" s="8" t="s">
        <v>219</v>
      </c>
      <c r="D516" s="9">
        <v>0.505</v>
      </c>
      <c r="E516" s="64" t="s">
        <v>149</v>
      </c>
      <c r="F516" s="65" t="str">
        <f>IFERROR(VLOOKUP(E516,PROVEEDORES!$A$3:$G$42,2,0),"")</f>
        <v>CARNES Y LACTEOS</v>
      </c>
      <c r="G516" s="66" t="str">
        <f>IFERROR(VLOOKUP(E516,PROVEEDORES!$A$3:$G$42,4,0),"")</f>
        <v>grivas@palaisgourmet.cl</v>
      </c>
      <c r="H516" s="10" t="str">
        <f>IFERROR(VLOOKUP(E516,PROVEEDORES!$A$3:$G$42,5,0),"")</f>
        <v>56942132129</v>
      </c>
      <c r="I516" s="11">
        <v>6200</v>
      </c>
      <c r="J516" s="64" t="s">
        <v>175</v>
      </c>
      <c r="K516" s="65" t="str">
        <f>IFERROR(VLOOKUP(J516,PROVEEDORES!$A$3:$G$42,2,0),"")</f>
        <v>Leche fresca pasteurizada</v>
      </c>
      <c r="L516" s="66" t="str">
        <f>IFERROR(VLOOKUP(J516,PROVEEDORES!$A$3:$G$42,4,0),"")</f>
        <v>luis@frescarebeca.cl</v>
      </c>
      <c r="M516" s="10" t="str">
        <f>IFERROR(VLOOKUP(J516,PROVEEDORES!$A$3:$G$42,5,0),"")</f>
        <v>56985008017</v>
      </c>
      <c r="N516" s="11">
        <v>5847</v>
      </c>
      <c r="O516" s="64" t="s">
        <v>35</v>
      </c>
      <c r="P516" s="65" t="str">
        <f>IFERROR(VLOOKUP(O516,PROVEEDORES!$A$3:$G$42,2,0),"")</f>
        <v>ABARROTES</v>
      </c>
      <c r="Q516" s="66" t="str">
        <f>IFERROR(VLOOKUP(O516,PROVEEDORES!$A$3:$G$42,4,0),"")</f>
        <v>pagos@bidfood.cl,pmolina@bidfood.cl</v>
      </c>
      <c r="R516" s="10" t="str">
        <f>IFERROR(VLOOKUP(O516,PROVEEDORES!$A$3:$G$42,5,0),"")</f>
        <v>56225994444 - 56998038459</v>
      </c>
      <c r="S516" s="11">
        <v>512</v>
      </c>
      <c r="T516" s="12">
        <f t="shared" si="26"/>
        <v>4186.333333333333</v>
      </c>
      <c r="U516" s="13">
        <f t="shared" si="27"/>
        <v>4604.9666666666672</v>
      </c>
    </row>
    <row r="517" spans="1:21" ht="15" customHeight="1" x14ac:dyDescent="0.35">
      <c r="A517" s="14" t="s">
        <v>700</v>
      </c>
      <c r="B517" s="15" t="s">
        <v>718</v>
      </c>
      <c r="C517" s="16" t="s">
        <v>219</v>
      </c>
      <c r="D517" s="17">
        <v>3.125E-2</v>
      </c>
      <c r="E517" s="67" t="s">
        <v>149</v>
      </c>
      <c r="F517" s="68" t="str">
        <f>IFERROR(VLOOKUP(E517,PROVEEDORES!$A$3:$G$42,2,0),"")</f>
        <v>CARNES Y LACTEOS</v>
      </c>
      <c r="G517" s="69" t="str">
        <f>IFERROR(VLOOKUP(E517,PROVEEDORES!$A$3:$G$42,4,0),"")</f>
        <v>grivas@palaisgourmet.cl</v>
      </c>
      <c r="H517" s="18" t="str">
        <f>IFERROR(VLOOKUP(E517,PROVEEDORES!$A$3:$G$42,5,0),"")</f>
        <v>56942132129</v>
      </c>
      <c r="I517" s="19">
        <v>10145</v>
      </c>
      <c r="J517" s="67" t="s">
        <v>175</v>
      </c>
      <c r="K517" s="68" t="str">
        <f>IFERROR(VLOOKUP(J517,PROVEEDORES!$A$3:$G$42,2,0),"")</f>
        <v>Leche fresca pasteurizada</v>
      </c>
      <c r="L517" s="69" t="str">
        <f>IFERROR(VLOOKUP(J517,PROVEEDORES!$A$3:$G$42,4,0),"")</f>
        <v>luis@frescarebeca.cl</v>
      </c>
      <c r="M517" s="18" t="str">
        <f>IFERROR(VLOOKUP(J517,PROVEEDORES!$A$3:$G$42,5,0),"")</f>
        <v>56985008017</v>
      </c>
      <c r="N517" s="19">
        <v>7223</v>
      </c>
      <c r="O517" s="67" t="s">
        <v>35</v>
      </c>
      <c r="P517" s="68" t="str">
        <f>IFERROR(VLOOKUP(O517,PROVEEDORES!$A$3:$G$42,2,0),"")</f>
        <v>ABARROTES</v>
      </c>
      <c r="Q517" s="69" t="str">
        <f>IFERROR(VLOOKUP(O517,PROVEEDORES!$A$3:$G$42,4,0),"")</f>
        <v>pagos@bidfood.cl,pmolina@bidfood.cl</v>
      </c>
      <c r="R517" s="18" t="str">
        <f>IFERROR(VLOOKUP(O517,PROVEEDORES!$A$3:$G$42,5,0),"")</f>
        <v>56225994444 - 56998038459</v>
      </c>
      <c r="S517" s="19">
        <v>20233</v>
      </c>
      <c r="T517" s="20">
        <f t="shared" si="26"/>
        <v>12533.666666666666</v>
      </c>
      <c r="U517" s="21">
        <f t="shared" si="27"/>
        <v>13787.033333333335</v>
      </c>
    </row>
    <row r="518" spans="1:21" ht="15" customHeight="1" x14ac:dyDescent="0.35">
      <c r="A518" s="6" t="s">
        <v>700</v>
      </c>
      <c r="B518" s="7" t="s">
        <v>719</v>
      </c>
      <c r="C518" s="8" t="s">
        <v>219</v>
      </c>
      <c r="D518" s="9">
        <v>1.6250000000000001E-2</v>
      </c>
      <c r="E518" s="64" t="s">
        <v>149</v>
      </c>
      <c r="F518" s="65" t="str">
        <f>IFERROR(VLOOKUP(E518,PROVEEDORES!$A$3:$G$42,2,0),"")</f>
        <v>CARNES Y LACTEOS</v>
      </c>
      <c r="G518" s="66" t="str">
        <f>IFERROR(VLOOKUP(E518,PROVEEDORES!$A$3:$G$42,4,0),"")</f>
        <v>grivas@palaisgourmet.cl</v>
      </c>
      <c r="H518" s="10" t="str">
        <f>IFERROR(VLOOKUP(E518,PROVEEDORES!$A$3:$G$42,5,0),"")</f>
        <v>56942132129</v>
      </c>
      <c r="I518" s="11">
        <v>29476</v>
      </c>
      <c r="J518" s="64" t="s">
        <v>175</v>
      </c>
      <c r="K518" s="65" t="str">
        <f>IFERROR(VLOOKUP(J518,PROVEEDORES!$A$3:$G$42,2,0),"")</f>
        <v>Leche fresca pasteurizada</v>
      </c>
      <c r="L518" s="66" t="str">
        <f>IFERROR(VLOOKUP(J518,PROVEEDORES!$A$3:$G$42,4,0),"")</f>
        <v>luis@frescarebeca.cl</v>
      </c>
      <c r="M518" s="10" t="str">
        <f>IFERROR(VLOOKUP(J518,PROVEEDORES!$A$3:$G$42,5,0),"")</f>
        <v>56985008017</v>
      </c>
      <c r="N518" s="11">
        <v>25850</v>
      </c>
      <c r="O518" s="64" t="s">
        <v>35</v>
      </c>
      <c r="P518" s="65" t="str">
        <f>IFERROR(VLOOKUP(O518,PROVEEDORES!$A$3:$G$42,2,0),"")</f>
        <v>ABARROTES</v>
      </c>
      <c r="Q518" s="66" t="str">
        <f>IFERROR(VLOOKUP(O518,PROVEEDORES!$A$3:$G$42,4,0),"")</f>
        <v>pagos@bidfood.cl,pmolina@bidfood.cl</v>
      </c>
      <c r="R518" s="10" t="str">
        <f>IFERROR(VLOOKUP(O518,PROVEEDORES!$A$3:$G$42,5,0),"")</f>
        <v>56225994444 - 56998038459</v>
      </c>
      <c r="S518" s="11">
        <v>8401</v>
      </c>
      <c r="T518" s="12">
        <f t="shared" si="26"/>
        <v>21242.333333333332</v>
      </c>
      <c r="U518" s="13">
        <f t="shared" si="27"/>
        <v>23366.566666666666</v>
      </c>
    </row>
    <row r="519" spans="1:21" ht="15" customHeight="1" x14ac:dyDescent="0.35">
      <c r="A519" s="14" t="s">
        <v>700</v>
      </c>
      <c r="B519" s="15" t="s">
        <v>720</v>
      </c>
      <c r="C519" s="16" t="s">
        <v>219</v>
      </c>
      <c r="D519" s="17">
        <v>0.02</v>
      </c>
      <c r="E519" s="67" t="s">
        <v>149</v>
      </c>
      <c r="F519" s="68" t="str">
        <f>IFERROR(VLOOKUP(E519,PROVEEDORES!$A$3:$G$42,2,0),"")</f>
        <v>CARNES Y LACTEOS</v>
      </c>
      <c r="G519" s="69" t="str">
        <f>IFERROR(VLOOKUP(E519,PROVEEDORES!$A$3:$G$42,4,0),"")</f>
        <v>grivas@palaisgourmet.cl</v>
      </c>
      <c r="H519" s="18" t="str">
        <f>IFERROR(VLOOKUP(E519,PROVEEDORES!$A$3:$G$42,5,0),"")</f>
        <v>56942132129</v>
      </c>
      <c r="I519" s="19">
        <v>25000</v>
      </c>
      <c r="J519" s="67" t="s">
        <v>175</v>
      </c>
      <c r="K519" s="68" t="str">
        <f>IFERROR(VLOOKUP(J519,PROVEEDORES!$A$3:$G$42,2,0),"")</f>
        <v>Leche fresca pasteurizada</v>
      </c>
      <c r="L519" s="69" t="str">
        <f>IFERROR(VLOOKUP(J519,PROVEEDORES!$A$3:$G$42,4,0),"")</f>
        <v>luis@frescarebeca.cl</v>
      </c>
      <c r="M519" s="18" t="str">
        <f>IFERROR(VLOOKUP(J519,PROVEEDORES!$A$3:$G$42,5,0),"")</f>
        <v>56985008017</v>
      </c>
      <c r="N519" s="19">
        <v>14987</v>
      </c>
      <c r="O519" s="67" t="s">
        <v>35</v>
      </c>
      <c r="P519" s="68" t="str">
        <f>IFERROR(VLOOKUP(O519,PROVEEDORES!$A$3:$G$42,2,0),"")</f>
        <v>ABARROTES</v>
      </c>
      <c r="Q519" s="69" t="str">
        <f>IFERROR(VLOOKUP(O519,PROVEEDORES!$A$3:$G$42,4,0),"")</f>
        <v>pagos@bidfood.cl,pmolina@bidfood.cl</v>
      </c>
      <c r="R519" s="18" t="str">
        <f>IFERROR(VLOOKUP(O519,PROVEEDORES!$A$3:$G$42,5,0),"")</f>
        <v>56225994444 - 56998038459</v>
      </c>
      <c r="S519" s="19">
        <v>39465</v>
      </c>
      <c r="T519" s="20">
        <f t="shared" si="26"/>
        <v>26484</v>
      </c>
      <c r="U519" s="21">
        <f t="shared" si="27"/>
        <v>29132.400000000001</v>
      </c>
    </row>
    <row r="520" spans="1:21" ht="15" customHeight="1" x14ac:dyDescent="0.35">
      <c r="A520" s="6" t="s">
        <v>700</v>
      </c>
      <c r="B520" s="7" t="s">
        <v>721</v>
      </c>
      <c r="C520" s="8" t="s">
        <v>219</v>
      </c>
      <c r="D520" s="9">
        <v>0.12</v>
      </c>
      <c r="E520" s="64" t="s">
        <v>149</v>
      </c>
      <c r="F520" s="65" t="str">
        <f>IFERROR(VLOOKUP(E520,PROVEEDORES!$A$3:$G$42,2,0),"")</f>
        <v>CARNES Y LACTEOS</v>
      </c>
      <c r="G520" s="66" t="str">
        <f>IFERROR(VLOOKUP(E520,PROVEEDORES!$A$3:$G$42,4,0),"")</f>
        <v>grivas@palaisgourmet.cl</v>
      </c>
      <c r="H520" s="10" t="str">
        <f>IFERROR(VLOOKUP(E520,PROVEEDORES!$A$3:$G$42,5,0),"")</f>
        <v>56942132129</v>
      </c>
      <c r="I520" s="11">
        <v>10500</v>
      </c>
      <c r="J520" s="64" t="s">
        <v>175</v>
      </c>
      <c r="K520" s="65" t="str">
        <f>IFERROR(VLOOKUP(J520,PROVEEDORES!$A$3:$G$42,2,0),"")</f>
        <v>Leche fresca pasteurizada</v>
      </c>
      <c r="L520" s="66" t="str">
        <f>IFERROR(VLOOKUP(J520,PROVEEDORES!$A$3:$G$42,4,0),"")</f>
        <v>luis@frescarebeca.cl</v>
      </c>
      <c r="M520" s="10" t="str">
        <f>IFERROR(VLOOKUP(J520,PROVEEDORES!$A$3:$G$42,5,0),"")</f>
        <v>56985008017</v>
      </c>
      <c r="N520" s="11">
        <v>4846</v>
      </c>
      <c r="O520" s="64" t="s">
        <v>35</v>
      </c>
      <c r="P520" s="65" t="str">
        <f>IFERROR(VLOOKUP(O520,PROVEEDORES!$A$3:$G$42,2,0),"")</f>
        <v>ABARROTES</v>
      </c>
      <c r="Q520" s="66" t="str">
        <f>IFERROR(VLOOKUP(O520,PROVEEDORES!$A$3:$G$42,4,0),"")</f>
        <v>pagos@bidfood.cl,pmolina@bidfood.cl</v>
      </c>
      <c r="R520" s="10" t="str">
        <f>IFERROR(VLOOKUP(O520,PROVEEDORES!$A$3:$G$42,5,0),"")</f>
        <v>56225994444 - 56998038459</v>
      </c>
      <c r="S520" s="11">
        <v>544</v>
      </c>
      <c r="T520" s="12">
        <f t="shared" si="26"/>
        <v>5296.666666666667</v>
      </c>
      <c r="U520" s="13">
        <f t="shared" si="27"/>
        <v>5826.3333333333339</v>
      </c>
    </row>
    <row r="521" spans="1:21" ht="15" customHeight="1" x14ac:dyDescent="0.35">
      <c r="A521" s="14" t="s">
        <v>700</v>
      </c>
      <c r="B521" s="15" t="s">
        <v>722</v>
      </c>
      <c r="C521" s="16" t="s">
        <v>219</v>
      </c>
      <c r="D521" s="17">
        <v>4.2000000000000003E-2</v>
      </c>
      <c r="E521" s="67" t="s">
        <v>149</v>
      </c>
      <c r="F521" s="68" t="str">
        <f>IFERROR(VLOOKUP(E521,PROVEEDORES!$A$3:$G$42,2,0),"")</f>
        <v>CARNES Y LACTEOS</v>
      </c>
      <c r="G521" s="69" t="str">
        <f>IFERROR(VLOOKUP(E521,PROVEEDORES!$A$3:$G$42,4,0),"")</f>
        <v>grivas@palaisgourmet.cl</v>
      </c>
      <c r="H521" s="18" t="str">
        <f>IFERROR(VLOOKUP(E521,PROVEEDORES!$A$3:$G$42,5,0),"")</f>
        <v>56942132129</v>
      </c>
      <c r="I521" s="19">
        <v>27512</v>
      </c>
      <c r="J521" s="67" t="s">
        <v>175</v>
      </c>
      <c r="K521" s="68" t="str">
        <f>IFERROR(VLOOKUP(J521,PROVEEDORES!$A$3:$G$42,2,0),"")</f>
        <v>Leche fresca pasteurizada</v>
      </c>
      <c r="L521" s="69" t="str">
        <f>IFERROR(VLOOKUP(J521,PROVEEDORES!$A$3:$G$42,4,0),"")</f>
        <v>luis@frescarebeca.cl</v>
      </c>
      <c r="M521" s="18" t="str">
        <f>IFERROR(VLOOKUP(J521,PROVEEDORES!$A$3:$G$42,5,0),"")</f>
        <v>56985008017</v>
      </c>
      <c r="N521" s="19">
        <v>18351</v>
      </c>
      <c r="O521" s="67" t="s">
        <v>35</v>
      </c>
      <c r="P521" s="68" t="str">
        <f>IFERROR(VLOOKUP(O521,PROVEEDORES!$A$3:$G$42,2,0),"")</f>
        <v>ABARROTES</v>
      </c>
      <c r="Q521" s="69" t="str">
        <f>IFERROR(VLOOKUP(O521,PROVEEDORES!$A$3:$G$42,4,0),"")</f>
        <v>pagos@bidfood.cl,pmolina@bidfood.cl</v>
      </c>
      <c r="R521" s="18" t="str">
        <f>IFERROR(VLOOKUP(O521,PROVEEDORES!$A$3:$G$42,5,0),"")</f>
        <v>56225994444 - 56998038459</v>
      </c>
      <c r="S521" s="19">
        <v>9112</v>
      </c>
      <c r="T521" s="20">
        <f t="shared" si="26"/>
        <v>18325</v>
      </c>
      <c r="U521" s="21">
        <f t="shared" si="27"/>
        <v>20157.5</v>
      </c>
    </row>
    <row r="522" spans="1:21" ht="15" customHeight="1" x14ac:dyDescent="0.35">
      <c r="A522" s="6" t="s">
        <v>700</v>
      </c>
      <c r="B522" s="7" t="s">
        <v>723</v>
      </c>
      <c r="C522" s="8" t="s">
        <v>219</v>
      </c>
      <c r="D522" s="9">
        <v>0.97424999999999995</v>
      </c>
      <c r="E522" s="64" t="s">
        <v>149</v>
      </c>
      <c r="F522" s="65" t="str">
        <f>IFERROR(VLOOKUP(E522,PROVEEDORES!$A$3:$G$42,2,0),"")</f>
        <v>CARNES Y LACTEOS</v>
      </c>
      <c r="G522" s="66" t="str">
        <f>IFERROR(VLOOKUP(E522,PROVEEDORES!$A$3:$G$42,4,0),"")</f>
        <v>grivas@palaisgourmet.cl</v>
      </c>
      <c r="H522" s="10" t="str">
        <f>IFERROR(VLOOKUP(E522,PROVEEDORES!$A$3:$G$42,5,0),"")</f>
        <v>56942132129</v>
      </c>
      <c r="I522" s="11">
        <v>9974</v>
      </c>
      <c r="J522" s="64" t="s">
        <v>175</v>
      </c>
      <c r="K522" s="65" t="str">
        <f>IFERROR(VLOOKUP(J522,PROVEEDORES!$A$3:$G$42,2,0),"")</f>
        <v>Leche fresca pasteurizada</v>
      </c>
      <c r="L522" s="66" t="str">
        <f>IFERROR(VLOOKUP(J522,PROVEEDORES!$A$3:$G$42,4,0),"")</f>
        <v>luis@frescarebeca.cl</v>
      </c>
      <c r="M522" s="10" t="str">
        <f>IFERROR(VLOOKUP(J522,PROVEEDORES!$A$3:$G$42,5,0),"")</f>
        <v>56985008017</v>
      </c>
      <c r="N522" s="11">
        <v>10124</v>
      </c>
      <c r="O522" s="64" t="s">
        <v>35</v>
      </c>
      <c r="P522" s="65" t="str">
        <f>IFERROR(VLOOKUP(O522,PROVEEDORES!$A$3:$G$42,2,0),"")</f>
        <v>ABARROTES</v>
      </c>
      <c r="Q522" s="66" t="str">
        <f>IFERROR(VLOOKUP(O522,PROVEEDORES!$A$3:$G$42,4,0),"")</f>
        <v>pagos@bidfood.cl,pmolina@bidfood.cl</v>
      </c>
      <c r="R522" s="10" t="str">
        <f>IFERROR(VLOOKUP(O522,PROVEEDORES!$A$3:$G$42,5,0),"")</f>
        <v>56225994444 - 56998038459</v>
      </c>
      <c r="S522" s="11">
        <v>9820</v>
      </c>
      <c r="T522" s="12">
        <f t="shared" si="26"/>
        <v>9972.6666666666661</v>
      </c>
      <c r="U522" s="13">
        <f t="shared" si="27"/>
        <v>10969.933333333334</v>
      </c>
    </row>
    <row r="523" spans="1:21" ht="15" customHeight="1" x14ac:dyDescent="0.35">
      <c r="A523" s="14" t="s">
        <v>700</v>
      </c>
      <c r="B523" s="15" t="s">
        <v>724</v>
      </c>
      <c r="C523" s="16" t="s">
        <v>219</v>
      </c>
      <c r="D523" s="17">
        <v>6.25E-2</v>
      </c>
      <c r="E523" s="67" t="s">
        <v>149</v>
      </c>
      <c r="F523" s="68" t="str">
        <f>IFERROR(VLOOKUP(E523,PROVEEDORES!$A$3:$G$42,2,0),"")</f>
        <v>CARNES Y LACTEOS</v>
      </c>
      <c r="G523" s="69" t="str">
        <f>IFERROR(VLOOKUP(E523,PROVEEDORES!$A$3:$G$42,4,0),"")</f>
        <v>grivas@palaisgourmet.cl</v>
      </c>
      <c r="H523" s="18" t="str">
        <f>IFERROR(VLOOKUP(E523,PROVEEDORES!$A$3:$G$42,5,0),"")</f>
        <v>56942132129</v>
      </c>
      <c r="I523" s="19">
        <v>20000</v>
      </c>
      <c r="J523" s="67" t="s">
        <v>175</v>
      </c>
      <c r="K523" s="68" t="str">
        <f>IFERROR(VLOOKUP(J523,PROVEEDORES!$A$3:$G$42,2,0),"")</f>
        <v>Leche fresca pasteurizada</v>
      </c>
      <c r="L523" s="69" t="str">
        <f>IFERROR(VLOOKUP(J523,PROVEEDORES!$A$3:$G$42,4,0),"")</f>
        <v>luis@frescarebeca.cl</v>
      </c>
      <c r="M523" s="18" t="str">
        <f>IFERROR(VLOOKUP(J523,PROVEEDORES!$A$3:$G$42,5,0),"")</f>
        <v>56985008017</v>
      </c>
      <c r="N523" s="19">
        <v>14180</v>
      </c>
      <c r="O523" s="67" t="s">
        <v>35</v>
      </c>
      <c r="P523" s="68" t="str">
        <f>IFERROR(VLOOKUP(O523,PROVEEDORES!$A$3:$G$42,2,0),"")</f>
        <v>ABARROTES</v>
      </c>
      <c r="Q523" s="69" t="str">
        <f>IFERROR(VLOOKUP(O523,PROVEEDORES!$A$3:$G$42,4,0),"")</f>
        <v>pagos@bidfood.cl,pmolina@bidfood.cl</v>
      </c>
      <c r="R523" s="18" t="str">
        <f>IFERROR(VLOOKUP(O523,PROVEEDORES!$A$3:$G$42,5,0),"")</f>
        <v>56225994444 - 56998038459</v>
      </c>
      <c r="S523" s="19">
        <v>26072</v>
      </c>
      <c r="T523" s="20">
        <f t="shared" si="26"/>
        <v>20084</v>
      </c>
      <c r="U523" s="21">
        <f t="shared" si="27"/>
        <v>22092.400000000001</v>
      </c>
    </row>
    <row r="524" spans="1:21" ht="15" customHeight="1" x14ac:dyDescent="0.35">
      <c r="A524" s="6" t="s">
        <v>700</v>
      </c>
      <c r="B524" s="7" t="s">
        <v>725</v>
      </c>
      <c r="C524" s="8" t="s">
        <v>219</v>
      </c>
      <c r="D524" s="9">
        <v>0.04</v>
      </c>
      <c r="E524" s="64" t="s">
        <v>149</v>
      </c>
      <c r="F524" s="65" t="str">
        <f>IFERROR(VLOOKUP(E524,PROVEEDORES!$A$3:$G$42,2,0),"")</f>
        <v>CARNES Y LACTEOS</v>
      </c>
      <c r="G524" s="66" t="str">
        <f>IFERROR(VLOOKUP(E524,PROVEEDORES!$A$3:$G$42,4,0),"")</f>
        <v>grivas@palaisgourmet.cl</v>
      </c>
      <c r="H524" s="10" t="str">
        <f>IFERROR(VLOOKUP(E524,PROVEEDORES!$A$3:$G$42,5,0),"")</f>
        <v>56942132129</v>
      </c>
      <c r="I524" s="11">
        <v>33320</v>
      </c>
      <c r="J524" s="64" t="s">
        <v>175</v>
      </c>
      <c r="K524" s="65" t="str">
        <f>IFERROR(VLOOKUP(J524,PROVEEDORES!$A$3:$G$42,2,0),"")</f>
        <v>Leche fresca pasteurizada</v>
      </c>
      <c r="L524" s="66" t="str">
        <f>IFERROR(VLOOKUP(J524,PROVEEDORES!$A$3:$G$42,4,0),"")</f>
        <v>luis@frescarebeca.cl</v>
      </c>
      <c r="M524" s="10" t="str">
        <f>IFERROR(VLOOKUP(J524,PROVEEDORES!$A$3:$G$42,5,0),"")</f>
        <v>56985008017</v>
      </c>
      <c r="N524" s="11">
        <v>12778</v>
      </c>
      <c r="O524" s="64" t="s">
        <v>35</v>
      </c>
      <c r="P524" s="65" t="str">
        <f>IFERROR(VLOOKUP(O524,PROVEEDORES!$A$3:$G$42,2,0),"")</f>
        <v>ABARROTES</v>
      </c>
      <c r="Q524" s="66" t="str">
        <f>IFERROR(VLOOKUP(O524,PROVEEDORES!$A$3:$G$42,4,0),"")</f>
        <v>pagos@bidfood.cl,pmolina@bidfood.cl</v>
      </c>
      <c r="R524" s="10" t="str">
        <f>IFERROR(VLOOKUP(O524,PROVEEDORES!$A$3:$G$42,5,0),"")</f>
        <v>56225994444 - 56998038459</v>
      </c>
      <c r="S524" s="11">
        <v>22324</v>
      </c>
      <c r="T524" s="12">
        <f t="shared" si="26"/>
        <v>22807.333333333332</v>
      </c>
      <c r="U524" s="13">
        <f t="shared" si="27"/>
        <v>25088.066666666666</v>
      </c>
    </row>
    <row r="525" spans="1:21" ht="15" customHeight="1" x14ac:dyDescent="0.35">
      <c r="A525" s="14" t="s">
        <v>700</v>
      </c>
      <c r="B525" s="15" t="s">
        <v>726</v>
      </c>
      <c r="C525" s="16" t="s">
        <v>219</v>
      </c>
      <c r="D525" s="17">
        <v>6.3750000000000001E-2</v>
      </c>
      <c r="E525" s="67" t="s">
        <v>149</v>
      </c>
      <c r="F525" s="68" t="str">
        <f>IFERROR(VLOOKUP(E525,PROVEEDORES!$A$3:$G$42,2,0),"")</f>
        <v>CARNES Y LACTEOS</v>
      </c>
      <c r="G525" s="69" t="str">
        <f>IFERROR(VLOOKUP(E525,PROVEEDORES!$A$3:$G$42,4,0),"")</f>
        <v>grivas@palaisgourmet.cl</v>
      </c>
      <c r="H525" s="18" t="str">
        <f>IFERROR(VLOOKUP(E525,PROVEEDORES!$A$3:$G$42,5,0),"")</f>
        <v>56942132129</v>
      </c>
      <c r="I525" s="19">
        <v>7500</v>
      </c>
      <c r="J525" s="67" t="s">
        <v>175</v>
      </c>
      <c r="K525" s="68" t="str">
        <f>IFERROR(VLOOKUP(J525,PROVEEDORES!$A$3:$G$42,2,0),"")</f>
        <v>Leche fresca pasteurizada</v>
      </c>
      <c r="L525" s="69" t="str">
        <f>IFERROR(VLOOKUP(J525,PROVEEDORES!$A$3:$G$42,4,0),"")</f>
        <v>luis@frescarebeca.cl</v>
      </c>
      <c r="M525" s="18" t="str">
        <f>IFERROR(VLOOKUP(J525,PROVEEDORES!$A$3:$G$42,5,0),"")</f>
        <v>56985008017</v>
      </c>
      <c r="N525" s="19">
        <v>2505</v>
      </c>
      <c r="O525" s="67" t="s">
        <v>35</v>
      </c>
      <c r="P525" s="68" t="str">
        <f>IFERROR(VLOOKUP(O525,PROVEEDORES!$A$3:$G$42,2,0),"")</f>
        <v>ABARROTES</v>
      </c>
      <c r="Q525" s="69" t="str">
        <f>IFERROR(VLOOKUP(O525,PROVEEDORES!$A$3:$G$42,4,0),"")</f>
        <v>pagos@bidfood.cl,pmolina@bidfood.cl</v>
      </c>
      <c r="R525" s="18" t="str">
        <f>IFERROR(VLOOKUP(O525,PROVEEDORES!$A$3:$G$42,5,0),"")</f>
        <v>56225994444 - 56998038459</v>
      </c>
      <c r="S525" s="19">
        <v>1560</v>
      </c>
      <c r="T525" s="20">
        <f t="shared" si="26"/>
        <v>3855</v>
      </c>
      <c r="U525" s="21">
        <f t="shared" si="27"/>
        <v>4240.5</v>
      </c>
    </row>
    <row r="526" spans="1:21" ht="15" customHeight="1" x14ac:dyDescent="0.35">
      <c r="A526" s="6" t="s">
        <v>700</v>
      </c>
      <c r="B526" s="7" t="s">
        <v>727</v>
      </c>
      <c r="C526" s="8" t="s">
        <v>219</v>
      </c>
      <c r="D526" s="9">
        <v>0.23499999999999999</v>
      </c>
      <c r="E526" s="64" t="s">
        <v>149</v>
      </c>
      <c r="F526" s="65" t="str">
        <f>IFERROR(VLOOKUP(E526,PROVEEDORES!$A$3:$G$42,2,0),"")</f>
        <v>CARNES Y LACTEOS</v>
      </c>
      <c r="G526" s="66" t="str">
        <f>IFERROR(VLOOKUP(E526,PROVEEDORES!$A$3:$G$42,4,0),"")</f>
        <v>grivas@palaisgourmet.cl</v>
      </c>
      <c r="H526" s="10" t="str">
        <f>IFERROR(VLOOKUP(E526,PROVEEDORES!$A$3:$G$42,5,0),"")</f>
        <v>56942132129</v>
      </c>
      <c r="I526" s="11">
        <v>6500</v>
      </c>
      <c r="J526" s="64" t="s">
        <v>175</v>
      </c>
      <c r="K526" s="65" t="str">
        <f>IFERROR(VLOOKUP(J526,PROVEEDORES!$A$3:$G$42,2,0),"")</f>
        <v>Leche fresca pasteurizada</v>
      </c>
      <c r="L526" s="66" t="str">
        <f>IFERROR(VLOOKUP(J526,PROVEEDORES!$A$3:$G$42,4,0),"")</f>
        <v>luis@frescarebeca.cl</v>
      </c>
      <c r="M526" s="10" t="str">
        <f>IFERROR(VLOOKUP(J526,PROVEEDORES!$A$3:$G$42,5,0),"")</f>
        <v>56985008017</v>
      </c>
      <c r="N526" s="11">
        <v>11044</v>
      </c>
      <c r="O526" s="64" t="s">
        <v>35</v>
      </c>
      <c r="P526" s="65" t="str">
        <f>IFERROR(VLOOKUP(O526,PROVEEDORES!$A$3:$G$42,2,0),"")</f>
        <v>ABARROTES</v>
      </c>
      <c r="Q526" s="66" t="str">
        <f>IFERROR(VLOOKUP(O526,PROVEEDORES!$A$3:$G$42,4,0),"")</f>
        <v>pagos@bidfood.cl,pmolina@bidfood.cl</v>
      </c>
      <c r="R526" s="10" t="str">
        <f>IFERROR(VLOOKUP(O526,PROVEEDORES!$A$3:$G$42,5,0),"")</f>
        <v>56225994444 - 56998038459</v>
      </c>
      <c r="S526" s="11">
        <v>7887</v>
      </c>
      <c r="T526" s="12">
        <f t="shared" si="26"/>
        <v>8477</v>
      </c>
      <c r="U526" s="13">
        <f t="shared" si="27"/>
        <v>9324.7000000000007</v>
      </c>
    </row>
    <row r="527" spans="1:21" ht="15" customHeight="1" x14ac:dyDescent="0.35">
      <c r="A527" s="14" t="s">
        <v>700</v>
      </c>
      <c r="B527" s="15" t="s">
        <v>728</v>
      </c>
      <c r="C527" s="16" t="s">
        <v>219</v>
      </c>
      <c r="D527" s="17">
        <v>0.17874999999999999</v>
      </c>
      <c r="E527" s="67" t="s">
        <v>149</v>
      </c>
      <c r="F527" s="68" t="str">
        <f>IFERROR(VLOOKUP(E527,PROVEEDORES!$A$3:$G$42,2,0),"")</f>
        <v>CARNES Y LACTEOS</v>
      </c>
      <c r="G527" s="69" t="str">
        <f>IFERROR(VLOOKUP(E527,PROVEEDORES!$A$3:$G$42,4,0),"")</f>
        <v>grivas@palaisgourmet.cl</v>
      </c>
      <c r="H527" s="18" t="str">
        <f>IFERROR(VLOOKUP(E527,PROVEEDORES!$A$3:$G$42,5,0),"")</f>
        <v>56942132129</v>
      </c>
      <c r="I527" s="19">
        <v>21500</v>
      </c>
      <c r="J527" s="67" t="s">
        <v>175</v>
      </c>
      <c r="K527" s="68" t="str">
        <f>IFERROR(VLOOKUP(J527,PROVEEDORES!$A$3:$G$42,2,0),"")</f>
        <v>Leche fresca pasteurizada</v>
      </c>
      <c r="L527" s="69" t="str">
        <f>IFERROR(VLOOKUP(J527,PROVEEDORES!$A$3:$G$42,4,0),"")</f>
        <v>luis@frescarebeca.cl</v>
      </c>
      <c r="M527" s="18" t="str">
        <f>IFERROR(VLOOKUP(J527,PROVEEDORES!$A$3:$G$42,5,0),"")</f>
        <v>56985008017</v>
      </c>
      <c r="N527" s="19">
        <v>34336</v>
      </c>
      <c r="O527" s="67" t="s">
        <v>35</v>
      </c>
      <c r="P527" s="68" t="str">
        <f>IFERROR(VLOOKUP(O527,PROVEEDORES!$A$3:$G$42,2,0),"")</f>
        <v>ABARROTES</v>
      </c>
      <c r="Q527" s="69" t="str">
        <f>IFERROR(VLOOKUP(O527,PROVEEDORES!$A$3:$G$42,4,0),"")</f>
        <v>pagos@bidfood.cl,pmolina@bidfood.cl</v>
      </c>
      <c r="R527" s="18" t="str">
        <f>IFERROR(VLOOKUP(O527,PROVEEDORES!$A$3:$G$42,5,0),"")</f>
        <v>56225994444 - 56998038459</v>
      </c>
      <c r="S527" s="19">
        <v>42548</v>
      </c>
      <c r="T527" s="20">
        <f t="shared" si="26"/>
        <v>32794.666666666664</v>
      </c>
      <c r="U527" s="21">
        <f t="shared" si="27"/>
        <v>36074.133333333331</v>
      </c>
    </row>
    <row r="528" spans="1:21" ht="15" customHeight="1" x14ac:dyDescent="0.35">
      <c r="A528" s="6" t="s">
        <v>700</v>
      </c>
      <c r="B528" s="7" t="s">
        <v>729</v>
      </c>
      <c r="C528" s="8" t="s">
        <v>219</v>
      </c>
      <c r="D528" s="9">
        <v>0.14000000000000001</v>
      </c>
      <c r="E528" s="64" t="s">
        <v>149</v>
      </c>
      <c r="F528" s="65" t="str">
        <f>IFERROR(VLOOKUP(E528,PROVEEDORES!$A$3:$G$42,2,0),"")</f>
        <v>CARNES Y LACTEOS</v>
      </c>
      <c r="G528" s="66" t="str">
        <f>IFERROR(VLOOKUP(E528,PROVEEDORES!$A$3:$G$42,4,0),"")</f>
        <v>grivas@palaisgourmet.cl</v>
      </c>
      <c r="H528" s="10" t="str">
        <f>IFERROR(VLOOKUP(E528,PROVEEDORES!$A$3:$G$42,5,0),"")</f>
        <v>56942132129</v>
      </c>
      <c r="I528" s="11">
        <v>9650</v>
      </c>
      <c r="J528" s="64" t="s">
        <v>175</v>
      </c>
      <c r="K528" s="65" t="str">
        <f>IFERROR(VLOOKUP(J528,PROVEEDORES!$A$3:$G$42,2,0),"")</f>
        <v>Leche fresca pasteurizada</v>
      </c>
      <c r="L528" s="66" t="str">
        <f>IFERROR(VLOOKUP(J528,PROVEEDORES!$A$3:$G$42,4,0),"")</f>
        <v>luis@frescarebeca.cl</v>
      </c>
      <c r="M528" s="10" t="str">
        <f>IFERROR(VLOOKUP(J528,PROVEEDORES!$A$3:$G$42,5,0),"")</f>
        <v>56985008017</v>
      </c>
      <c r="N528" s="11">
        <v>5235</v>
      </c>
      <c r="O528" s="64" t="s">
        <v>35</v>
      </c>
      <c r="P528" s="65" t="str">
        <f>IFERROR(VLOOKUP(O528,PROVEEDORES!$A$3:$G$42,2,0),"")</f>
        <v>ABARROTES</v>
      </c>
      <c r="Q528" s="66" t="str">
        <f>IFERROR(VLOOKUP(O528,PROVEEDORES!$A$3:$G$42,4,0),"")</f>
        <v>pagos@bidfood.cl,pmolina@bidfood.cl</v>
      </c>
      <c r="R528" s="10" t="str">
        <f>IFERROR(VLOOKUP(O528,PROVEEDORES!$A$3:$G$42,5,0),"")</f>
        <v>56225994444 - 56998038459</v>
      </c>
      <c r="S528" s="11">
        <v>17993</v>
      </c>
      <c r="T528" s="12">
        <f t="shared" si="26"/>
        <v>10959.333333333334</v>
      </c>
      <c r="U528" s="13">
        <f t="shared" si="27"/>
        <v>12055.266666666668</v>
      </c>
    </row>
    <row r="529" spans="1:21" ht="15" customHeight="1" x14ac:dyDescent="0.35">
      <c r="A529" s="14" t="s">
        <v>700</v>
      </c>
      <c r="B529" s="15" t="s">
        <v>730</v>
      </c>
      <c r="C529" s="16" t="s">
        <v>219</v>
      </c>
      <c r="D529" s="17">
        <v>0.486875</v>
      </c>
      <c r="E529" s="67" t="s">
        <v>149</v>
      </c>
      <c r="F529" s="68" t="str">
        <f>IFERROR(VLOOKUP(E529,PROVEEDORES!$A$3:$G$42,2,0),"")</f>
        <v>CARNES Y LACTEOS</v>
      </c>
      <c r="G529" s="69" t="str">
        <f>IFERROR(VLOOKUP(E529,PROVEEDORES!$A$3:$G$42,4,0),"")</f>
        <v>grivas@palaisgourmet.cl</v>
      </c>
      <c r="H529" s="18" t="str">
        <f>IFERROR(VLOOKUP(E529,PROVEEDORES!$A$3:$G$42,5,0),"")</f>
        <v>56942132129</v>
      </c>
      <c r="I529" s="19">
        <v>11305</v>
      </c>
      <c r="J529" s="67" t="s">
        <v>175</v>
      </c>
      <c r="K529" s="68" t="str">
        <f>IFERROR(VLOOKUP(J529,PROVEEDORES!$A$3:$G$42,2,0),"")</f>
        <v>Leche fresca pasteurizada</v>
      </c>
      <c r="L529" s="69" t="str">
        <f>IFERROR(VLOOKUP(J529,PROVEEDORES!$A$3:$G$42,4,0),"")</f>
        <v>luis@frescarebeca.cl</v>
      </c>
      <c r="M529" s="18" t="str">
        <f>IFERROR(VLOOKUP(J529,PROVEEDORES!$A$3:$G$42,5,0),"")</f>
        <v>56985008017</v>
      </c>
      <c r="N529" s="19">
        <v>8880</v>
      </c>
      <c r="O529" s="67" t="s">
        <v>35</v>
      </c>
      <c r="P529" s="68" t="str">
        <f>IFERROR(VLOOKUP(O529,PROVEEDORES!$A$3:$G$42,2,0),"")</f>
        <v>ABARROTES</v>
      </c>
      <c r="Q529" s="69" t="str">
        <f>IFERROR(VLOOKUP(O529,PROVEEDORES!$A$3:$G$42,4,0),"")</f>
        <v>pagos@bidfood.cl,pmolina@bidfood.cl</v>
      </c>
      <c r="R529" s="18" t="str">
        <f>IFERROR(VLOOKUP(O529,PROVEEDORES!$A$3:$G$42,5,0),"")</f>
        <v>56225994444 - 56998038459</v>
      </c>
      <c r="S529" s="19">
        <v>7848</v>
      </c>
      <c r="T529" s="20">
        <f t="shared" si="26"/>
        <v>9344.3333333333339</v>
      </c>
      <c r="U529" s="21">
        <f t="shared" si="27"/>
        <v>10278.766666666668</v>
      </c>
    </row>
    <row r="530" spans="1:21" ht="15" customHeight="1" x14ac:dyDescent="0.35">
      <c r="A530" s="6" t="s">
        <v>700</v>
      </c>
      <c r="B530" s="7" t="s">
        <v>731</v>
      </c>
      <c r="C530" s="8" t="s">
        <v>219</v>
      </c>
      <c r="D530" s="9">
        <v>9.5250000000000001E-2</v>
      </c>
      <c r="E530" s="64" t="s">
        <v>149</v>
      </c>
      <c r="F530" s="65" t="str">
        <f>IFERROR(VLOOKUP(E530,PROVEEDORES!$A$3:$G$42,2,0),"")</f>
        <v>CARNES Y LACTEOS</v>
      </c>
      <c r="G530" s="66" t="str">
        <f>IFERROR(VLOOKUP(E530,PROVEEDORES!$A$3:$G$42,4,0),"")</f>
        <v>grivas@palaisgourmet.cl</v>
      </c>
      <c r="H530" s="10" t="str">
        <f>IFERROR(VLOOKUP(E530,PROVEEDORES!$A$3:$G$42,5,0),"")</f>
        <v>56942132129</v>
      </c>
      <c r="I530" s="11">
        <v>20500</v>
      </c>
      <c r="J530" s="64" t="s">
        <v>175</v>
      </c>
      <c r="K530" s="65" t="str">
        <f>IFERROR(VLOOKUP(J530,PROVEEDORES!$A$3:$G$42,2,0),"")</f>
        <v>Leche fresca pasteurizada</v>
      </c>
      <c r="L530" s="66" t="str">
        <f>IFERROR(VLOOKUP(J530,PROVEEDORES!$A$3:$G$42,4,0),"")</f>
        <v>luis@frescarebeca.cl</v>
      </c>
      <c r="M530" s="10" t="str">
        <f>IFERROR(VLOOKUP(J530,PROVEEDORES!$A$3:$G$42,5,0),"")</f>
        <v>56985008017</v>
      </c>
      <c r="N530" s="11">
        <v>9461</v>
      </c>
      <c r="O530" s="64" t="s">
        <v>35</v>
      </c>
      <c r="P530" s="65" t="str">
        <f>IFERROR(VLOOKUP(O530,PROVEEDORES!$A$3:$G$42,2,0),"")</f>
        <v>ABARROTES</v>
      </c>
      <c r="Q530" s="66" t="str">
        <f>IFERROR(VLOOKUP(O530,PROVEEDORES!$A$3:$G$42,4,0),"")</f>
        <v>pagos@bidfood.cl,pmolina@bidfood.cl</v>
      </c>
      <c r="R530" s="10" t="str">
        <f>IFERROR(VLOOKUP(O530,PROVEEDORES!$A$3:$G$42,5,0),"")</f>
        <v>56225994444 - 56998038459</v>
      </c>
      <c r="S530" s="11">
        <v>6519</v>
      </c>
      <c r="T530" s="12">
        <f t="shared" si="26"/>
        <v>12160</v>
      </c>
      <c r="U530" s="13">
        <f t="shared" si="27"/>
        <v>13376.000000000002</v>
      </c>
    </row>
    <row r="531" spans="1:21" ht="15" customHeight="1" x14ac:dyDescent="0.35">
      <c r="A531" s="14" t="s">
        <v>700</v>
      </c>
      <c r="B531" s="15" t="s">
        <v>732</v>
      </c>
      <c r="C531" s="16" t="s">
        <v>219</v>
      </c>
      <c r="D531" s="17">
        <v>0.1</v>
      </c>
      <c r="E531" s="67" t="s">
        <v>149</v>
      </c>
      <c r="F531" s="68" t="str">
        <f>IFERROR(VLOOKUP(E531,PROVEEDORES!$A$3:$G$42,2,0),"")</f>
        <v>CARNES Y LACTEOS</v>
      </c>
      <c r="G531" s="69" t="str">
        <f>IFERROR(VLOOKUP(E531,PROVEEDORES!$A$3:$G$42,4,0),"")</f>
        <v>grivas@palaisgourmet.cl</v>
      </c>
      <c r="H531" s="18" t="str">
        <f>IFERROR(VLOOKUP(E531,PROVEEDORES!$A$3:$G$42,5,0),"")</f>
        <v>56942132129</v>
      </c>
      <c r="I531" s="19">
        <v>12397</v>
      </c>
      <c r="J531" s="67" t="s">
        <v>175</v>
      </c>
      <c r="K531" s="68" t="str">
        <f>IFERROR(VLOOKUP(J531,PROVEEDORES!$A$3:$G$42,2,0),"")</f>
        <v>Leche fresca pasteurizada</v>
      </c>
      <c r="L531" s="69" t="str">
        <f>IFERROR(VLOOKUP(J531,PROVEEDORES!$A$3:$G$42,4,0),"")</f>
        <v>luis@frescarebeca.cl</v>
      </c>
      <c r="M531" s="18" t="str">
        <f>IFERROR(VLOOKUP(J531,PROVEEDORES!$A$3:$G$42,5,0),"")</f>
        <v>56985008017</v>
      </c>
      <c r="N531" s="19">
        <v>14535</v>
      </c>
      <c r="O531" s="67" t="s">
        <v>35</v>
      </c>
      <c r="P531" s="68" t="str">
        <f>IFERROR(VLOOKUP(O531,PROVEEDORES!$A$3:$G$42,2,0),"")</f>
        <v>ABARROTES</v>
      </c>
      <c r="Q531" s="69" t="str">
        <f>IFERROR(VLOOKUP(O531,PROVEEDORES!$A$3:$G$42,4,0),"")</f>
        <v>pagos@bidfood.cl,pmolina@bidfood.cl</v>
      </c>
      <c r="R531" s="18" t="str">
        <f>IFERROR(VLOOKUP(O531,PROVEEDORES!$A$3:$G$42,5,0),"")</f>
        <v>56225994444 - 56998038459</v>
      </c>
      <c r="S531" s="19">
        <v>97</v>
      </c>
      <c r="T531" s="20">
        <f t="shared" si="26"/>
        <v>9009.6666666666661</v>
      </c>
      <c r="U531" s="21">
        <f t="shared" si="27"/>
        <v>9910.6333333333332</v>
      </c>
    </row>
    <row r="532" spans="1:21" ht="15" customHeight="1" x14ac:dyDescent="0.35">
      <c r="A532" s="6" t="s">
        <v>700</v>
      </c>
      <c r="B532" s="7" t="s">
        <v>733</v>
      </c>
      <c r="C532" s="8" t="s">
        <v>219</v>
      </c>
      <c r="D532" s="9">
        <v>0.457125</v>
      </c>
      <c r="E532" s="64" t="s">
        <v>149</v>
      </c>
      <c r="F532" s="65" t="str">
        <f>IFERROR(VLOOKUP(E532,PROVEEDORES!$A$3:$G$42,2,0),"")</f>
        <v>CARNES Y LACTEOS</v>
      </c>
      <c r="G532" s="66" t="str">
        <f>IFERROR(VLOOKUP(E532,PROVEEDORES!$A$3:$G$42,4,0),"")</f>
        <v>grivas@palaisgourmet.cl</v>
      </c>
      <c r="H532" s="10" t="str">
        <f>IFERROR(VLOOKUP(E532,PROVEEDORES!$A$3:$G$42,5,0),"")</f>
        <v>56942132129</v>
      </c>
      <c r="I532" s="11">
        <v>18500</v>
      </c>
      <c r="J532" s="64" t="s">
        <v>175</v>
      </c>
      <c r="K532" s="65" t="str">
        <f>IFERROR(VLOOKUP(J532,PROVEEDORES!$A$3:$G$42,2,0),"")</f>
        <v>Leche fresca pasteurizada</v>
      </c>
      <c r="L532" s="66" t="str">
        <f>IFERROR(VLOOKUP(J532,PROVEEDORES!$A$3:$G$42,4,0),"")</f>
        <v>luis@frescarebeca.cl</v>
      </c>
      <c r="M532" s="10" t="str">
        <f>IFERROR(VLOOKUP(J532,PROVEEDORES!$A$3:$G$42,5,0),"")</f>
        <v>56985008017</v>
      </c>
      <c r="N532" s="11">
        <v>29544</v>
      </c>
      <c r="O532" s="64" t="s">
        <v>35</v>
      </c>
      <c r="P532" s="65" t="str">
        <f>IFERROR(VLOOKUP(O532,PROVEEDORES!$A$3:$G$42,2,0),"")</f>
        <v>ABARROTES</v>
      </c>
      <c r="Q532" s="66" t="str">
        <f>IFERROR(VLOOKUP(O532,PROVEEDORES!$A$3:$G$42,4,0),"")</f>
        <v>pagos@bidfood.cl,pmolina@bidfood.cl</v>
      </c>
      <c r="R532" s="10" t="str">
        <f>IFERROR(VLOOKUP(O532,PROVEEDORES!$A$3:$G$42,5,0),"")</f>
        <v>56225994444 - 56998038459</v>
      </c>
      <c r="S532" s="11">
        <v>30751</v>
      </c>
      <c r="T532" s="12">
        <f t="shared" si="26"/>
        <v>26265</v>
      </c>
      <c r="U532" s="13">
        <f t="shared" si="27"/>
        <v>28891.500000000004</v>
      </c>
    </row>
    <row r="533" spans="1:21" ht="15" customHeight="1" x14ac:dyDescent="0.35">
      <c r="A533" s="14" t="s">
        <v>700</v>
      </c>
      <c r="B533" s="15" t="s">
        <v>734</v>
      </c>
      <c r="C533" s="16" t="s">
        <v>219</v>
      </c>
      <c r="D533" s="17">
        <v>2.5000000000000001E-2</v>
      </c>
      <c r="E533" s="67" t="s">
        <v>149</v>
      </c>
      <c r="F533" s="68" t="str">
        <f>IFERROR(VLOOKUP(E533,PROVEEDORES!$A$3:$G$42,2,0),"")</f>
        <v>CARNES Y LACTEOS</v>
      </c>
      <c r="G533" s="69" t="str">
        <f>IFERROR(VLOOKUP(E533,PROVEEDORES!$A$3:$G$42,4,0),"")</f>
        <v>grivas@palaisgourmet.cl</v>
      </c>
      <c r="H533" s="18" t="str">
        <f>IFERROR(VLOOKUP(E533,PROVEEDORES!$A$3:$G$42,5,0),"")</f>
        <v>56942132129</v>
      </c>
      <c r="I533" s="19">
        <v>25000</v>
      </c>
      <c r="J533" s="67" t="s">
        <v>175</v>
      </c>
      <c r="K533" s="68" t="str">
        <f>IFERROR(VLOOKUP(J533,PROVEEDORES!$A$3:$G$42,2,0),"")</f>
        <v>Leche fresca pasteurizada</v>
      </c>
      <c r="L533" s="69" t="str">
        <f>IFERROR(VLOOKUP(J533,PROVEEDORES!$A$3:$G$42,4,0),"")</f>
        <v>luis@frescarebeca.cl</v>
      </c>
      <c r="M533" s="18" t="str">
        <f>IFERROR(VLOOKUP(J533,PROVEEDORES!$A$3:$G$42,5,0),"")</f>
        <v>56985008017</v>
      </c>
      <c r="N533" s="19">
        <v>25338</v>
      </c>
      <c r="O533" s="67" t="s">
        <v>35</v>
      </c>
      <c r="P533" s="68" t="str">
        <f>IFERROR(VLOOKUP(O533,PROVEEDORES!$A$3:$G$42,2,0),"")</f>
        <v>ABARROTES</v>
      </c>
      <c r="Q533" s="69" t="str">
        <f>IFERROR(VLOOKUP(O533,PROVEEDORES!$A$3:$G$42,4,0),"")</f>
        <v>pagos@bidfood.cl,pmolina@bidfood.cl</v>
      </c>
      <c r="R533" s="18" t="str">
        <f>IFERROR(VLOOKUP(O533,PROVEEDORES!$A$3:$G$42,5,0),"")</f>
        <v>56225994444 - 56998038459</v>
      </c>
      <c r="S533" s="19">
        <v>30940</v>
      </c>
      <c r="T533" s="20">
        <f t="shared" si="26"/>
        <v>27092.666666666668</v>
      </c>
      <c r="U533" s="21">
        <f t="shared" si="27"/>
        <v>29801.933333333338</v>
      </c>
    </row>
    <row r="534" spans="1:21" ht="15" customHeight="1" x14ac:dyDescent="0.35">
      <c r="A534" s="6" t="s">
        <v>700</v>
      </c>
      <c r="B534" s="7" t="s">
        <v>735</v>
      </c>
      <c r="C534" s="8" t="s">
        <v>219</v>
      </c>
      <c r="D534" s="9">
        <v>0.09</v>
      </c>
      <c r="E534" s="64" t="s">
        <v>149</v>
      </c>
      <c r="F534" s="65" t="str">
        <f>IFERROR(VLOOKUP(E534,PROVEEDORES!$A$3:$G$42,2,0),"")</f>
        <v>CARNES Y LACTEOS</v>
      </c>
      <c r="G534" s="66" t="str">
        <f>IFERROR(VLOOKUP(E534,PROVEEDORES!$A$3:$G$42,4,0),"")</f>
        <v>grivas@palaisgourmet.cl</v>
      </c>
      <c r="H534" s="10" t="str">
        <f>IFERROR(VLOOKUP(E534,PROVEEDORES!$A$3:$G$42,5,0),"")</f>
        <v>56942132129</v>
      </c>
      <c r="I534" s="11">
        <v>5022</v>
      </c>
      <c r="J534" s="64" t="s">
        <v>175</v>
      </c>
      <c r="K534" s="65" t="str">
        <f>IFERROR(VLOOKUP(J534,PROVEEDORES!$A$3:$G$42,2,0),"")</f>
        <v>Leche fresca pasteurizada</v>
      </c>
      <c r="L534" s="66" t="str">
        <f>IFERROR(VLOOKUP(J534,PROVEEDORES!$A$3:$G$42,4,0),"")</f>
        <v>luis@frescarebeca.cl</v>
      </c>
      <c r="M534" s="10" t="str">
        <f>IFERROR(VLOOKUP(J534,PROVEEDORES!$A$3:$G$42,5,0),"")</f>
        <v>56985008017</v>
      </c>
      <c r="N534" s="11">
        <v>2491</v>
      </c>
      <c r="O534" s="64" t="s">
        <v>35</v>
      </c>
      <c r="P534" s="65" t="str">
        <f>IFERROR(VLOOKUP(O534,PROVEEDORES!$A$3:$G$42,2,0),"")</f>
        <v>ABARROTES</v>
      </c>
      <c r="Q534" s="66" t="str">
        <f>IFERROR(VLOOKUP(O534,PROVEEDORES!$A$3:$G$42,4,0),"")</f>
        <v>pagos@bidfood.cl,pmolina@bidfood.cl</v>
      </c>
      <c r="R534" s="10" t="str">
        <f>IFERROR(VLOOKUP(O534,PROVEEDORES!$A$3:$G$42,5,0),"")</f>
        <v>56225994444 - 56998038459</v>
      </c>
      <c r="S534" s="11">
        <v>-370</v>
      </c>
      <c r="T534" s="12">
        <f t="shared" si="26"/>
        <v>2381</v>
      </c>
      <c r="U534" s="13">
        <f t="shared" si="27"/>
        <v>2619.1000000000004</v>
      </c>
    </row>
    <row r="535" spans="1:21" ht="12" customHeight="1" x14ac:dyDescent="0.35">
      <c r="A535" s="59" t="s">
        <v>736</v>
      </c>
      <c r="B535" s="59"/>
      <c r="C535" s="59"/>
      <c r="D535" s="59"/>
      <c r="E535" s="59"/>
      <c r="F535" s="59"/>
      <c r="G535" s="59"/>
      <c r="H535" s="59"/>
      <c r="I535" s="59"/>
      <c r="J535" s="59"/>
      <c r="K535" s="59"/>
      <c r="L535" s="59"/>
      <c r="M535" s="59"/>
      <c r="N535" s="59"/>
      <c r="O535" s="59"/>
      <c r="P535" s="59"/>
      <c r="Q535" s="59"/>
      <c r="R535" s="59"/>
      <c r="S535" s="59"/>
      <c r="T535" s="59"/>
      <c r="U535" s="59"/>
    </row>
    <row r="536" spans="1:21" ht="15" customHeight="1" x14ac:dyDescent="0.35">
      <c r="A536" s="6" t="s">
        <v>736</v>
      </c>
      <c r="B536" s="7" t="s">
        <v>737</v>
      </c>
      <c r="C536" s="8" t="s">
        <v>219</v>
      </c>
      <c r="D536" s="9">
        <v>0.04</v>
      </c>
      <c r="E536" s="64" t="s">
        <v>35</v>
      </c>
      <c r="F536" s="65" t="str">
        <f>IFERROR(VLOOKUP(E536,PROVEEDORES!$A$3:$G$42,2,0),"")</f>
        <v>ABARROTES</v>
      </c>
      <c r="G536" s="66" t="str">
        <f>IFERROR(VLOOKUP(E536,PROVEEDORES!$A$3:$G$42,4,0),"")</f>
        <v>pagos@bidfood.cl,pmolina@bidfood.cl</v>
      </c>
      <c r="H536" s="10" t="str">
        <f>IFERROR(VLOOKUP(E536,PROVEEDORES!$A$3:$G$42,5,0),"")</f>
        <v>56225994444 - 56998038459</v>
      </c>
      <c r="I536" s="11">
        <v>1784</v>
      </c>
      <c r="J536" s="64" t="s">
        <v>41</v>
      </c>
      <c r="K536" s="65" t="str">
        <f>IFERROR(VLOOKUP(J536,PROVEEDORES!$A$3:$G$42,2,0),"")</f>
        <v>FRUTAS Y VERDURAS</v>
      </c>
      <c r="L536" s="66" t="str">
        <f>IFERROR(VLOOKUP(J536,PROVEEDORES!$A$3:$G$42,4,0),"")</f>
        <v>caseritaencasa@gmail.com</v>
      </c>
      <c r="M536" s="10" t="str">
        <f>IFERROR(VLOOKUP(J536,PROVEEDORES!$A$3:$G$42,5,0),"")</f>
        <v>56952069703</v>
      </c>
      <c r="N536" s="11">
        <v>751</v>
      </c>
      <c r="O536" s="64"/>
      <c r="P536" s="65"/>
      <c r="Q536" s="66"/>
      <c r="R536" s="10"/>
      <c r="S536" s="11"/>
      <c r="T536" s="12">
        <f>AVERAGE(I536,N536)</f>
        <v>1267.5</v>
      </c>
      <c r="U536" s="13">
        <f>T536*(1+$B$2)</f>
        <v>1394.25</v>
      </c>
    </row>
    <row r="537" spans="1:21" ht="15" customHeight="1" x14ac:dyDescent="0.35">
      <c r="A537" s="14" t="s">
        <v>736</v>
      </c>
      <c r="B537" s="15" t="s">
        <v>738</v>
      </c>
      <c r="C537" s="16" t="s">
        <v>219</v>
      </c>
      <c r="D537" s="17">
        <v>7.0000000000000007E-2</v>
      </c>
      <c r="E537" s="67" t="s">
        <v>35</v>
      </c>
      <c r="F537" s="68" t="str">
        <f>IFERROR(VLOOKUP(E537,PROVEEDORES!$A$3:$G$42,2,0),"")</f>
        <v>ABARROTES</v>
      </c>
      <c r="G537" s="69" t="str">
        <f>IFERROR(VLOOKUP(E537,PROVEEDORES!$A$3:$G$42,4,0),"")</f>
        <v>pagos@bidfood.cl,pmolina@bidfood.cl</v>
      </c>
      <c r="H537" s="18" t="str">
        <f>IFERROR(VLOOKUP(E537,PROVEEDORES!$A$3:$G$42,5,0),"")</f>
        <v>56225994444 - 56998038459</v>
      </c>
      <c r="I537" s="19">
        <v>3800</v>
      </c>
      <c r="J537" s="67" t="s">
        <v>41</v>
      </c>
      <c r="K537" s="68" t="str">
        <f>IFERROR(VLOOKUP(J537,PROVEEDORES!$A$3:$G$42,2,0),"")</f>
        <v>FRUTAS Y VERDURAS</v>
      </c>
      <c r="L537" s="69" t="str">
        <f>IFERROR(VLOOKUP(J537,PROVEEDORES!$A$3:$G$42,4,0),"")</f>
        <v>caseritaencasa@gmail.com</v>
      </c>
      <c r="M537" s="18" t="str">
        <f>IFERROR(VLOOKUP(J537,PROVEEDORES!$A$3:$G$42,5,0),"")</f>
        <v>56952069703</v>
      </c>
      <c r="N537" s="19">
        <v>2221</v>
      </c>
      <c r="O537" s="67"/>
      <c r="P537" s="68"/>
      <c r="Q537" s="69"/>
      <c r="R537" s="18"/>
      <c r="S537" s="19"/>
      <c r="T537" s="20">
        <f>AVERAGE(I537,N537)</f>
        <v>3010.5</v>
      </c>
      <c r="U537" s="21">
        <f>T537*(1+$B$2)</f>
        <v>3311.55</v>
      </c>
    </row>
    <row r="538" spans="1:21" ht="12" customHeight="1" x14ac:dyDescent="0.35">
      <c r="A538" s="59" t="s">
        <v>739</v>
      </c>
      <c r="B538" s="59"/>
      <c r="C538" s="59"/>
      <c r="D538" s="59"/>
      <c r="E538" s="59"/>
      <c r="F538" s="59"/>
      <c r="G538" s="59"/>
      <c r="H538" s="59"/>
      <c r="I538" s="59"/>
      <c r="J538" s="59"/>
      <c r="K538" s="59"/>
      <c r="L538" s="59"/>
      <c r="M538" s="59"/>
      <c r="N538" s="59"/>
      <c r="O538" s="59"/>
      <c r="P538" s="59"/>
      <c r="Q538" s="59"/>
      <c r="R538" s="59"/>
      <c r="S538" s="59"/>
      <c r="T538" s="59"/>
      <c r="U538" s="59"/>
    </row>
    <row r="539" spans="1:21" ht="15" customHeight="1" x14ac:dyDescent="0.35">
      <c r="A539" s="14" t="s">
        <v>739</v>
      </c>
      <c r="B539" s="15" t="s">
        <v>740</v>
      </c>
      <c r="C539" s="16" t="s">
        <v>239</v>
      </c>
      <c r="D539" s="17">
        <v>6.2500000000000003E-3</v>
      </c>
      <c r="E539" s="67" t="s">
        <v>120</v>
      </c>
      <c r="F539" s="68" t="str">
        <f>IFERROR(VLOOKUP(E539,PROVEEDORES!$A$3:$G$42,2,0),"")</f>
        <v>VINOS Y LICORES</v>
      </c>
      <c r="G539" s="69" t="str">
        <f>IFERROR(VLOOKUP(E539,PROVEEDORES!$A$3:$G$42,4,0),"")</f>
        <v>andrea.aristizabal@lavinoteca.cl, johanna.quiroga@lavinoteca.cl, margarita.arias@lavinoteca.cl</v>
      </c>
      <c r="H539" s="18" t="str">
        <f>IFERROR(VLOOKUP(E539,PROVEEDORES!$A$3:$G$42,5,0),"")</f>
        <v>56228292221 - 56992197824</v>
      </c>
      <c r="I539" s="19">
        <v>21812</v>
      </c>
      <c r="J539" s="67" t="s">
        <v>70</v>
      </c>
      <c r="K539" s="68" t="str">
        <f>IFERROR(VLOOKUP(J539,PROVEEDORES!$A$3:$G$42,2,0),"")</f>
        <v>VINOS Y LICORES</v>
      </c>
      <c r="L539" s="69" t="str">
        <f>IFERROR(VLOOKUP(J539,PROVEEDORES!$A$3:$G$42,4,0),"")</f>
        <v>dedwardj@uc.cl,ventas@efwines.cl</v>
      </c>
      <c r="M539" s="18">
        <f>IFERROR(VLOOKUP(J539,PROVEEDORES!$A$3:$G$42,5,0),"")</f>
        <v>0</v>
      </c>
      <c r="N539" s="19">
        <v>21550</v>
      </c>
      <c r="O539" s="67" t="s">
        <v>129</v>
      </c>
      <c r="P539" s="68" t="str">
        <f>IFERROR(VLOOKUP(O539,PROVEEDORES!$A$3:$G$42,2,0),"")</f>
        <v>VINOS Y LICORES</v>
      </c>
      <c r="Q539" s="69" t="str">
        <f>IFERROR(VLOOKUP(O539,PROVEEDORES!$A$3:$G$42,4,0),"")</f>
        <v>licoval@licoval.cl</v>
      </c>
      <c r="R539" s="18" t="str">
        <f>IFERROR(VLOOKUP(O539,PROVEEDORES!$A$3:$G$42,5,0),"")</f>
        <v>56992568880</v>
      </c>
      <c r="S539" s="19">
        <v>26467</v>
      </c>
      <c r="T539" s="20">
        <f t="shared" ref="T539:T551" si="28">AVERAGE(I539,N539,S539)</f>
        <v>23276.333333333332</v>
      </c>
      <c r="U539" s="21">
        <f t="shared" ref="U539:U551" si="29">T539*(1+$B$2)</f>
        <v>25603.966666666667</v>
      </c>
    </row>
    <row r="540" spans="1:21" ht="15" customHeight="1" x14ac:dyDescent="0.35">
      <c r="A540" s="6" t="s">
        <v>739</v>
      </c>
      <c r="B540" s="7" t="s">
        <v>741</v>
      </c>
      <c r="C540" s="8" t="s">
        <v>239</v>
      </c>
      <c r="D540" s="9">
        <v>0.04</v>
      </c>
      <c r="E540" s="64" t="s">
        <v>120</v>
      </c>
      <c r="F540" s="65" t="str">
        <f>IFERROR(VLOOKUP(E540,PROVEEDORES!$A$3:$G$42,2,0),"")</f>
        <v>VINOS Y LICORES</v>
      </c>
      <c r="G540" s="66" t="str">
        <f>IFERROR(VLOOKUP(E540,PROVEEDORES!$A$3:$G$42,4,0),"")</f>
        <v>andrea.aristizabal@lavinoteca.cl, johanna.quiroga@lavinoteca.cl, margarita.arias@lavinoteca.cl</v>
      </c>
      <c r="H540" s="10" t="str">
        <f>IFERROR(VLOOKUP(E540,PROVEEDORES!$A$3:$G$42,5,0),"")</f>
        <v>56228292221 - 56992197824</v>
      </c>
      <c r="I540" s="11">
        <v>4706</v>
      </c>
      <c r="J540" s="64" t="s">
        <v>70</v>
      </c>
      <c r="K540" s="65" t="str">
        <f>IFERROR(VLOOKUP(J540,PROVEEDORES!$A$3:$G$42,2,0),"")</f>
        <v>VINOS Y LICORES</v>
      </c>
      <c r="L540" s="66" t="str">
        <f>IFERROR(VLOOKUP(J540,PROVEEDORES!$A$3:$G$42,4,0),"")</f>
        <v>dedwardj@uc.cl,ventas@efwines.cl</v>
      </c>
      <c r="M540" s="10">
        <f>IFERROR(VLOOKUP(J540,PROVEEDORES!$A$3:$G$42,5,0),"")</f>
        <v>0</v>
      </c>
      <c r="N540" s="11">
        <v>5511</v>
      </c>
      <c r="O540" s="64" t="s">
        <v>129</v>
      </c>
      <c r="P540" s="65" t="str">
        <f>IFERROR(VLOOKUP(O540,PROVEEDORES!$A$3:$G$42,2,0),"")</f>
        <v>VINOS Y LICORES</v>
      </c>
      <c r="Q540" s="66" t="str">
        <f>IFERROR(VLOOKUP(O540,PROVEEDORES!$A$3:$G$42,4,0),"")</f>
        <v>licoval@licoval.cl</v>
      </c>
      <c r="R540" s="10" t="str">
        <f>IFERROR(VLOOKUP(O540,PROVEEDORES!$A$3:$G$42,5,0),"")</f>
        <v>56992568880</v>
      </c>
      <c r="S540" s="11">
        <v>1258</v>
      </c>
      <c r="T540" s="12">
        <f t="shared" si="28"/>
        <v>3825</v>
      </c>
      <c r="U540" s="13">
        <f t="shared" si="29"/>
        <v>4207.5</v>
      </c>
    </row>
    <row r="541" spans="1:21" ht="15" customHeight="1" x14ac:dyDescent="0.35">
      <c r="A541" s="14" t="s">
        <v>739</v>
      </c>
      <c r="B541" s="15" t="s">
        <v>742</v>
      </c>
      <c r="C541" s="16" t="s">
        <v>239</v>
      </c>
      <c r="D541" s="17">
        <v>5.5125E-2</v>
      </c>
      <c r="E541" s="67" t="s">
        <v>120</v>
      </c>
      <c r="F541" s="68" t="str">
        <f>IFERROR(VLOOKUP(E541,PROVEEDORES!$A$3:$G$42,2,0),"")</f>
        <v>VINOS Y LICORES</v>
      </c>
      <c r="G541" s="69" t="str">
        <f>IFERROR(VLOOKUP(E541,PROVEEDORES!$A$3:$G$42,4,0),"")</f>
        <v>andrea.aristizabal@lavinoteca.cl, johanna.quiroga@lavinoteca.cl, margarita.arias@lavinoteca.cl</v>
      </c>
      <c r="H541" s="18" t="str">
        <f>IFERROR(VLOOKUP(E541,PROVEEDORES!$A$3:$G$42,5,0),"")</f>
        <v>56228292221 - 56992197824</v>
      </c>
      <c r="I541" s="19">
        <v>4193</v>
      </c>
      <c r="J541" s="67" t="s">
        <v>70</v>
      </c>
      <c r="K541" s="68" t="str">
        <f>IFERROR(VLOOKUP(J541,PROVEEDORES!$A$3:$G$42,2,0),"")</f>
        <v>VINOS Y LICORES</v>
      </c>
      <c r="L541" s="69" t="str">
        <f>IFERROR(VLOOKUP(J541,PROVEEDORES!$A$3:$G$42,4,0),"")</f>
        <v>dedwardj@uc.cl,ventas@efwines.cl</v>
      </c>
      <c r="M541" s="18">
        <f>IFERROR(VLOOKUP(J541,PROVEEDORES!$A$3:$G$42,5,0),"")</f>
        <v>0</v>
      </c>
      <c r="N541" s="19">
        <v>2092</v>
      </c>
      <c r="O541" s="67" t="s">
        <v>129</v>
      </c>
      <c r="P541" s="68" t="str">
        <f>IFERROR(VLOOKUP(O541,PROVEEDORES!$A$3:$G$42,2,0),"")</f>
        <v>VINOS Y LICORES</v>
      </c>
      <c r="Q541" s="69" t="str">
        <f>IFERROR(VLOOKUP(O541,PROVEEDORES!$A$3:$G$42,4,0),"")</f>
        <v>licoval@licoval.cl</v>
      </c>
      <c r="R541" s="18" t="str">
        <f>IFERROR(VLOOKUP(O541,PROVEEDORES!$A$3:$G$42,5,0),"")</f>
        <v>56992568880</v>
      </c>
      <c r="S541" s="19">
        <v>8390</v>
      </c>
      <c r="T541" s="20">
        <f t="shared" si="28"/>
        <v>4891.666666666667</v>
      </c>
      <c r="U541" s="21">
        <f t="shared" si="29"/>
        <v>5380.8333333333339</v>
      </c>
    </row>
    <row r="542" spans="1:21" ht="15" customHeight="1" x14ac:dyDescent="0.35">
      <c r="A542" s="6" t="s">
        <v>739</v>
      </c>
      <c r="B542" s="7" t="s">
        <v>743</v>
      </c>
      <c r="C542" s="8" t="s">
        <v>239</v>
      </c>
      <c r="D542" s="9">
        <v>8.0000000000000002E-3</v>
      </c>
      <c r="E542" s="64" t="s">
        <v>120</v>
      </c>
      <c r="F542" s="65" t="str">
        <f>IFERROR(VLOOKUP(E542,PROVEEDORES!$A$3:$G$42,2,0),"")</f>
        <v>VINOS Y LICORES</v>
      </c>
      <c r="G542" s="66" t="str">
        <f>IFERROR(VLOOKUP(E542,PROVEEDORES!$A$3:$G$42,4,0),"")</f>
        <v>andrea.aristizabal@lavinoteca.cl, johanna.quiroga@lavinoteca.cl, margarita.arias@lavinoteca.cl</v>
      </c>
      <c r="H542" s="10" t="str">
        <f>IFERROR(VLOOKUP(E542,PROVEEDORES!$A$3:$G$42,5,0),"")</f>
        <v>56228292221 - 56992197824</v>
      </c>
      <c r="I542" s="11">
        <v>34025</v>
      </c>
      <c r="J542" s="64" t="s">
        <v>70</v>
      </c>
      <c r="K542" s="65" t="str">
        <f>IFERROR(VLOOKUP(J542,PROVEEDORES!$A$3:$G$42,2,0),"")</f>
        <v>VINOS Y LICORES</v>
      </c>
      <c r="L542" s="66" t="str">
        <f>IFERROR(VLOOKUP(J542,PROVEEDORES!$A$3:$G$42,4,0),"")</f>
        <v>dedwardj@uc.cl,ventas@efwines.cl</v>
      </c>
      <c r="M542" s="10">
        <f>IFERROR(VLOOKUP(J542,PROVEEDORES!$A$3:$G$42,5,0),"")</f>
        <v>0</v>
      </c>
      <c r="N542" s="11">
        <v>13763</v>
      </c>
      <c r="O542" s="64" t="s">
        <v>129</v>
      </c>
      <c r="P542" s="65" t="str">
        <f>IFERROR(VLOOKUP(O542,PROVEEDORES!$A$3:$G$42,2,0),"")</f>
        <v>VINOS Y LICORES</v>
      </c>
      <c r="Q542" s="66" t="str">
        <f>IFERROR(VLOOKUP(O542,PROVEEDORES!$A$3:$G$42,4,0),"")</f>
        <v>licoval@licoval.cl</v>
      </c>
      <c r="R542" s="10" t="str">
        <f>IFERROR(VLOOKUP(O542,PROVEEDORES!$A$3:$G$42,5,0),"")</f>
        <v>56992568880</v>
      </c>
      <c r="S542" s="11">
        <v>69282</v>
      </c>
      <c r="T542" s="12">
        <f t="shared" si="28"/>
        <v>39023.333333333336</v>
      </c>
      <c r="U542" s="13">
        <f t="shared" si="29"/>
        <v>42925.666666666672</v>
      </c>
    </row>
    <row r="543" spans="1:21" ht="15" customHeight="1" x14ac:dyDescent="0.35">
      <c r="A543" s="14" t="s">
        <v>739</v>
      </c>
      <c r="B543" s="15" t="s">
        <v>744</v>
      </c>
      <c r="C543" s="16" t="s">
        <v>239</v>
      </c>
      <c r="D543" s="17">
        <v>8.0000000000000002E-3</v>
      </c>
      <c r="E543" s="67" t="s">
        <v>120</v>
      </c>
      <c r="F543" s="68" t="str">
        <f>IFERROR(VLOOKUP(E543,PROVEEDORES!$A$3:$G$42,2,0),"")</f>
        <v>VINOS Y LICORES</v>
      </c>
      <c r="G543" s="69" t="str">
        <f>IFERROR(VLOOKUP(E543,PROVEEDORES!$A$3:$G$42,4,0),"")</f>
        <v>andrea.aristizabal@lavinoteca.cl, johanna.quiroga@lavinoteca.cl, margarita.arias@lavinoteca.cl</v>
      </c>
      <c r="H543" s="18" t="str">
        <f>IFERROR(VLOOKUP(E543,PROVEEDORES!$A$3:$G$42,5,0),"")</f>
        <v>56228292221 - 56992197824</v>
      </c>
      <c r="I543" s="19">
        <v>3981</v>
      </c>
      <c r="J543" s="67" t="s">
        <v>70</v>
      </c>
      <c r="K543" s="68" t="str">
        <f>IFERROR(VLOOKUP(J543,PROVEEDORES!$A$3:$G$42,2,0),"")</f>
        <v>VINOS Y LICORES</v>
      </c>
      <c r="L543" s="69" t="str">
        <f>IFERROR(VLOOKUP(J543,PROVEEDORES!$A$3:$G$42,4,0),"")</f>
        <v>dedwardj@uc.cl,ventas@efwines.cl</v>
      </c>
      <c r="M543" s="18">
        <f>IFERROR(VLOOKUP(J543,PROVEEDORES!$A$3:$G$42,5,0),"")</f>
        <v>0</v>
      </c>
      <c r="N543" s="19">
        <v>1897</v>
      </c>
      <c r="O543" s="67" t="s">
        <v>129</v>
      </c>
      <c r="P543" s="68" t="str">
        <f>IFERROR(VLOOKUP(O543,PROVEEDORES!$A$3:$G$42,2,0),"")</f>
        <v>VINOS Y LICORES</v>
      </c>
      <c r="Q543" s="69" t="str">
        <f>IFERROR(VLOOKUP(O543,PROVEEDORES!$A$3:$G$42,4,0),"")</f>
        <v>licoval@licoval.cl</v>
      </c>
      <c r="R543" s="18" t="str">
        <f>IFERROR(VLOOKUP(O543,PROVEEDORES!$A$3:$G$42,5,0),"")</f>
        <v>56992568880</v>
      </c>
      <c r="S543" s="19">
        <v>5198</v>
      </c>
      <c r="T543" s="20">
        <f t="shared" si="28"/>
        <v>3692</v>
      </c>
      <c r="U543" s="21">
        <f t="shared" si="29"/>
        <v>4061.2000000000003</v>
      </c>
    </row>
    <row r="544" spans="1:21" ht="15" customHeight="1" x14ac:dyDescent="0.35">
      <c r="A544" s="6" t="s">
        <v>739</v>
      </c>
      <c r="B544" s="7" t="s">
        <v>745</v>
      </c>
      <c r="C544" s="8" t="s">
        <v>239</v>
      </c>
      <c r="D544" s="9">
        <v>0.02</v>
      </c>
      <c r="E544" s="64" t="s">
        <v>120</v>
      </c>
      <c r="F544" s="65" t="str">
        <f>IFERROR(VLOOKUP(E544,PROVEEDORES!$A$3:$G$42,2,0),"")</f>
        <v>VINOS Y LICORES</v>
      </c>
      <c r="G544" s="66" t="str">
        <f>IFERROR(VLOOKUP(E544,PROVEEDORES!$A$3:$G$42,4,0),"")</f>
        <v>andrea.aristizabal@lavinoteca.cl, johanna.quiroga@lavinoteca.cl, margarita.arias@lavinoteca.cl</v>
      </c>
      <c r="H544" s="10" t="str">
        <f>IFERROR(VLOOKUP(E544,PROVEEDORES!$A$3:$G$42,5,0),"")</f>
        <v>56228292221 - 56992197824</v>
      </c>
      <c r="I544" s="11">
        <v>36126</v>
      </c>
      <c r="J544" s="64" t="s">
        <v>70</v>
      </c>
      <c r="K544" s="65" t="str">
        <f>IFERROR(VLOOKUP(J544,PROVEEDORES!$A$3:$G$42,2,0),"")</f>
        <v>VINOS Y LICORES</v>
      </c>
      <c r="L544" s="66" t="str">
        <f>IFERROR(VLOOKUP(J544,PROVEEDORES!$A$3:$G$42,4,0),"")</f>
        <v>dedwardj@uc.cl,ventas@efwines.cl</v>
      </c>
      <c r="M544" s="10">
        <f>IFERROR(VLOOKUP(J544,PROVEEDORES!$A$3:$G$42,5,0),"")</f>
        <v>0</v>
      </c>
      <c r="N544" s="11">
        <v>45013</v>
      </c>
      <c r="O544" s="64" t="s">
        <v>129</v>
      </c>
      <c r="P544" s="65" t="str">
        <f>IFERROR(VLOOKUP(O544,PROVEEDORES!$A$3:$G$42,2,0),"")</f>
        <v>VINOS Y LICORES</v>
      </c>
      <c r="Q544" s="66" t="str">
        <f>IFERROR(VLOOKUP(O544,PROVEEDORES!$A$3:$G$42,4,0),"")</f>
        <v>licoval@licoval.cl</v>
      </c>
      <c r="R544" s="10" t="str">
        <f>IFERROR(VLOOKUP(O544,PROVEEDORES!$A$3:$G$42,5,0),"")</f>
        <v>56992568880</v>
      </c>
      <c r="S544" s="11">
        <v>28814</v>
      </c>
      <c r="T544" s="12">
        <f t="shared" si="28"/>
        <v>36651</v>
      </c>
      <c r="U544" s="13">
        <f t="shared" si="29"/>
        <v>40316.100000000006</v>
      </c>
    </row>
    <row r="545" spans="1:21" ht="15" customHeight="1" x14ac:dyDescent="0.35">
      <c r="A545" s="14" t="s">
        <v>739</v>
      </c>
      <c r="B545" s="15" t="s">
        <v>746</v>
      </c>
      <c r="C545" s="16" t="s">
        <v>239</v>
      </c>
      <c r="D545" s="17">
        <v>2.1250000000000002E-2</v>
      </c>
      <c r="E545" s="67" t="s">
        <v>120</v>
      </c>
      <c r="F545" s="68" t="str">
        <f>IFERROR(VLOOKUP(E545,PROVEEDORES!$A$3:$G$42,2,0),"")</f>
        <v>VINOS Y LICORES</v>
      </c>
      <c r="G545" s="69" t="str">
        <f>IFERROR(VLOOKUP(E545,PROVEEDORES!$A$3:$G$42,4,0),"")</f>
        <v>andrea.aristizabal@lavinoteca.cl, johanna.quiroga@lavinoteca.cl, margarita.arias@lavinoteca.cl</v>
      </c>
      <c r="H545" s="18" t="str">
        <f>IFERROR(VLOOKUP(E545,PROVEEDORES!$A$3:$G$42,5,0),"")</f>
        <v>56228292221 - 56992197824</v>
      </c>
      <c r="I545" s="19">
        <v>7059</v>
      </c>
      <c r="J545" s="67" t="s">
        <v>70</v>
      </c>
      <c r="K545" s="68" t="str">
        <f>IFERROR(VLOOKUP(J545,PROVEEDORES!$A$3:$G$42,2,0),"")</f>
        <v>VINOS Y LICORES</v>
      </c>
      <c r="L545" s="69" t="str">
        <f>IFERROR(VLOOKUP(J545,PROVEEDORES!$A$3:$G$42,4,0),"")</f>
        <v>dedwardj@uc.cl,ventas@efwines.cl</v>
      </c>
      <c r="M545" s="18">
        <f>IFERROR(VLOOKUP(J545,PROVEEDORES!$A$3:$G$42,5,0),"")</f>
        <v>0</v>
      </c>
      <c r="N545" s="19">
        <v>7705</v>
      </c>
      <c r="O545" s="67" t="s">
        <v>129</v>
      </c>
      <c r="P545" s="68" t="str">
        <f>IFERROR(VLOOKUP(O545,PROVEEDORES!$A$3:$G$42,2,0),"")</f>
        <v>VINOS Y LICORES</v>
      </c>
      <c r="Q545" s="69" t="str">
        <f>IFERROR(VLOOKUP(O545,PROVEEDORES!$A$3:$G$42,4,0),"")</f>
        <v>licoval@licoval.cl</v>
      </c>
      <c r="R545" s="18" t="str">
        <f>IFERROR(VLOOKUP(O545,PROVEEDORES!$A$3:$G$42,5,0),"")</f>
        <v>56992568880</v>
      </c>
      <c r="S545" s="19">
        <v>8659</v>
      </c>
      <c r="T545" s="20">
        <f t="shared" si="28"/>
        <v>7807.666666666667</v>
      </c>
      <c r="U545" s="21">
        <f t="shared" si="29"/>
        <v>8588.4333333333343</v>
      </c>
    </row>
    <row r="546" spans="1:21" ht="15" customHeight="1" x14ac:dyDescent="0.35">
      <c r="A546" s="6" t="s">
        <v>739</v>
      </c>
      <c r="B546" s="7" t="s">
        <v>747</v>
      </c>
      <c r="C546" s="8" t="s">
        <v>209</v>
      </c>
      <c r="D546" s="9">
        <v>3.8249999999999999E-2</v>
      </c>
      <c r="E546" s="64" t="s">
        <v>120</v>
      </c>
      <c r="F546" s="65" t="str">
        <f>IFERROR(VLOOKUP(E546,PROVEEDORES!$A$3:$G$42,2,0),"")</f>
        <v>VINOS Y LICORES</v>
      </c>
      <c r="G546" s="66" t="str">
        <f>IFERROR(VLOOKUP(E546,PROVEEDORES!$A$3:$G$42,4,0),"")</f>
        <v>andrea.aristizabal@lavinoteca.cl, johanna.quiroga@lavinoteca.cl, margarita.arias@lavinoteca.cl</v>
      </c>
      <c r="H546" s="10" t="str">
        <f>IFERROR(VLOOKUP(E546,PROVEEDORES!$A$3:$G$42,5,0),"")</f>
        <v>56228292221 - 56992197824</v>
      </c>
      <c r="I546" s="11">
        <v>6706</v>
      </c>
      <c r="J546" s="64" t="s">
        <v>70</v>
      </c>
      <c r="K546" s="65" t="str">
        <f>IFERROR(VLOOKUP(J546,PROVEEDORES!$A$3:$G$42,2,0),"")</f>
        <v>VINOS Y LICORES</v>
      </c>
      <c r="L546" s="66" t="str">
        <f>IFERROR(VLOOKUP(J546,PROVEEDORES!$A$3:$G$42,4,0),"")</f>
        <v>dedwardj@uc.cl,ventas@efwines.cl</v>
      </c>
      <c r="M546" s="10">
        <f>IFERROR(VLOOKUP(J546,PROVEEDORES!$A$3:$G$42,5,0),"")</f>
        <v>0</v>
      </c>
      <c r="N546" s="11">
        <v>7983</v>
      </c>
      <c r="O546" s="64" t="s">
        <v>129</v>
      </c>
      <c r="P546" s="65" t="str">
        <f>IFERROR(VLOOKUP(O546,PROVEEDORES!$A$3:$G$42,2,0),"")</f>
        <v>VINOS Y LICORES</v>
      </c>
      <c r="Q546" s="66" t="str">
        <f>IFERROR(VLOOKUP(O546,PROVEEDORES!$A$3:$G$42,4,0),"")</f>
        <v>licoval@licoval.cl</v>
      </c>
      <c r="R546" s="10" t="str">
        <f>IFERROR(VLOOKUP(O546,PROVEEDORES!$A$3:$G$42,5,0),"")</f>
        <v>56992568880</v>
      </c>
      <c r="S546" s="11">
        <v>13404</v>
      </c>
      <c r="T546" s="12">
        <f t="shared" si="28"/>
        <v>9364.3333333333339</v>
      </c>
      <c r="U546" s="13">
        <f t="shared" si="29"/>
        <v>10300.766666666668</v>
      </c>
    </row>
    <row r="547" spans="1:21" ht="15" customHeight="1" x14ac:dyDescent="0.35">
      <c r="A547" s="14" t="s">
        <v>739</v>
      </c>
      <c r="B547" s="15" t="s">
        <v>748</v>
      </c>
      <c r="C547" s="16" t="s">
        <v>209</v>
      </c>
      <c r="D547" s="17">
        <v>3.0000000000000001E-3</v>
      </c>
      <c r="E547" s="67" t="s">
        <v>120</v>
      </c>
      <c r="F547" s="68" t="str">
        <f>IFERROR(VLOOKUP(E547,PROVEEDORES!$A$3:$G$42,2,0),"")</f>
        <v>VINOS Y LICORES</v>
      </c>
      <c r="G547" s="69" t="str">
        <f>IFERROR(VLOOKUP(E547,PROVEEDORES!$A$3:$G$42,4,0),"")</f>
        <v>andrea.aristizabal@lavinoteca.cl, johanna.quiroga@lavinoteca.cl, margarita.arias@lavinoteca.cl</v>
      </c>
      <c r="H547" s="18" t="str">
        <f>IFERROR(VLOOKUP(E547,PROVEEDORES!$A$3:$G$42,5,0),"")</f>
        <v>56228292221 - 56992197824</v>
      </c>
      <c r="I547" s="19">
        <v>7500</v>
      </c>
      <c r="J547" s="67" t="s">
        <v>70</v>
      </c>
      <c r="K547" s="68" t="str">
        <f>IFERROR(VLOOKUP(J547,PROVEEDORES!$A$3:$G$42,2,0),"")</f>
        <v>VINOS Y LICORES</v>
      </c>
      <c r="L547" s="69" t="str">
        <f>IFERROR(VLOOKUP(J547,PROVEEDORES!$A$3:$G$42,4,0),"")</f>
        <v>dedwardj@uc.cl,ventas@efwines.cl</v>
      </c>
      <c r="M547" s="18">
        <f>IFERROR(VLOOKUP(J547,PROVEEDORES!$A$3:$G$42,5,0),"")</f>
        <v>0</v>
      </c>
      <c r="N547" s="19">
        <v>5756</v>
      </c>
      <c r="O547" s="67" t="s">
        <v>129</v>
      </c>
      <c r="P547" s="68" t="str">
        <f>IFERROR(VLOOKUP(O547,PROVEEDORES!$A$3:$G$42,2,0),"")</f>
        <v>VINOS Y LICORES</v>
      </c>
      <c r="Q547" s="69" t="str">
        <f>IFERROR(VLOOKUP(O547,PROVEEDORES!$A$3:$G$42,4,0),"")</f>
        <v>licoval@licoval.cl</v>
      </c>
      <c r="R547" s="18" t="str">
        <f>IFERROR(VLOOKUP(O547,PROVEEDORES!$A$3:$G$42,5,0),"")</f>
        <v>56992568880</v>
      </c>
      <c r="S547" s="19">
        <v>1362</v>
      </c>
      <c r="T547" s="20">
        <f t="shared" si="28"/>
        <v>4872.666666666667</v>
      </c>
      <c r="U547" s="21">
        <f t="shared" si="29"/>
        <v>5359.9333333333343</v>
      </c>
    </row>
    <row r="548" spans="1:21" ht="15" customHeight="1" x14ac:dyDescent="0.35">
      <c r="A548" s="6" t="s">
        <v>739</v>
      </c>
      <c r="B548" s="7" t="s">
        <v>749</v>
      </c>
      <c r="C548" s="8" t="s">
        <v>239</v>
      </c>
      <c r="D548" s="9">
        <v>0.04</v>
      </c>
      <c r="E548" s="64" t="s">
        <v>120</v>
      </c>
      <c r="F548" s="65" t="str">
        <f>IFERROR(VLOOKUP(E548,PROVEEDORES!$A$3:$G$42,2,0),"")</f>
        <v>VINOS Y LICORES</v>
      </c>
      <c r="G548" s="66" t="str">
        <f>IFERROR(VLOOKUP(E548,PROVEEDORES!$A$3:$G$42,4,0),"")</f>
        <v>andrea.aristizabal@lavinoteca.cl, johanna.quiroga@lavinoteca.cl, margarita.arias@lavinoteca.cl</v>
      </c>
      <c r="H548" s="10" t="str">
        <f>IFERROR(VLOOKUP(E548,PROVEEDORES!$A$3:$G$42,5,0),"")</f>
        <v>56228292221 - 56992197824</v>
      </c>
      <c r="I548" s="11">
        <v>5210</v>
      </c>
      <c r="J548" s="64" t="s">
        <v>70</v>
      </c>
      <c r="K548" s="65" t="str">
        <f>IFERROR(VLOOKUP(J548,PROVEEDORES!$A$3:$G$42,2,0),"")</f>
        <v>VINOS Y LICORES</v>
      </c>
      <c r="L548" s="66" t="str">
        <f>IFERROR(VLOOKUP(J548,PROVEEDORES!$A$3:$G$42,4,0),"")</f>
        <v>dedwardj@uc.cl,ventas@efwines.cl</v>
      </c>
      <c r="M548" s="10">
        <f>IFERROR(VLOOKUP(J548,PROVEEDORES!$A$3:$G$42,5,0),"")</f>
        <v>0</v>
      </c>
      <c r="N548" s="11">
        <v>5132</v>
      </c>
      <c r="O548" s="64" t="s">
        <v>129</v>
      </c>
      <c r="P548" s="65" t="str">
        <f>IFERROR(VLOOKUP(O548,PROVEEDORES!$A$3:$G$42,2,0),"")</f>
        <v>VINOS Y LICORES</v>
      </c>
      <c r="Q548" s="66" t="str">
        <f>IFERROR(VLOOKUP(O548,PROVEEDORES!$A$3:$G$42,4,0),"")</f>
        <v>licoval@licoval.cl</v>
      </c>
      <c r="R548" s="10" t="str">
        <f>IFERROR(VLOOKUP(O548,PROVEEDORES!$A$3:$G$42,5,0),"")</f>
        <v>56992568880</v>
      </c>
      <c r="S548" s="11">
        <v>6987</v>
      </c>
      <c r="T548" s="12">
        <f t="shared" si="28"/>
        <v>5776.333333333333</v>
      </c>
      <c r="U548" s="13">
        <f t="shared" si="29"/>
        <v>6353.9666666666672</v>
      </c>
    </row>
    <row r="549" spans="1:21" ht="15" customHeight="1" x14ac:dyDescent="0.35">
      <c r="A549" s="14" t="s">
        <v>739</v>
      </c>
      <c r="B549" s="15" t="s">
        <v>750</v>
      </c>
      <c r="C549" s="16" t="s">
        <v>239</v>
      </c>
      <c r="D549" s="17">
        <v>0.2455</v>
      </c>
      <c r="E549" s="67" t="s">
        <v>120</v>
      </c>
      <c r="F549" s="68" t="str">
        <f>IFERROR(VLOOKUP(E549,PROVEEDORES!$A$3:$G$42,2,0),"")</f>
        <v>VINOS Y LICORES</v>
      </c>
      <c r="G549" s="69" t="str">
        <f>IFERROR(VLOOKUP(E549,PROVEEDORES!$A$3:$G$42,4,0),"")</f>
        <v>andrea.aristizabal@lavinoteca.cl, johanna.quiroga@lavinoteca.cl, margarita.arias@lavinoteca.cl</v>
      </c>
      <c r="H549" s="18" t="str">
        <f>IFERROR(VLOOKUP(E549,PROVEEDORES!$A$3:$G$42,5,0),"")</f>
        <v>56228292221 - 56992197824</v>
      </c>
      <c r="I549" s="19">
        <v>3521</v>
      </c>
      <c r="J549" s="67" t="s">
        <v>70</v>
      </c>
      <c r="K549" s="68" t="str">
        <f>IFERROR(VLOOKUP(J549,PROVEEDORES!$A$3:$G$42,2,0),"")</f>
        <v>VINOS Y LICORES</v>
      </c>
      <c r="L549" s="69" t="str">
        <f>IFERROR(VLOOKUP(J549,PROVEEDORES!$A$3:$G$42,4,0),"")</f>
        <v>dedwardj@uc.cl,ventas@efwines.cl</v>
      </c>
      <c r="M549" s="18">
        <f>IFERROR(VLOOKUP(J549,PROVEEDORES!$A$3:$G$42,5,0),"")</f>
        <v>0</v>
      </c>
      <c r="N549" s="19">
        <v>5560</v>
      </c>
      <c r="O549" s="67" t="s">
        <v>129</v>
      </c>
      <c r="P549" s="68" t="str">
        <f>IFERROR(VLOOKUP(O549,PROVEEDORES!$A$3:$G$42,2,0),"")</f>
        <v>VINOS Y LICORES</v>
      </c>
      <c r="Q549" s="69" t="str">
        <f>IFERROR(VLOOKUP(O549,PROVEEDORES!$A$3:$G$42,4,0),"")</f>
        <v>licoval@licoval.cl</v>
      </c>
      <c r="R549" s="18" t="str">
        <f>IFERROR(VLOOKUP(O549,PROVEEDORES!$A$3:$G$42,5,0),"")</f>
        <v>56992568880</v>
      </c>
      <c r="S549" s="19">
        <v>4</v>
      </c>
      <c r="T549" s="20">
        <f t="shared" si="28"/>
        <v>3028.3333333333335</v>
      </c>
      <c r="U549" s="21">
        <f t="shared" si="29"/>
        <v>3331.166666666667</v>
      </c>
    </row>
    <row r="550" spans="1:21" ht="15" customHeight="1" x14ac:dyDescent="0.35">
      <c r="A550" s="6" t="s">
        <v>739</v>
      </c>
      <c r="B550" s="7" t="s">
        <v>751</v>
      </c>
      <c r="C550" s="8" t="s">
        <v>239</v>
      </c>
      <c r="D550" s="9">
        <v>2.6249999999999999E-2</v>
      </c>
      <c r="E550" s="64" t="s">
        <v>120</v>
      </c>
      <c r="F550" s="65" t="str">
        <f>IFERROR(VLOOKUP(E550,PROVEEDORES!$A$3:$G$42,2,0),"")</f>
        <v>VINOS Y LICORES</v>
      </c>
      <c r="G550" s="66" t="str">
        <f>IFERROR(VLOOKUP(E550,PROVEEDORES!$A$3:$G$42,4,0),"")</f>
        <v>andrea.aristizabal@lavinoteca.cl, johanna.quiroga@lavinoteca.cl, margarita.arias@lavinoteca.cl</v>
      </c>
      <c r="H550" s="10" t="str">
        <f>IFERROR(VLOOKUP(E550,PROVEEDORES!$A$3:$G$42,5,0),"")</f>
        <v>56228292221 - 56992197824</v>
      </c>
      <c r="I550" s="11">
        <v>12500</v>
      </c>
      <c r="J550" s="64" t="s">
        <v>70</v>
      </c>
      <c r="K550" s="65" t="str">
        <f>IFERROR(VLOOKUP(J550,PROVEEDORES!$A$3:$G$42,2,0),"")</f>
        <v>VINOS Y LICORES</v>
      </c>
      <c r="L550" s="66" t="str">
        <f>IFERROR(VLOOKUP(J550,PROVEEDORES!$A$3:$G$42,4,0),"")</f>
        <v>dedwardj@uc.cl,ventas@efwines.cl</v>
      </c>
      <c r="M550" s="10">
        <f>IFERROR(VLOOKUP(J550,PROVEEDORES!$A$3:$G$42,5,0),"")</f>
        <v>0</v>
      </c>
      <c r="N550" s="11">
        <v>10381</v>
      </c>
      <c r="O550" s="64" t="s">
        <v>129</v>
      </c>
      <c r="P550" s="65" t="str">
        <f>IFERROR(VLOOKUP(O550,PROVEEDORES!$A$3:$G$42,2,0),"")</f>
        <v>VINOS Y LICORES</v>
      </c>
      <c r="Q550" s="66" t="str">
        <f>IFERROR(VLOOKUP(O550,PROVEEDORES!$A$3:$G$42,4,0),"")</f>
        <v>licoval@licoval.cl</v>
      </c>
      <c r="R550" s="10" t="str">
        <f>IFERROR(VLOOKUP(O550,PROVEEDORES!$A$3:$G$42,5,0),"")</f>
        <v>56992568880</v>
      </c>
      <c r="S550" s="11">
        <v>5158</v>
      </c>
      <c r="T550" s="12">
        <f t="shared" si="28"/>
        <v>9346.3333333333339</v>
      </c>
      <c r="U550" s="13">
        <f t="shared" si="29"/>
        <v>10280.966666666669</v>
      </c>
    </row>
    <row r="551" spans="1:21" ht="15" customHeight="1" x14ac:dyDescent="0.35">
      <c r="A551" s="14" t="s">
        <v>739</v>
      </c>
      <c r="B551" s="15" t="s">
        <v>752</v>
      </c>
      <c r="C551" s="16" t="s">
        <v>239</v>
      </c>
      <c r="D551" s="17">
        <v>2.5000000000000001E-3</v>
      </c>
      <c r="E551" s="67" t="s">
        <v>120</v>
      </c>
      <c r="F551" s="68" t="str">
        <f>IFERROR(VLOOKUP(E551,PROVEEDORES!$A$3:$G$42,2,0),"")</f>
        <v>VINOS Y LICORES</v>
      </c>
      <c r="G551" s="69" t="str">
        <f>IFERROR(VLOOKUP(E551,PROVEEDORES!$A$3:$G$42,4,0),"")</f>
        <v>andrea.aristizabal@lavinoteca.cl, johanna.quiroga@lavinoteca.cl, margarita.arias@lavinoteca.cl</v>
      </c>
      <c r="H551" s="18" t="str">
        <f>IFERROR(VLOOKUP(E551,PROVEEDORES!$A$3:$G$42,5,0),"")</f>
        <v>56228292221 - 56992197824</v>
      </c>
      <c r="I551" s="19">
        <v>7383</v>
      </c>
      <c r="J551" s="67" t="s">
        <v>70</v>
      </c>
      <c r="K551" s="68" t="str">
        <f>IFERROR(VLOOKUP(J551,PROVEEDORES!$A$3:$G$42,2,0),"")</f>
        <v>VINOS Y LICORES</v>
      </c>
      <c r="L551" s="69" t="str">
        <f>IFERROR(VLOOKUP(J551,PROVEEDORES!$A$3:$G$42,4,0),"")</f>
        <v>dedwardj@uc.cl,ventas@efwines.cl</v>
      </c>
      <c r="M551" s="18">
        <f>IFERROR(VLOOKUP(J551,PROVEEDORES!$A$3:$G$42,5,0),"")</f>
        <v>0</v>
      </c>
      <c r="N551" s="19">
        <v>10384</v>
      </c>
      <c r="O551" s="67" t="s">
        <v>129</v>
      </c>
      <c r="P551" s="68" t="str">
        <f>IFERROR(VLOOKUP(O551,PROVEEDORES!$A$3:$G$42,2,0),"")</f>
        <v>VINOS Y LICORES</v>
      </c>
      <c r="Q551" s="69" t="str">
        <f>IFERROR(VLOOKUP(O551,PROVEEDORES!$A$3:$G$42,4,0),"")</f>
        <v>licoval@licoval.cl</v>
      </c>
      <c r="R551" s="18" t="str">
        <f>IFERROR(VLOOKUP(O551,PROVEEDORES!$A$3:$G$42,5,0),"")</f>
        <v>56992568880</v>
      </c>
      <c r="S551" s="19">
        <v>12418</v>
      </c>
      <c r="T551" s="20">
        <f t="shared" si="28"/>
        <v>10061.666666666666</v>
      </c>
      <c r="U551" s="21">
        <f t="shared" si="29"/>
        <v>11067.833333333334</v>
      </c>
    </row>
    <row r="552" spans="1:21" ht="12" customHeight="1" x14ac:dyDescent="0.35">
      <c r="A552" s="59" t="s">
        <v>753</v>
      </c>
      <c r="B552" s="59"/>
      <c r="C552" s="59"/>
      <c r="D552" s="59"/>
      <c r="E552" s="59"/>
      <c r="F552" s="59"/>
      <c r="G552" s="59"/>
      <c r="H552" s="59"/>
      <c r="I552" s="59"/>
      <c r="J552" s="59"/>
      <c r="K552" s="59"/>
      <c r="L552" s="59"/>
      <c r="M552" s="59"/>
      <c r="N552" s="59"/>
      <c r="O552" s="59"/>
      <c r="P552" s="59"/>
      <c r="Q552" s="59"/>
      <c r="R552" s="59"/>
      <c r="S552" s="59"/>
      <c r="T552" s="59"/>
      <c r="U552" s="59"/>
    </row>
    <row r="553" spans="1:21" ht="15" customHeight="1" x14ac:dyDescent="0.35">
      <c r="A553" s="14" t="s">
        <v>753</v>
      </c>
      <c r="B553" s="15" t="s">
        <v>754</v>
      </c>
      <c r="C553" s="16" t="s">
        <v>219</v>
      </c>
      <c r="D553" s="17">
        <v>0.16250000000000001</v>
      </c>
      <c r="E553" s="67" t="s">
        <v>51</v>
      </c>
      <c r="F553" s="68" t="str">
        <f>IFERROR(VLOOKUP(E553,PROVEEDORES!$A$3:$G$42,2,0),"")</f>
        <v>REPOSTERIA Y PASTELERIA</v>
      </c>
      <c r="G553" s="69" t="str">
        <f>IFERROR(VLOOKUP(E553,PROVEEDORES!$A$3:$G$42,4,0),"")</f>
        <v>pmedina@bastien.cl,ventas@bastien.cl</v>
      </c>
      <c r="H553" s="18" t="str">
        <f>IFERROR(VLOOKUP(E553,PROVEEDORES!$A$3:$G$42,5,0),"")</f>
        <v>56223307540</v>
      </c>
      <c r="I553" s="19">
        <v>13000</v>
      </c>
      <c r="J553" s="67" t="s">
        <v>35</v>
      </c>
      <c r="K553" s="68" t="str">
        <f>IFERROR(VLOOKUP(J553,PROVEEDORES!$A$3:$G$42,2,0),"")</f>
        <v>ABARROTES</v>
      </c>
      <c r="L553" s="69" t="str">
        <f>IFERROR(VLOOKUP(J553,PROVEEDORES!$A$3:$G$42,4,0),"")</f>
        <v>pagos@bidfood.cl,pmolina@bidfood.cl</v>
      </c>
      <c r="M553" s="18" t="str">
        <f>IFERROR(VLOOKUP(J553,PROVEEDORES!$A$3:$G$42,5,0),"")</f>
        <v>56225994444 - 56998038459</v>
      </c>
      <c r="N553" s="19">
        <v>6994</v>
      </c>
      <c r="O553" s="67"/>
      <c r="P553" s="68"/>
      <c r="Q553" s="69"/>
      <c r="R553" s="18"/>
      <c r="S553" s="19"/>
      <c r="T553" s="20">
        <f>AVERAGE(I553,N553)</f>
        <v>9997</v>
      </c>
      <c r="U553" s="21">
        <f>T553*(1+$B$2)</f>
        <v>10996.7</v>
      </c>
    </row>
    <row r="554" spans="1:21" ht="15" customHeight="1" x14ac:dyDescent="0.35">
      <c r="A554" s="6" t="s">
        <v>753</v>
      </c>
      <c r="B554" s="7" t="s">
        <v>755</v>
      </c>
      <c r="C554" s="8" t="s">
        <v>239</v>
      </c>
      <c r="D554" s="9">
        <v>1.0999999999999999E-2</v>
      </c>
      <c r="E554" s="64" t="s">
        <v>51</v>
      </c>
      <c r="F554" s="65" t="str">
        <f>IFERROR(VLOOKUP(E554,PROVEEDORES!$A$3:$G$42,2,0),"")</f>
        <v>REPOSTERIA Y PASTELERIA</v>
      </c>
      <c r="G554" s="66" t="str">
        <f>IFERROR(VLOOKUP(E554,PROVEEDORES!$A$3:$G$42,4,0),"")</f>
        <v>pmedina@bastien.cl,ventas@bastien.cl</v>
      </c>
      <c r="H554" s="10" t="str">
        <f>IFERROR(VLOOKUP(E554,PROVEEDORES!$A$3:$G$42,5,0),"")</f>
        <v>56223307540</v>
      </c>
      <c r="I554" s="11">
        <v>6190</v>
      </c>
      <c r="J554" s="64" t="s">
        <v>35</v>
      </c>
      <c r="K554" s="65" t="str">
        <f>IFERROR(VLOOKUP(J554,PROVEEDORES!$A$3:$G$42,2,0),"")</f>
        <v>ABARROTES</v>
      </c>
      <c r="L554" s="66" t="str">
        <f>IFERROR(VLOOKUP(J554,PROVEEDORES!$A$3:$G$42,4,0),"")</f>
        <v>pagos@bidfood.cl,pmolina@bidfood.cl</v>
      </c>
      <c r="M554" s="10" t="str">
        <f>IFERROR(VLOOKUP(J554,PROVEEDORES!$A$3:$G$42,5,0),"")</f>
        <v>56225994444 - 56998038459</v>
      </c>
      <c r="N554" s="11">
        <v>1640</v>
      </c>
      <c r="O554" s="64"/>
      <c r="P554" s="65"/>
      <c r="Q554" s="66"/>
      <c r="R554" s="10"/>
      <c r="S554" s="11"/>
      <c r="T554" s="12">
        <f>AVERAGE(I554,N554)</f>
        <v>3915</v>
      </c>
      <c r="U554" s="13">
        <f>T554*(1+$B$2)</f>
        <v>4306.5</v>
      </c>
    </row>
    <row r="555" spans="1:21" ht="12" customHeight="1" x14ac:dyDescent="0.35">
      <c r="A555" s="59" t="s">
        <v>134</v>
      </c>
      <c r="B555" s="59"/>
      <c r="C555" s="59"/>
      <c r="D555" s="59"/>
      <c r="E555" s="59"/>
      <c r="F555" s="59"/>
      <c r="G555" s="59"/>
      <c r="H555" s="59"/>
      <c r="I555" s="59"/>
      <c r="J555" s="59"/>
      <c r="K555" s="59"/>
      <c r="L555" s="59"/>
      <c r="M555" s="59"/>
      <c r="N555" s="59"/>
      <c r="O555" s="59"/>
      <c r="P555" s="59"/>
      <c r="Q555" s="59"/>
      <c r="R555" s="59"/>
      <c r="S555" s="59"/>
      <c r="T555" s="59"/>
      <c r="U555" s="59"/>
    </row>
    <row r="556" spans="1:21" ht="15" customHeight="1" x14ac:dyDescent="0.35">
      <c r="A556" s="6" t="s">
        <v>134</v>
      </c>
      <c r="B556" s="7" t="s">
        <v>756</v>
      </c>
      <c r="C556" s="8" t="s">
        <v>209</v>
      </c>
      <c r="D556" s="9">
        <v>0.15</v>
      </c>
      <c r="E556" s="64" t="s">
        <v>35</v>
      </c>
      <c r="F556" s="65" t="str">
        <f>IFERROR(VLOOKUP(E556,PROVEEDORES!$A$3:$G$42,2,0),"")</f>
        <v>ABARROTES</v>
      </c>
      <c r="G556" s="66" t="str">
        <f>IFERROR(VLOOKUP(E556,PROVEEDORES!$A$3:$G$42,4,0),"")</f>
        <v>pagos@bidfood.cl,pmolina@bidfood.cl</v>
      </c>
      <c r="H556" s="10" t="str">
        <f>IFERROR(VLOOKUP(E556,PROVEEDORES!$A$3:$G$42,5,0),"")</f>
        <v>56225994444 - 56998038459</v>
      </c>
      <c r="I556" s="11">
        <v>3750</v>
      </c>
      <c r="J556" s="64" t="s">
        <v>105</v>
      </c>
      <c r="K556" s="65" t="str">
        <f>IFERROR(VLOOKUP(J556,PROVEEDORES!$A$3:$G$42,2,0),"")</f>
        <v>ESPECIES</v>
      </c>
      <c r="L556" s="66" t="str">
        <f>IFERROR(VLOOKUP(J556,PROVEEDORES!$A$3:$G$42,4,0),"")</f>
        <v>chef@gourmetselect.cl,contabilidad@gourmetselect.cl,pedidos@gourmetselect.cl,info@gourmetselect.cl</v>
      </c>
      <c r="M556" s="10" t="str">
        <f>IFERROR(VLOOKUP(J556,PROVEEDORES!$A$3:$G$42,5,0),"")</f>
        <v>56944921093</v>
      </c>
      <c r="N556" s="11">
        <v>4273</v>
      </c>
      <c r="O556" s="64" t="s">
        <v>41</v>
      </c>
      <c r="P556" s="65" t="str">
        <f>IFERROR(VLOOKUP(O556,PROVEEDORES!$A$3:$G$42,2,0),"")</f>
        <v>FRUTAS Y VERDURAS</v>
      </c>
      <c r="Q556" s="66" t="str">
        <f>IFERROR(VLOOKUP(O556,PROVEEDORES!$A$3:$G$42,4,0),"")</f>
        <v>caseritaencasa@gmail.com</v>
      </c>
      <c r="R556" s="10" t="str">
        <f>IFERROR(VLOOKUP(O556,PROVEEDORES!$A$3:$G$42,5,0),"")</f>
        <v>56952069703</v>
      </c>
      <c r="S556" s="11">
        <v>1943</v>
      </c>
      <c r="T556" s="12">
        <f>AVERAGE(I556,N556,S556)</f>
        <v>3322</v>
      </c>
      <c r="U556" s="13">
        <f>T556*(1+$B$2)</f>
        <v>3654.2000000000003</v>
      </c>
    </row>
    <row r="557" spans="1:21" ht="12" customHeight="1" x14ac:dyDescent="0.35">
      <c r="A557" s="59" t="s">
        <v>757</v>
      </c>
      <c r="B557" s="59"/>
      <c r="C557" s="59"/>
      <c r="D557" s="59"/>
      <c r="E557" s="59"/>
      <c r="F557" s="59"/>
      <c r="G557" s="59"/>
      <c r="H557" s="59"/>
      <c r="I557" s="59"/>
      <c r="J557" s="59"/>
      <c r="K557" s="59"/>
      <c r="L557" s="59"/>
      <c r="M557" s="59"/>
      <c r="N557" s="59"/>
      <c r="O557" s="59"/>
      <c r="P557" s="59"/>
      <c r="Q557" s="59"/>
      <c r="R557" s="59"/>
      <c r="S557" s="59"/>
      <c r="T557" s="59"/>
      <c r="U557" s="59"/>
    </row>
    <row r="558" spans="1:21" ht="15" customHeight="1" x14ac:dyDescent="0.35">
      <c r="A558" s="6" t="s">
        <v>757</v>
      </c>
      <c r="B558" s="7" t="s">
        <v>758</v>
      </c>
      <c r="C558" s="8" t="s">
        <v>239</v>
      </c>
      <c r="D558" s="9">
        <v>0.75</v>
      </c>
      <c r="E558" s="64" t="s">
        <v>51</v>
      </c>
      <c r="F558" s="65" t="str">
        <f>IFERROR(VLOOKUP(E558,PROVEEDORES!$A$3:$G$42,2,0),"")</f>
        <v>REPOSTERIA Y PASTELERIA</v>
      </c>
      <c r="G558" s="66" t="str">
        <f>IFERROR(VLOOKUP(E558,PROVEEDORES!$A$3:$G$42,4,0),"")</f>
        <v>pmedina@bastien.cl,ventas@bastien.cl</v>
      </c>
      <c r="H558" s="10" t="str">
        <f>IFERROR(VLOOKUP(E558,PROVEEDORES!$A$3:$G$42,5,0),"")</f>
        <v>56223307540</v>
      </c>
      <c r="I558" s="11">
        <v>302</v>
      </c>
      <c r="J558" s="64" t="s">
        <v>35</v>
      </c>
      <c r="K558" s="65" t="str">
        <f>IFERROR(VLOOKUP(J558,PROVEEDORES!$A$3:$G$42,2,0),"")</f>
        <v>ABARROTES</v>
      </c>
      <c r="L558" s="66" t="str">
        <f>IFERROR(VLOOKUP(J558,PROVEEDORES!$A$3:$G$42,4,0),"")</f>
        <v>pagos@bidfood.cl,pmolina@bidfood.cl</v>
      </c>
      <c r="M558" s="10" t="str">
        <f>IFERROR(VLOOKUP(J558,PROVEEDORES!$A$3:$G$42,5,0),"")</f>
        <v>56225994444 - 56998038459</v>
      </c>
      <c r="N558" s="11">
        <v>139</v>
      </c>
      <c r="O558" s="64"/>
      <c r="P558" s="65"/>
      <c r="Q558" s="66"/>
      <c r="R558" s="10"/>
      <c r="S558" s="11"/>
      <c r="T558" s="12">
        <f t="shared" ref="T558:T565" si="30">AVERAGE(I558,N558)</f>
        <v>220.5</v>
      </c>
      <c r="U558" s="13">
        <f t="shared" ref="U558:U565" si="31">T558*(1+$B$2)</f>
        <v>242.55</v>
      </c>
    </row>
    <row r="559" spans="1:21" ht="15" customHeight="1" x14ac:dyDescent="0.35">
      <c r="A559" s="14" t="s">
        <v>757</v>
      </c>
      <c r="B559" s="15" t="s">
        <v>759</v>
      </c>
      <c r="C559" s="16" t="s">
        <v>239</v>
      </c>
      <c r="D559" s="17">
        <v>0.5675</v>
      </c>
      <c r="E559" s="67" t="s">
        <v>51</v>
      </c>
      <c r="F559" s="68" t="str">
        <f>IFERROR(VLOOKUP(E559,PROVEEDORES!$A$3:$G$42,2,0),"")</f>
        <v>REPOSTERIA Y PASTELERIA</v>
      </c>
      <c r="G559" s="69" t="str">
        <f>IFERROR(VLOOKUP(E559,PROVEEDORES!$A$3:$G$42,4,0),"")</f>
        <v>pmedina@bastien.cl,ventas@bastien.cl</v>
      </c>
      <c r="H559" s="18" t="str">
        <f>IFERROR(VLOOKUP(E559,PROVEEDORES!$A$3:$G$42,5,0),"")</f>
        <v>56223307540</v>
      </c>
      <c r="I559" s="19">
        <v>1500</v>
      </c>
      <c r="J559" s="67" t="s">
        <v>35</v>
      </c>
      <c r="K559" s="68" t="str">
        <f>IFERROR(VLOOKUP(J559,PROVEEDORES!$A$3:$G$42,2,0),"")</f>
        <v>ABARROTES</v>
      </c>
      <c r="L559" s="69" t="str">
        <f>IFERROR(VLOOKUP(J559,PROVEEDORES!$A$3:$G$42,4,0),"")</f>
        <v>pagos@bidfood.cl,pmolina@bidfood.cl</v>
      </c>
      <c r="M559" s="18" t="str">
        <f>IFERROR(VLOOKUP(J559,PROVEEDORES!$A$3:$G$42,5,0),"")</f>
        <v>56225994444 - 56998038459</v>
      </c>
      <c r="N559" s="19">
        <v>1385</v>
      </c>
      <c r="O559" s="67"/>
      <c r="P559" s="68"/>
      <c r="Q559" s="69"/>
      <c r="R559" s="18"/>
      <c r="S559" s="19"/>
      <c r="T559" s="20">
        <f t="shared" si="30"/>
        <v>1442.5</v>
      </c>
      <c r="U559" s="21">
        <f t="shared" si="31"/>
        <v>1586.7500000000002</v>
      </c>
    </row>
    <row r="560" spans="1:21" ht="15" customHeight="1" x14ac:dyDescent="0.35">
      <c r="A560" s="6" t="s">
        <v>757</v>
      </c>
      <c r="B560" s="7" t="s">
        <v>760</v>
      </c>
      <c r="C560" s="8" t="s">
        <v>239</v>
      </c>
      <c r="D560" s="9">
        <v>1</v>
      </c>
      <c r="E560" s="64" t="s">
        <v>51</v>
      </c>
      <c r="F560" s="65" t="str">
        <f>IFERROR(VLOOKUP(E560,PROVEEDORES!$A$3:$G$42,2,0),"")</f>
        <v>REPOSTERIA Y PASTELERIA</v>
      </c>
      <c r="G560" s="66" t="str">
        <f>IFERROR(VLOOKUP(E560,PROVEEDORES!$A$3:$G$42,4,0),"")</f>
        <v>pmedina@bastien.cl,ventas@bastien.cl</v>
      </c>
      <c r="H560" s="10" t="str">
        <f>IFERROR(VLOOKUP(E560,PROVEEDORES!$A$3:$G$42,5,0),"")</f>
        <v>56223307540</v>
      </c>
      <c r="I560" s="11">
        <v>303</v>
      </c>
      <c r="J560" s="64" t="s">
        <v>35</v>
      </c>
      <c r="K560" s="65" t="str">
        <f>IFERROR(VLOOKUP(J560,PROVEEDORES!$A$3:$G$42,2,0),"")</f>
        <v>ABARROTES</v>
      </c>
      <c r="L560" s="66" t="str">
        <f>IFERROR(VLOOKUP(J560,PROVEEDORES!$A$3:$G$42,4,0),"")</f>
        <v>pagos@bidfood.cl,pmolina@bidfood.cl</v>
      </c>
      <c r="M560" s="10" t="str">
        <f>IFERROR(VLOOKUP(J560,PROVEEDORES!$A$3:$G$42,5,0),"")</f>
        <v>56225994444 - 56998038459</v>
      </c>
      <c r="N560" s="11">
        <v>522</v>
      </c>
      <c r="O560" s="64"/>
      <c r="P560" s="65"/>
      <c r="Q560" s="66"/>
      <c r="R560" s="10"/>
      <c r="S560" s="11"/>
      <c r="T560" s="12">
        <f t="shared" si="30"/>
        <v>412.5</v>
      </c>
      <c r="U560" s="13">
        <f t="shared" si="31"/>
        <v>453.75000000000006</v>
      </c>
    </row>
    <row r="561" spans="1:21" ht="15" customHeight="1" x14ac:dyDescent="0.35">
      <c r="A561" s="14" t="s">
        <v>757</v>
      </c>
      <c r="B561" s="15" t="s">
        <v>761</v>
      </c>
      <c r="C561" s="16" t="s">
        <v>239</v>
      </c>
      <c r="D561" s="17">
        <v>1</v>
      </c>
      <c r="E561" s="67" t="s">
        <v>51</v>
      </c>
      <c r="F561" s="68" t="str">
        <f>IFERROR(VLOOKUP(E561,PROVEEDORES!$A$3:$G$42,2,0),"")</f>
        <v>REPOSTERIA Y PASTELERIA</v>
      </c>
      <c r="G561" s="69" t="str">
        <f>IFERROR(VLOOKUP(E561,PROVEEDORES!$A$3:$G$42,4,0),"")</f>
        <v>pmedina@bastien.cl,ventas@bastien.cl</v>
      </c>
      <c r="H561" s="18" t="str">
        <f>IFERROR(VLOOKUP(E561,PROVEEDORES!$A$3:$G$42,5,0),"")</f>
        <v>56223307540</v>
      </c>
      <c r="I561" s="19">
        <v>680</v>
      </c>
      <c r="J561" s="67" t="s">
        <v>35</v>
      </c>
      <c r="K561" s="68" t="str">
        <f>IFERROR(VLOOKUP(J561,PROVEEDORES!$A$3:$G$42,2,0),"")</f>
        <v>ABARROTES</v>
      </c>
      <c r="L561" s="69" t="str">
        <f>IFERROR(VLOOKUP(J561,PROVEEDORES!$A$3:$G$42,4,0),"")</f>
        <v>pagos@bidfood.cl,pmolina@bidfood.cl</v>
      </c>
      <c r="M561" s="18" t="str">
        <f>IFERROR(VLOOKUP(J561,PROVEEDORES!$A$3:$G$42,5,0),"")</f>
        <v>56225994444 - 56998038459</v>
      </c>
      <c r="N561" s="19">
        <v>969</v>
      </c>
      <c r="O561" s="67"/>
      <c r="P561" s="68"/>
      <c r="Q561" s="69"/>
      <c r="R561" s="18"/>
      <c r="S561" s="19"/>
      <c r="T561" s="20">
        <f t="shared" si="30"/>
        <v>824.5</v>
      </c>
      <c r="U561" s="21">
        <f t="shared" si="31"/>
        <v>906.95</v>
      </c>
    </row>
    <row r="562" spans="1:21" ht="15" customHeight="1" x14ac:dyDescent="0.35">
      <c r="A562" s="6" t="s">
        <v>757</v>
      </c>
      <c r="B562" s="7" t="s">
        <v>762</v>
      </c>
      <c r="C562" s="8" t="s">
        <v>239</v>
      </c>
      <c r="D562" s="9">
        <v>1.875</v>
      </c>
      <c r="E562" s="64" t="s">
        <v>51</v>
      </c>
      <c r="F562" s="65" t="str">
        <f>IFERROR(VLOOKUP(E562,PROVEEDORES!$A$3:$G$42,2,0),"")</f>
        <v>REPOSTERIA Y PASTELERIA</v>
      </c>
      <c r="G562" s="66" t="str">
        <f>IFERROR(VLOOKUP(E562,PROVEEDORES!$A$3:$G$42,4,0),"")</f>
        <v>pmedina@bastien.cl,ventas@bastien.cl</v>
      </c>
      <c r="H562" s="10" t="str">
        <f>IFERROR(VLOOKUP(E562,PROVEEDORES!$A$3:$G$42,5,0),"")</f>
        <v>56223307540</v>
      </c>
      <c r="I562" s="11">
        <v>202</v>
      </c>
      <c r="J562" s="64" t="s">
        <v>35</v>
      </c>
      <c r="K562" s="65" t="str">
        <f>IFERROR(VLOOKUP(J562,PROVEEDORES!$A$3:$G$42,2,0),"")</f>
        <v>ABARROTES</v>
      </c>
      <c r="L562" s="66" t="str">
        <f>IFERROR(VLOOKUP(J562,PROVEEDORES!$A$3:$G$42,4,0),"")</f>
        <v>pagos@bidfood.cl,pmolina@bidfood.cl</v>
      </c>
      <c r="M562" s="10" t="str">
        <f>IFERROR(VLOOKUP(J562,PROVEEDORES!$A$3:$G$42,5,0),"")</f>
        <v>56225994444 - 56998038459</v>
      </c>
      <c r="N562" s="11">
        <v>183</v>
      </c>
      <c r="O562" s="64"/>
      <c r="P562" s="65"/>
      <c r="Q562" s="66"/>
      <c r="R562" s="10"/>
      <c r="S562" s="11"/>
      <c r="T562" s="12">
        <f t="shared" si="30"/>
        <v>192.5</v>
      </c>
      <c r="U562" s="13">
        <f t="shared" si="31"/>
        <v>211.75000000000003</v>
      </c>
    </row>
    <row r="563" spans="1:21" ht="15" customHeight="1" x14ac:dyDescent="0.35">
      <c r="A563" s="14" t="s">
        <v>757</v>
      </c>
      <c r="B563" s="15" t="s">
        <v>763</v>
      </c>
      <c r="C563" s="16" t="s">
        <v>239</v>
      </c>
      <c r="D563" s="17">
        <v>2.75</v>
      </c>
      <c r="E563" s="67" t="s">
        <v>51</v>
      </c>
      <c r="F563" s="68" t="str">
        <f>IFERROR(VLOOKUP(E563,PROVEEDORES!$A$3:$G$42,2,0),"")</f>
        <v>REPOSTERIA Y PASTELERIA</v>
      </c>
      <c r="G563" s="69" t="str">
        <f>IFERROR(VLOOKUP(E563,PROVEEDORES!$A$3:$G$42,4,0),"")</f>
        <v>pmedina@bastien.cl,ventas@bastien.cl</v>
      </c>
      <c r="H563" s="18" t="str">
        <f>IFERROR(VLOOKUP(E563,PROVEEDORES!$A$3:$G$42,5,0),"")</f>
        <v>56223307540</v>
      </c>
      <c r="I563" s="19">
        <v>575</v>
      </c>
      <c r="J563" s="67" t="s">
        <v>35</v>
      </c>
      <c r="K563" s="68" t="str">
        <f>IFERROR(VLOOKUP(J563,PROVEEDORES!$A$3:$G$42,2,0),"")</f>
        <v>ABARROTES</v>
      </c>
      <c r="L563" s="69" t="str">
        <f>IFERROR(VLOOKUP(J563,PROVEEDORES!$A$3:$G$42,4,0),"")</f>
        <v>pagos@bidfood.cl,pmolina@bidfood.cl</v>
      </c>
      <c r="M563" s="18" t="str">
        <f>IFERROR(VLOOKUP(J563,PROVEEDORES!$A$3:$G$42,5,0),"")</f>
        <v>56225994444 - 56998038459</v>
      </c>
      <c r="N563" s="19">
        <v>856</v>
      </c>
      <c r="O563" s="67"/>
      <c r="P563" s="68"/>
      <c r="Q563" s="69"/>
      <c r="R563" s="18"/>
      <c r="S563" s="19"/>
      <c r="T563" s="20">
        <f t="shared" si="30"/>
        <v>715.5</v>
      </c>
      <c r="U563" s="21">
        <f t="shared" si="31"/>
        <v>787.05000000000007</v>
      </c>
    </row>
    <row r="564" spans="1:21" ht="15" customHeight="1" x14ac:dyDescent="0.35">
      <c r="A564" s="6" t="s">
        <v>757</v>
      </c>
      <c r="B564" s="7" t="s">
        <v>764</v>
      </c>
      <c r="C564" s="8" t="s">
        <v>239</v>
      </c>
      <c r="D564" s="9">
        <v>0.3125</v>
      </c>
      <c r="E564" s="64" t="s">
        <v>51</v>
      </c>
      <c r="F564" s="65" t="str">
        <f>IFERROR(VLOOKUP(E564,PROVEEDORES!$A$3:$G$42,2,0),"")</f>
        <v>REPOSTERIA Y PASTELERIA</v>
      </c>
      <c r="G564" s="66" t="str">
        <f>IFERROR(VLOOKUP(E564,PROVEEDORES!$A$3:$G$42,4,0),"")</f>
        <v>pmedina@bastien.cl,ventas@bastien.cl</v>
      </c>
      <c r="H564" s="10" t="str">
        <f>IFERROR(VLOOKUP(E564,PROVEEDORES!$A$3:$G$42,5,0),"")</f>
        <v>56223307540</v>
      </c>
      <c r="I564" s="11">
        <v>123</v>
      </c>
      <c r="J564" s="64" t="s">
        <v>35</v>
      </c>
      <c r="K564" s="65" t="str">
        <f>IFERROR(VLOOKUP(J564,PROVEEDORES!$A$3:$G$42,2,0),"")</f>
        <v>ABARROTES</v>
      </c>
      <c r="L564" s="66" t="str">
        <f>IFERROR(VLOOKUP(J564,PROVEEDORES!$A$3:$G$42,4,0),"")</f>
        <v>pagos@bidfood.cl,pmolina@bidfood.cl</v>
      </c>
      <c r="M564" s="10" t="str">
        <f>IFERROR(VLOOKUP(J564,PROVEEDORES!$A$3:$G$42,5,0),"")</f>
        <v>56225994444 - 56998038459</v>
      </c>
      <c r="N564" s="11">
        <v>39</v>
      </c>
      <c r="O564" s="64"/>
      <c r="P564" s="65"/>
      <c r="Q564" s="66"/>
      <c r="R564" s="10"/>
      <c r="S564" s="11"/>
      <c r="T564" s="12">
        <f t="shared" si="30"/>
        <v>81</v>
      </c>
      <c r="U564" s="13">
        <f t="shared" si="31"/>
        <v>89.100000000000009</v>
      </c>
    </row>
    <row r="565" spans="1:21" ht="15" customHeight="1" x14ac:dyDescent="0.35">
      <c r="A565" s="14" t="s">
        <v>757</v>
      </c>
      <c r="B565" s="15" t="s">
        <v>765</v>
      </c>
      <c r="C565" s="16" t="s">
        <v>239</v>
      </c>
      <c r="D565" s="17">
        <v>8.9450000000000003</v>
      </c>
      <c r="E565" s="67" t="s">
        <v>51</v>
      </c>
      <c r="F565" s="68" t="str">
        <f>IFERROR(VLOOKUP(E565,PROVEEDORES!$A$3:$G$42,2,0),"")</f>
        <v>REPOSTERIA Y PASTELERIA</v>
      </c>
      <c r="G565" s="69" t="str">
        <f>IFERROR(VLOOKUP(E565,PROVEEDORES!$A$3:$G$42,4,0),"")</f>
        <v>pmedina@bastien.cl,ventas@bastien.cl</v>
      </c>
      <c r="H565" s="18" t="str">
        <f>IFERROR(VLOOKUP(E565,PROVEEDORES!$A$3:$G$42,5,0),"")</f>
        <v>56223307540</v>
      </c>
      <c r="I565" s="19">
        <v>185</v>
      </c>
      <c r="J565" s="67" t="s">
        <v>35</v>
      </c>
      <c r="K565" s="68" t="str">
        <f>IFERROR(VLOOKUP(J565,PROVEEDORES!$A$3:$G$42,2,0),"")</f>
        <v>ABARROTES</v>
      </c>
      <c r="L565" s="69" t="str">
        <f>IFERROR(VLOOKUP(J565,PROVEEDORES!$A$3:$G$42,4,0),"")</f>
        <v>pagos@bidfood.cl,pmolina@bidfood.cl</v>
      </c>
      <c r="M565" s="18" t="str">
        <f>IFERROR(VLOOKUP(J565,PROVEEDORES!$A$3:$G$42,5,0),"")</f>
        <v>56225994444 - 56998038459</v>
      </c>
      <c r="N565" s="19">
        <v>119</v>
      </c>
      <c r="O565" s="67"/>
      <c r="P565" s="68"/>
      <c r="Q565" s="69"/>
      <c r="R565" s="18"/>
      <c r="S565" s="19"/>
      <c r="T565" s="20">
        <f t="shared" si="30"/>
        <v>152</v>
      </c>
      <c r="U565" s="21">
        <f t="shared" si="31"/>
        <v>167.20000000000002</v>
      </c>
    </row>
    <row r="566" spans="1:21" ht="12" customHeight="1" x14ac:dyDescent="0.35">
      <c r="A566" s="59" t="s">
        <v>766</v>
      </c>
      <c r="B566" s="59"/>
      <c r="C566" s="59"/>
      <c r="D566" s="59"/>
      <c r="E566" s="59"/>
      <c r="F566" s="59"/>
      <c r="G566" s="59"/>
      <c r="H566" s="59"/>
      <c r="I566" s="59"/>
      <c r="J566" s="59"/>
      <c r="K566" s="59"/>
      <c r="L566" s="59"/>
      <c r="M566" s="59"/>
      <c r="N566" s="59"/>
      <c r="O566" s="59"/>
      <c r="P566" s="59"/>
      <c r="Q566" s="59"/>
      <c r="R566" s="59"/>
      <c r="S566" s="59"/>
      <c r="T566" s="59"/>
      <c r="U566" s="59"/>
    </row>
    <row r="567" spans="1:21" ht="15" customHeight="1" x14ac:dyDescent="0.35">
      <c r="A567" s="14" t="s">
        <v>766</v>
      </c>
      <c r="B567" s="15" t="s">
        <v>767</v>
      </c>
      <c r="C567" s="16" t="s">
        <v>219</v>
      </c>
      <c r="D567" s="17">
        <v>0.15</v>
      </c>
      <c r="E567" s="67" t="s">
        <v>35</v>
      </c>
      <c r="F567" s="68" t="str">
        <f>IFERROR(VLOOKUP(E567,PROVEEDORES!$A$3:$G$42,2,0),"")</f>
        <v>ABARROTES</v>
      </c>
      <c r="G567" s="69" t="str">
        <f>IFERROR(VLOOKUP(E567,PROVEEDORES!$A$3:$G$42,4,0),"")</f>
        <v>pagos@bidfood.cl,pmolina@bidfood.cl</v>
      </c>
      <c r="H567" s="18" t="str">
        <f>IFERROR(VLOOKUP(E567,PROVEEDORES!$A$3:$G$42,5,0),"")</f>
        <v>56225994444 - 56998038459</v>
      </c>
      <c r="I567" s="19">
        <v>40000</v>
      </c>
      <c r="J567" s="67" t="s">
        <v>105</v>
      </c>
      <c r="K567" s="68" t="str">
        <f>IFERROR(VLOOKUP(J567,PROVEEDORES!$A$3:$G$42,2,0),"")</f>
        <v>ESPECIES</v>
      </c>
      <c r="L567" s="69" t="str">
        <f>IFERROR(VLOOKUP(J567,PROVEEDORES!$A$3:$G$42,4,0),"")</f>
        <v>chef@gourmetselect.cl,contabilidad@gourmetselect.cl,pedidos@gourmetselect.cl,info@gourmetselect.cl</v>
      </c>
      <c r="M567" s="18" t="str">
        <f>IFERROR(VLOOKUP(J567,PROVEEDORES!$A$3:$G$42,5,0),"")</f>
        <v>56944921093</v>
      </c>
      <c r="N567" s="19">
        <v>30280</v>
      </c>
      <c r="O567" s="67" t="s">
        <v>41</v>
      </c>
      <c r="P567" s="68" t="str">
        <f>IFERROR(VLOOKUP(O567,PROVEEDORES!$A$3:$G$42,2,0),"")</f>
        <v>FRUTAS Y VERDURAS</v>
      </c>
      <c r="Q567" s="69" t="str">
        <f>IFERROR(VLOOKUP(O567,PROVEEDORES!$A$3:$G$42,4,0),"")</f>
        <v>caseritaencasa@gmail.com</v>
      </c>
      <c r="R567" s="18" t="str">
        <f>IFERROR(VLOOKUP(O567,PROVEEDORES!$A$3:$G$42,5,0),"")</f>
        <v>56952069703</v>
      </c>
      <c r="S567" s="19">
        <v>56808</v>
      </c>
      <c r="T567" s="20">
        <f>AVERAGE(I567,N567,S567)</f>
        <v>42362.666666666664</v>
      </c>
      <c r="U567" s="21">
        <f>T567*(1+$B$2)</f>
        <v>46598.933333333334</v>
      </c>
    </row>
    <row r="568" spans="1:21" ht="12" customHeight="1" x14ac:dyDescent="0.35">
      <c r="A568" s="59" t="s">
        <v>768</v>
      </c>
      <c r="B568" s="59"/>
      <c r="C568" s="59"/>
      <c r="D568" s="59"/>
      <c r="E568" s="59"/>
      <c r="F568" s="59"/>
      <c r="G568" s="59"/>
      <c r="H568" s="59"/>
      <c r="I568" s="59"/>
      <c r="J568" s="59"/>
      <c r="K568" s="59"/>
      <c r="L568" s="59"/>
      <c r="M568" s="59"/>
      <c r="N568" s="59"/>
      <c r="O568" s="59"/>
      <c r="P568" s="59"/>
      <c r="Q568" s="59"/>
      <c r="R568" s="59"/>
      <c r="S568" s="59"/>
      <c r="T568" s="59"/>
      <c r="U568" s="59"/>
    </row>
    <row r="569" spans="1:21" ht="15" customHeight="1" x14ac:dyDescent="0.35">
      <c r="A569" s="14" t="s">
        <v>768</v>
      </c>
      <c r="B569" s="15" t="s">
        <v>769</v>
      </c>
      <c r="C569" s="16" t="s">
        <v>219</v>
      </c>
      <c r="D569" s="17">
        <v>0.63</v>
      </c>
      <c r="E569" s="67" t="s">
        <v>20</v>
      </c>
      <c r="F569" s="68" t="str">
        <f>IFERROR(VLOOKUP(E569,PROVEEDORES!$A$3:$G$42,2,0),"")</f>
        <v>PESCADOS Y CAVIAR</v>
      </c>
      <c r="G569" s="69" t="str">
        <f>IFERROR(VLOOKUP(E569,PROVEEDORES!$A$3:$G$42,4,0),"")</f>
        <v>ventas@kenoz.cl,ftisne@kenoz.cl,contabilidad@acuicolaalas.cl</v>
      </c>
      <c r="H569" s="18" t="str">
        <f>IFERROR(VLOOKUP(E569,PROVEEDORES!$A$3:$G$42,5,0),"")</f>
        <v>56961682811 - 56224766094</v>
      </c>
      <c r="I569" s="19">
        <v>7000</v>
      </c>
      <c r="J569" s="67" t="s">
        <v>124</v>
      </c>
      <c r="K569" s="68" t="str">
        <f>IFERROR(VLOOKUP(J569,PROVEEDORES!$A$3:$G$42,2,0),"")</f>
        <v>MARISCOS Y PESCADOS</v>
      </c>
      <c r="L569" s="69" t="str">
        <f>IFERROR(VLOOKUP(J569,PROVEEDORES!$A$3:$G$42,4,0),"")</f>
        <v>cobranzas@maralmafood.cl,felipemena@maralmafood.cl</v>
      </c>
      <c r="M569" s="18" t="str">
        <f>IFERROR(VLOOKUP(J569,PROVEEDORES!$A$3:$G$42,5,0),"")</f>
        <v>56985044772</v>
      </c>
      <c r="N569" s="19">
        <v>4134</v>
      </c>
      <c r="O569" s="67" t="s">
        <v>154</v>
      </c>
      <c r="P569" s="68" t="str">
        <f>IFERROR(VLOOKUP(O569,PROVEEDORES!$A$3:$G$42,2,0),"")</f>
        <v>MARISCOS Y PESCADOS</v>
      </c>
      <c r="Q569" s="69" t="str">
        <f>IFERROR(VLOOKUP(O569,PROVEEDORES!$A$3:$G$42,4,0),"")</f>
        <v>rosa.bustos@distemar.cl,distemar.ryn@gmail.com</v>
      </c>
      <c r="R569" s="18">
        <f>IFERROR(VLOOKUP(O569,PROVEEDORES!$A$3:$G$42,5,0),"")</f>
        <v>0</v>
      </c>
      <c r="S569" s="19">
        <v>12174</v>
      </c>
      <c r="T569" s="20">
        <f t="shared" ref="T569:T597" si="32">AVERAGE(I569,N569,S569)</f>
        <v>7769.333333333333</v>
      </c>
      <c r="U569" s="21">
        <f t="shared" ref="U569:U597" si="33">T569*(1+$B$2)</f>
        <v>8546.2666666666664</v>
      </c>
    </row>
    <row r="570" spans="1:21" ht="15" customHeight="1" x14ac:dyDescent="0.35">
      <c r="A570" s="6" t="s">
        <v>768</v>
      </c>
      <c r="B570" s="7" t="s">
        <v>770</v>
      </c>
      <c r="C570" s="8" t="s">
        <v>219</v>
      </c>
      <c r="D570" s="9">
        <v>2.3E-2</v>
      </c>
      <c r="E570" s="64" t="s">
        <v>20</v>
      </c>
      <c r="F570" s="65" t="str">
        <f>IFERROR(VLOOKUP(E570,PROVEEDORES!$A$3:$G$42,2,0),"")</f>
        <v>PESCADOS Y CAVIAR</v>
      </c>
      <c r="G570" s="66" t="str">
        <f>IFERROR(VLOOKUP(E570,PROVEEDORES!$A$3:$G$42,4,0),"")</f>
        <v>ventas@kenoz.cl,ftisne@kenoz.cl,contabilidad@acuicolaalas.cl</v>
      </c>
      <c r="H570" s="10" t="str">
        <f>IFERROR(VLOOKUP(E570,PROVEEDORES!$A$3:$G$42,5,0),"")</f>
        <v>56961682811 - 56224766094</v>
      </c>
      <c r="I570" s="11">
        <v>42944</v>
      </c>
      <c r="J570" s="64" t="s">
        <v>124</v>
      </c>
      <c r="K570" s="65" t="str">
        <f>IFERROR(VLOOKUP(J570,PROVEEDORES!$A$3:$G$42,2,0),"")</f>
        <v>MARISCOS Y PESCADOS</v>
      </c>
      <c r="L570" s="66" t="str">
        <f>IFERROR(VLOOKUP(J570,PROVEEDORES!$A$3:$G$42,4,0),"")</f>
        <v>cobranzas@maralmafood.cl,felipemena@maralmafood.cl</v>
      </c>
      <c r="M570" s="10" t="str">
        <f>IFERROR(VLOOKUP(J570,PROVEEDORES!$A$3:$G$42,5,0),"")</f>
        <v>56985044772</v>
      </c>
      <c r="N570" s="11">
        <v>56343</v>
      </c>
      <c r="O570" s="64" t="s">
        <v>154</v>
      </c>
      <c r="P570" s="65" t="str">
        <f>IFERROR(VLOOKUP(O570,PROVEEDORES!$A$3:$G$42,2,0),"")</f>
        <v>MARISCOS Y PESCADOS</v>
      </c>
      <c r="Q570" s="66" t="str">
        <f>IFERROR(VLOOKUP(O570,PROVEEDORES!$A$3:$G$42,4,0),"")</f>
        <v>rosa.bustos@distemar.cl,distemar.ryn@gmail.com</v>
      </c>
      <c r="R570" s="10">
        <f>IFERROR(VLOOKUP(O570,PROVEEDORES!$A$3:$G$42,5,0),"")</f>
        <v>0</v>
      </c>
      <c r="S570" s="11">
        <v>69020</v>
      </c>
      <c r="T570" s="12">
        <f t="shared" si="32"/>
        <v>56102.333333333336</v>
      </c>
      <c r="U570" s="13">
        <f t="shared" si="33"/>
        <v>61712.566666666673</v>
      </c>
    </row>
    <row r="571" spans="1:21" ht="15" customHeight="1" x14ac:dyDescent="0.35">
      <c r="A571" s="14" t="s">
        <v>768</v>
      </c>
      <c r="B571" s="15" t="s">
        <v>771</v>
      </c>
      <c r="C571" s="16" t="s">
        <v>219</v>
      </c>
      <c r="D571" s="17">
        <v>0.21249999999999999</v>
      </c>
      <c r="E571" s="67" t="s">
        <v>20</v>
      </c>
      <c r="F571" s="68" t="str">
        <f>IFERROR(VLOOKUP(E571,PROVEEDORES!$A$3:$G$42,2,0),"")</f>
        <v>PESCADOS Y CAVIAR</v>
      </c>
      <c r="G571" s="69" t="str">
        <f>IFERROR(VLOOKUP(E571,PROVEEDORES!$A$3:$G$42,4,0),"")</f>
        <v>ventas@kenoz.cl,ftisne@kenoz.cl,contabilidad@acuicolaalas.cl</v>
      </c>
      <c r="H571" s="18" t="str">
        <f>IFERROR(VLOOKUP(E571,PROVEEDORES!$A$3:$G$42,5,0),"")</f>
        <v>56961682811 - 56224766094</v>
      </c>
      <c r="I571" s="19">
        <v>19992</v>
      </c>
      <c r="J571" s="67" t="s">
        <v>124</v>
      </c>
      <c r="K571" s="68" t="str">
        <f>IFERROR(VLOOKUP(J571,PROVEEDORES!$A$3:$G$42,2,0),"")</f>
        <v>MARISCOS Y PESCADOS</v>
      </c>
      <c r="L571" s="69" t="str">
        <f>IFERROR(VLOOKUP(J571,PROVEEDORES!$A$3:$G$42,4,0),"")</f>
        <v>cobranzas@maralmafood.cl,felipemena@maralmafood.cl</v>
      </c>
      <c r="M571" s="18" t="str">
        <f>IFERROR(VLOOKUP(J571,PROVEEDORES!$A$3:$G$42,5,0),"")</f>
        <v>56985044772</v>
      </c>
      <c r="N571" s="19">
        <v>19362</v>
      </c>
      <c r="O571" s="67" t="s">
        <v>154</v>
      </c>
      <c r="P571" s="68" t="str">
        <f>IFERROR(VLOOKUP(O571,PROVEEDORES!$A$3:$G$42,2,0),"")</f>
        <v>MARISCOS Y PESCADOS</v>
      </c>
      <c r="Q571" s="69" t="str">
        <f>IFERROR(VLOOKUP(O571,PROVEEDORES!$A$3:$G$42,4,0),"")</f>
        <v>rosa.bustos@distemar.cl,distemar.ryn@gmail.com</v>
      </c>
      <c r="R571" s="18">
        <f>IFERROR(VLOOKUP(O571,PROVEEDORES!$A$3:$G$42,5,0),"")</f>
        <v>0</v>
      </c>
      <c r="S571" s="19">
        <v>9524</v>
      </c>
      <c r="T571" s="20">
        <f t="shared" si="32"/>
        <v>16292.666666666666</v>
      </c>
      <c r="U571" s="21">
        <f t="shared" si="33"/>
        <v>17921.933333333334</v>
      </c>
    </row>
    <row r="572" spans="1:21" ht="15" customHeight="1" x14ac:dyDescent="0.35">
      <c r="A572" s="6" t="s">
        <v>768</v>
      </c>
      <c r="B572" s="7" t="s">
        <v>772</v>
      </c>
      <c r="C572" s="8" t="s">
        <v>219</v>
      </c>
      <c r="D572" s="9">
        <v>0.02</v>
      </c>
      <c r="E572" s="64" t="s">
        <v>20</v>
      </c>
      <c r="F572" s="65" t="str">
        <f>IFERROR(VLOOKUP(E572,PROVEEDORES!$A$3:$G$42,2,0),"")</f>
        <v>PESCADOS Y CAVIAR</v>
      </c>
      <c r="G572" s="66" t="str">
        <f>IFERROR(VLOOKUP(E572,PROVEEDORES!$A$3:$G$42,4,0),"")</f>
        <v>ventas@kenoz.cl,ftisne@kenoz.cl,contabilidad@acuicolaalas.cl</v>
      </c>
      <c r="H572" s="10" t="str">
        <f>IFERROR(VLOOKUP(E572,PROVEEDORES!$A$3:$G$42,5,0),"")</f>
        <v>56961682811 - 56224766094</v>
      </c>
      <c r="I572" s="11">
        <v>4990</v>
      </c>
      <c r="J572" s="64" t="s">
        <v>124</v>
      </c>
      <c r="K572" s="65" t="str">
        <f>IFERROR(VLOOKUP(J572,PROVEEDORES!$A$3:$G$42,2,0),"")</f>
        <v>MARISCOS Y PESCADOS</v>
      </c>
      <c r="L572" s="66" t="str">
        <f>IFERROR(VLOOKUP(J572,PROVEEDORES!$A$3:$G$42,4,0),"")</f>
        <v>cobranzas@maralmafood.cl,felipemena@maralmafood.cl</v>
      </c>
      <c r="M572" s="10" t="str">
        <f>IFERROR(VLOOKUP(J572,PROVEEDORES!$A$3:$G$42,5,0),"")</f>
        <v>56985044772</v>
      </c>
      <c r="N572" s="11">
        <v>7737</v>
      </c>
      <c r="O572" s="64" t="s">
        <v>154</v>
      </c>
      <c r="P572" s="65" t="str">
        <f>IFERROR(VLOOKUP(O572,PROVEEDORES!$A$3:$G$42,2,0),"")</f>
        <v>MARISCOS Y PESCADOS</v>
      </c>
      <c r="Q572" s="66" t="str">
        <f>IFERROR(VLOOKUP(O572,PROVEEDORES!$A$3:$G$42,4,0),"")</f>
        <v>rosa.bustos@distemar.cl,distemar.ryn@gmail.com</v>
      </c>
      <c r="R572" s="10">
        <f>IFERROR(VLOOKUP(O572,PROVEEDORES!$A$3:$G$42,5,0),"")</f>
        <v>0</v>
      </c>
      <c r="S572" s="11">
        <v>1126</v>
      </c>
      <c r="T572" s="12">
        <f t="shared" si="32"/>
        <v>4617.666666666667</v>
      </c>
      <c r="U572" s="13">
        <f t="shared" si="33"/>
        <v>5079.4333333333343</v>
      </c>
    </row>
    <row r="573" spans="1:21" ht="15" customHeight="1" x14ac:dyDescent="0.35">
      <c r="A573" s="14" t="s">
        <v>768</v>
      </c>
      <c r="B573" s="15" t="s">
        <v>773</v>
      </c>
      <c r="C573" s="16" t="s">
        <v>219</v>
      </c>
      <c r="D573" s="17">
        <v>0.06</v>
      </c>
      <c r="E573" s="67" t="s">
        <v>20</v>
      </c>
      <c r="F573" s="68" t="str">
        <f>IFERROR(VLOOKUP(E573,PROVEEDORES!$A$3:$G$42,2,0),"")</f>
        <v>PESCADOS Y CAVIAR</v>
      </c>
      <c r="G573" s="69" t="str">
        <f>IFERROR(VLOOKUP(E573,PROVEEDORES!$A$3:$G$42,4,0),"")</f>
        <v>ventas@kenoz.cl,ftisne@kenoz.cl,contabilidad@acuicolaalas.cl</v>
      </c>
      <c r="H573" s="18" t="str">
        <f>IFERROR(VLOOKUP(E573,PROVEEDORES!$A$3:$G$42,5,0),"")</f>
        <v>56961682811 - 56224766094</v>
      </c>
      <c r="I573" s="19">
        <v>17612</v>
      </c>
      <c r="J573" s="67" t="s">
        <v>124</v>
      </c>
      <c r="K573" s="68" t="str">
        <f>IFERROR(VLOOKUP(J573,PROVEEDORES!$A$3:$G$42,2,0),"")</f>
        <v>MARISCOS Y PESCADOS</v>
      </c>
      <c r="L573" s="69" t="str">
        <f>IFERROR(VLOOKUP(J573,PROVEEDORES!$A$3:$G$42,4,0),"")</f>
        <v>cobranzas@maralmafood.cl,felipemena@maralmafood.cl</v>
      </c>
      <c r="M573" s="18" t="str">
        <f>IFERROR(VLOOKUP(J573,PROVEEDORES!$A$3:$G$42,5,0),"")</f>
        <v>56985044772</v>
      </c>
      <c r="N573" s="19">
        <v>20597</v>
      </c>
      <c r="O573" s="67" t="s">
        <v>154</v>
      </c>
      <c r="P573" s="68" t="str">
        <f>IFERROR(VLOOKUP(O573,PROVEEDORES!$A$3:$G$42,2,0),"")</f>
        <v>MARISCOS Y PESCADOS</v>
      </c>
      <c r="Q573" s="69" t="str">
        <f>IFERROR(VLOOKUP(O573,PROVEEDORES!$A$3:$G$42,4,0),"")</f>
        <v>rosa.bustos@distemar.cl,distemar.ryn@gmail.com</v>
      </c>
      <c r="R573" s="18">
        <f>IFERROR(VLOOKUP(O573,PROVEEDORES!$A$3:$G$42,5,0),"")</f>
        <v>0</v>
      </c>
      <c r="S573" s="19">
        <v>6143</v>
      </c>
      <c r="T573" s="20">
        <f t="shared" si="32"/>
        <v>14784</v>
      </c>
      <c r="U573" s="21">
        <f t="shared" si="33"/>
        <v>16262.400000000001</v>
      </c>
    </row>
    <row r="574" spans="1:21" ht="15" customHeight="1" x14ac:dyDescent="0.35">
      <c r="A574" s="6" t="s">
        <v>768</v>
      </c>
      <c r="B574" s="7" t="s">
        <v>774</v>
      </c>
      <c r="C574" s="8" t="s">
        <v>219</v>
      </c>
      <c r="D574" s="9">
        <v>0.04</v>
      </c>
      <c r="E574" s="64" t="s">
        <v>20</v>
      </c>
      <c r="F574" s="65" t="str">
        <f>IFERROR(VLOOKUP(E574,PROVEEDORES!$A$3:$G$42,2,0),"")</f>
        <v>PESCADOS Y CAVIAR</v>
      </c>
      <c r="G574" s="66" t="str">
        <f>IFERROR(VLOOKUP(E574,PROVEEDORES!$A$3:$G$42,4,0),"")</f>
        <v>ventas@kenoz.cl,ftisne@kenoz.cl,contabilidad@acuicolaalas.cl</v>
      </c>
      <c r="H574" s="10" t="str">
        <f>IFERROR(VLOOKUP(E574,PROVEEDORES!$A$3:$G$42,5,0),"")</f>
        <v>56961682811 - 56224766094</v>
      </c>
      <c r="I574" s="11">
        <v>17800</v>
      </c>
      <c r="J574" s="64" t="s">
        <v>124</v>
      </c>
      <c r="K574" s="65" t="str">
        <f>IFERROR(VLOOKUP(J574,PROVEEDORES!$A$3:$G$42,2,0),"")</f>
        <v>MARISCOS Y PESCADOS</v>
      </c>
      <c r="L574" s="66" t="str">
        <f>IFERROR(VLOOKUP(J574,PROVEEDORES!$A$3:$G$42,4,0),"")</f>
        <v>cobranzas@maralmafood.cl,felipemena@maralmafood.cl</v>
      </c>
      <c r="M574" s="10" t="str">
        <f>IFERROR(VLOOKUP(J574,PROVEEDORES!$A$3:$G$42,5,0),"")</f>
        <v>56985044772</v>
      </c>
      <c r="N574" s="11">
        <v>5812</v>
      </c>
      <c r="O574" s="64" t="s">
        <v>154</v>
      </c>
      <c r="P574" s="65" t="str">
        <f>IFERROR(VLOOKUP(O574,PROVEEDORES!$A$3:$G$42,2,0),"")</f>
        <v>MARISCOS Y PESCADOS</v>
      </c>
      <c r="Q574" s="66" t="str">
        <f>IFERROR(VLOOKUP(O574,PROVEEDORES!$A$3:$G$42,4,0),"")</f>
        <v>rosa.bustos@distemar.cl,distemar.ryn@gmail.com</v>
      </c>
      <c r="R574" s="10">
        <f>IFERROR(VLOOKUP(O574,PROVEEDORES!$A$3:$G$42,5,0),"")</f>
        <v>0</v>
      </c>
      <c r="S574" s="11">
        <v>2958</v>
      </c>
      <c r="T574" s="12">
        <f t="shared" si="32"/>
        <v>8856.6666666666661</v>
      </c>
      <c r="U574" s="13">
        <f t="shared" si="33"/>
        <v>9742.3333333333339</v>
      </c>
    </row>
    <row r="575" spans="1:21" ht="15" customHeight="1" x14ac:dyDescent="0.35">
      <c r="A575" s="14" t="s">
        <v>768</v>
      </c>
      <c r="B575" s="15" t="s">
        <v>775</v>
      </c>
      <c r="C575" s="16" t="s">
        <v>219</v>
      </c>
      <c r="D575" s="17">
        <v>0.54700000000000004</v>
      </c>
      <c r="E575" s="67" t="s">
        <v>20</v>
      </c>
      <c r="F575" s="68" t="str">
        <f>IFERROR(VLOOKUP(E575,PROVEEDORES!$A$3:$G$42,2,0),"")</f>
        <v>PESCADOS Y CAVIAR</v>
      </c>
      <c r="G575" s="69" t="str">
        <f>IFERROR(VLOOKUP(E575,PROVEEDORES!$A$3:$G$42,4,0),"")</f>
        <v>ventas@kenoz.cl,ftisne@kenoz.cl,contabilidad@acuicolaalas.cl</v>
      </c>
      <c r="H575" s="18" t="str">
        <f>IFERROR(VLOOKUP(E575,PROVEEDORES!$A$3:$G$42,5,0),"")</f>
        <v>56961682811 - 56224766094</v>
      </c>
      <c r="I575" s="19">
        <v>14000</v>
      </c>
      <c r="J575" s="67" t="s">
        <v>124</v>
      </c>
      <c r="K575" s="68" t="str">
        <f>IFERROR(VLOOKUP(J575,PROVEEDORES!$A$3:$G$42,2,0),"")</f>
        <v>MARISCOS Y PESCADOS</v>
      </c>
      <c r="L575" s="69" t="str">
        <f>IFERROR(VLOOKUP(J575,PROVEEDORES!$A$3:$G$42,4,0),"")</f>
        <v>cobranzas@maralmafood.cl,felipemena@maralmafood.cl</v>
      </c>
      <c r="M575" s="18" t="str">
        <f>IFERROR(VLOOKUP(J575,PROVEEDORES!$A$3:$G$42,5,0),"")</f>
        <v>56985044772</v>
      </c>
      <c r="N575" s="19">
        <v>18473</v>
      </c>
      <c r="O575" s="67" t="s">
        <v>154</v>
      </c>
      <c r="P575" s="68" t="str">
        <f>IFERROR(VLOOKUP(O575,PROVEEDORES!$A$3:$G$42,2,0),"")</f>
        <v>MARISCOS Y PESCADOS</v>
      </c>
      <c r="Q575" s="69" t="str">
        <f>IFERROR(VLOOKUP(O575,PROVEEDORES!$A$3:$G$42,4,0),"")</f>
        <v>rosa.bustos@distemar.cl,distemar.ryn@gmail.com</v>
      </c>
      <c r="R575" s="18">
        <f>IFERROR(VLOOKUP(O575,PROVEEDORES!$A$3:$G$42,5,0),"")</f>
        <v>0</v>
      </c>
      <c r="S575" s="19">
        <v>24349</v>
      </c>
      <c r="T575" s="20">
        <f t="shared" si="32"/>
        <v>18940.666666666668</v>
      </c>
      <c r="U575" s="21">
        <f t="shared" si="33"/>
        <v>20834.733333333337</v>
      </c>
    </row>
    <row r="576" spans="1:21" ht="15" customHeight="1" x14ac:dyDescent="0.35">
      <c r="A576" s="6" t="s">
        <v>768</v>
      </c>
      <c r="B576" s="7" t="s">
        <v>776</v>
      </c>
      <c r="C576" s="8" t="s">
        <v>219</v>
      </c>
      <c r="D576" s="9">
        <v>5.6250000000000001E-2</v>
      </c>
      <c r="E576" s="64" t="s">
        <v>20</v>
      </c>
      <c r="F576" s="65" t="str">
        <f>IFERROR(VLOOKUP(E576,PROVEEDORES!$A$3:$G$42,2,0),"")</f>
        <v>PESCADOS Y CAVIAR</v>
      </c>
      <c r="G576" s="66" t="str">
        <f>IFERROR(VLOOKUP(E576,PROVEEDORES!$A$3:$G$42,4,0),"")</f>
        <v>ventas@kenoz.cl,ftisne@kenoz.cl,contabilidad@acuicolaalas.cl</v>
      </c>
      <c r="H576" s="10" t="str">
        <f>IFERROR(VLOOKUP(E576,PROVEEDORES!$A$3:$G$42,5,0),"")</f>
        <v>56961682811 - 56224766094</v>
      </c>
      <c r="I576" s="11">
        <v>5900</v>
      </c>
      <c r="J576" s="64" t="s">
        <v>124</v>
      </c>
      <c r="K576" s="65" t="str">
        <f>IFERROR(VLOOKUP(J576,PROVEEDORES!$A$3:$G$42,2,0),"")</f>
        <v>MARISCOS Y PESCADOS</v>
      </c>
      <c r="L576" s="66" t="str">
        <f>IFERROR(VLOOKUP(J576,PROVEEDORES!$A$3:$G$42,4,0),"")</f>
        <v>cobranzas@maralmafood.cl,felipemena@maralmafood.cl</v>
      </c>
      <c r="M576" s="10" t="str">
        <f>IFERROR(VLOOKUP(J576,PROVEEDORES!$A$3:$G$42,5,0),"")</f>
        <v>56985044772</v>
      </c>
      <c r="N576" s="11">
        <v>6431</v>
      </c>
      <c r="O576" s="64" t="s">
        <v>154</v>
      </c>
      <c r="P576" s="65" t="str">
        <f>IFERROR(VLOOKUP(O576,PROVEEDORES!$A$3:$G$42,2,0),"")</f>
        <v>MARISCOS Y PESCADOS</v>
      </c>
      <c r="Q576" s="66" t="str">
        <f>IFERROR(VLOOKUP(O576,PROVEEDORES!$A$3:$G$42,4,0),"")</f>
        <v>rosa.bustos@distemar.cl,distemar.ryn@gmail.com</v>
      </c>
      <c r="R576" s="10">
        <f>IFERROR(VLOOKUP(O576,PROVEEDORES!$A$3:$G$42,5,0),"")</f>
        <v>0</v>
      </c>
      <c r="S576" s="11">
        <v>7419</v>
      </c>
      <c r="T576" s="12">
        <f t="shared" si="32"/>
        <v>6583.333333333333</v>
      </c>
      <c r="U576" s="13">
        <f t="shared" si="33"/>
        <v>7241.666666666667</v>
      </c>
    </row>
    <row r="577" spans="1:21" ht="15" customHeight="1" x14ac:dyDescent="0.35">
      <c r="A577" s="14" t="s">
        <v>768</v>
      </c>
      <c r="B577" s="15" t="s">
        <v>777</v>
      </c>
      <c r="C577" s="16" t="s">
        <v>219</v>
      </c>
      <c r="D577" s="17">
        <v>0.13</v>
      </c>
      <c r="E577" s="67" t="s">
        <v>20</v>
      </c>
      <c r="F577" s="68" t="str">
        <f>IFERROR(VLOOKUP(E577,PROVEEDORES!$A$3:$G$42,2,0),"")</f>
        <v>PESCADOS Y CAVIAR</v>
      </c>
      <c r="G577" s="69" t="str">
        <f>IFERROR(VLOOKUP(E577,PROVEEDORES!$A$3:$G$42,4,0),"")</f>
        <v>ventas@kenoz.cl,ftisne@kenoz.cl,contabilidad@acuicolaalas.cl</v>
      </c>
      <c r="H577" s="18" t="str">
        <f>IFERROR(VLOOKUP(E577,PROVEEDORES!$A$3:$G$42,5,0),"")</f>
        <v>56961682811 - 56224766094</v>
      </c>
      <c r="I577" s="19">
        <v>4500</v>
      </c>
      <c r="J577" s="67" t="s">
        <v>124</v>
      </c>
      <c r="K577" s="68" t="str">
        <f>IFERROR(VLOOKUP(J577,PROVEEDORES!$A$3:$G$42,2,0),"")</f>
        <v>MARISCOS Y PESCADOS</v>
      </c>
      <c r="L577" s="69" t="str">
        <f>IFERROR(VLOOKUP(J577,PROVEEDORES!$A$3:$G$42,4,0),"")</f>
        <v>cobranzas@maralmafood.cl,felipemena@maralmafood.cl</v>
      </c>
      <c r="M577" s="18" t="str">
        <f>IFERROR(VLOOKUP(J577,PROVEEDORES!$A$3:$G$42,5,0),"")</f>
        <v>56985044772</v>
      </c>
      <c r="N577" s="19">
        <v>5134</v>
      </c>
      <c r="O577" s="67" t="s">
        <v>154</v>
      </c>
      <c r="P577" s="68" t="str">
        <f>IFERROR(VLOOKUP(O577,PROVEEDORES!$A$3:$G$42,2,0),"")</f>
        <v>MARISCOS Y PESCADOS</v>
      </c>
      <c r="Q577" s="69" t="str">
        <f>IFERROR(VLOOKUP(O577,PROVEEDORES!$A$3:$G$42,4,0),"")</f>
        <v>rosa.bustos@distemar.cl,distemar.ryn@gmail.com</v>
      </c>
      <c r="R577" s="18">
        <f>IFERROR(VLOOKUP(O577,PROVEEDORES!$A$3:$G$42,5,0),"")</f>
        <v>0</v>
      </c>
      <c r="S577" s="19">
        <v>3946</v>
      </c>
      <c r="T577" s="20">
        <f t="shared" si="32"/>
        <v>4526.666666666667</v>
      </c>
      <c r="U577" s="21">
        <f t="shared" si="33"/>
        <v>4979.3333333333339</v>
      </c>
    </row>
    <row r="578" spans="1:21" ht="15" customHeight="1" x14ac:dyDescent="0.35">
      <c r="A578" s="6" t="s">
        <v>768</v>
      </c>
      <c r="B578" s="7" t="s">
        <v>778</v>
      </c>
      <c r="C578" s="8" t="s">
        <v>239</v>
      </c>
      <c r="D578" s="9">
        <v>7.4999999999999997E-2</v>
      </c>
      <c r="E578" s="64" t="s">
        <v>20</v>
      </c>
      <c r="F578" s="65" t="str">
        <f>IFERROR(VLOOKUP(E578,PROVEEDORES!$A$3:$G$42,2,0),"")</f>
        <v>PESCADOS Y CAVIAR</v>
      </c>
      <c r="G578" s="66" t="str">
        <f>IFERROR(VLOOKUP(E578,PROVEEDORES!$A$3:$G$42,4,0),"")</f>
        <v>ventas@kenoz.cl,ftisne@kenoz.cl,contabilidad@acuicolaalas.cl</v>
      </c>
      <c r="H578" s="10" t="str">
        <f>IFERROR(VLOOKUP(E578,PROVEEDORES!$A$3:$G$42,5,0),"")</f>
        <v>56961682811 - 56224766094</v>
      </c>
      <c r="I578" s="11">
        <v>13000</v>
      </c>
      <c r="J578" s="64" t="s">
        <v>124</v>
      </c>
      <c r="K578" s="65" t="str">
        <f>IFERROR(VLOOKUP(J578,PROVEEDORES!$A$3:$G$42,2,0),"")</f>
        <v>MARISCOS Y PESCADOS</v>
      </c>
      <c r="L578" s="66" t="str">
        <f>IFERROR(VLOOKUP(J578,PROVEEDORES!$A$3:$G$42,4,0),"")</f>
        <v>cobranzas@maralmafood.cl,felipemena@maralmafood.cl</v>
      </c>
      <c r="M578" s="10" t="str">
        <f>IFERROR(VLOOKUP(J578,PROVEEDORES!$A$3:$G$42,5,0),"")</f>
        <v>56985044772</v>
      </c>
      <c r="N578" s="11">
        <v>17856</v>
      </c>
      <c r="O578" s="64" t="s">
        <v>154</v>
      </c>
      <c r="P578" s="65" t="str">
        <f>IFERROR(VLOOKUP(O578,PROVEEDORES!$A$3:$G$42,2,0),"")</f>
        <v>MARISCOS Y PESCADOS</v>
      </c>
      <c r="Q578" s="66" t="str">
        <f>IFERROR(VLOOKUP(O578,PROVEEDORES!$A$3:$G$42,4,0),"")</f>
        <v>rosa.bustos@distemar.cl,distemar.ryn@gmail.com</v>
      </c>
      <c r="R578" s="10">
        <f>IFERROR(VLOOKUP(O578,PROVEEDORES!$A$3:$G$42,5,0),"")</f>
        <v>0</v>
      </c>
      <c r="S578" s="11">
        <v>-385</v>
      </c>
      <c r="T578" s="12">
        <f t="shared" si="32"/>
        <v>10157</v>
      </c>
      <c r="U578" s="13">
        <f t="shared" si="33"/>
        <v>11172.7</v>
      </c>
    </row>
    <row r="579" spans="1:21" ht="15" customHeight="1" x14ac:dyDescent="0.35">
      <c r="A579" s="14" t="s">
        <v>768</v>
      </c>
      <c r="B579" s="15" t="s">
        <v>779</v>
      </c>
      <c r="C579" s="16" t="s">
        <v>219</v>
      </c>
      <c r="D579" s="17">
        <v>4.3749999999999997E-2</v>
      </c>
      <c r="E579" s="67" t="s">
        <v>20</v>
      </c>
      <c r="F579" s="68" t="str">
        <f>IFERROR(VLOOKUP(E579,PROVEEDORES!$A$3:$G$42,2,0),"")</f>
        <v>PESCADOS Y CAVIAR</v>
      </c>
      <c r="G579" s="69" t="str">
        <f>IFERROR(VLOOKUP(E579,PROVEEDORES!$A$3:$G$42,4,0),"")</f>
        <v>ventas@kenoz.cl,ftisne@kenoz.cl,contabilidad@acuicolaalas.cl</v>
      </c>
      <c r="H579" s="18" t="str">
        <f>IFERROR(VLOOKUP(E579,PROVEEDORES!$A$3:$G$42,5,0),"")</f>
        <v>56961682811 - 56224766094</v>
      </c>
      <c r="I579" s="19">
        <v>21000</v>
      </c>
      <c r="J579" s="67" t="s">
        <v>124</v>
      </c>
      <c r="K579" s="68" t="str">
        <f>IFERROR(VLOOKUP(J579,PROVEEDORES!$A$3:$G$42,2,0),"")</f>
        <v>MARISCOS Y PESCADOS</v>
      </c>
      <c r="L579" s="69" t="str">
        <f>IFERROR(VLOOKUP(J579,PROVEEDORES!$A$3:$G$42,4,0),"")</f>
        <v>cobranzas@maralmafood.cl,felipemena@maralmafood.cl</v>
      </c>
      <c r="M579" s="18" t="str">
        <f>IFERROR(VLOOKUP(J579,PROVEEDORES!$A$3:$G$42,5,0),"")</f>
        <v>56985044772</v>
      </c>
      <c r="N579" s="19">
        <v>36466</v>
      </c>
      <c r="O579" s="67" t="s">
        <v>154</v>
      </c>
      <c r="P579" s="68" t="str">
        <f>IFERROR(VLOOKUP(O579,PROVEEDORES!$A$3:$G$42,2,0),"")</f>
        <v>MARISCOS Y PESCADOS</v>
      </c>
      <c r="Q579" s="69" t="str">
        <f>IFERROR(VLOOKUP(O579,PROVEEDORES!$A$3:$G$42,4,0),"")</f>
        <v>rosa.bustos@distemar.cl,distemar.ryn@gmail.com</v>
      </c>
      <c r="R579" s="18">
        <f>IFERROR(VLOOKUP(O579,PROVEEDORES!$A$3:$G$42,5,0),"")</f>
        <v>0</v>
      </c>
      <c r="S579" s="19">
        <v>9127</v>
      </c>
      <c r="T579" s="20">
        <f t="shared" si="32"/>
        <v>22197.666666666668</v>
      </c>
      <c r="U579" s="21">
        <f t="shared" si="33"/>
        <v>24417.433333333338</v>
      </c>
    </row>
    <row r="580" spans="1:21" ht="15" customHeight="1" x14ac:dyDescent="0.35">
      <c r="A580" s="6" t="s">
        <v>768</v>
      </c>
      <c r="B580" s="7" t="s">
        <v>780</v>
      </c>
      <c r="C580" s="8" t="s">
        <v>219</v>
      </c>
      <c r="D580" s="9">
        <v>0.4</v>
      </c>
      <c r="E580" s="64" t="s">
        <v>20</v>
      </c>
      <c r="F580" s="65" t="str">
        <f>IFERROR(VLOOKUP(E580,PROVEEDORES!$A$3:$G$42,2,0),"")</f>
        <v>PESCADOS Y CAVIAR</v>
      </c>
      <c r="G580" s="66" t="str">
        <f>IFERROR(VLOOKUP(E580,PROVEEDORES!$A$3:$G$42,4,0),"")</f>
        <v>ventas@kenoz.cl,ftisne@kenoz.cl,contabilidad@acuicolaalas.cl</v>
      </c>
      <c r="H580" s="10" t="str">
        <f>IFERROR(VLOOKUP(E580,PROVEEDORES!$A$3:$G$42,5,0),"")</f>
        <v>56961682811 - 56224766094</v>
      </c>
      <c r="I580" s="11">
        <v>9800</v>
      </c>
      <c r="J580" s="64" t="s">
        <v>124</v>
      </c>
      <c r="K580" s="65" t="str">
        <f>IFERROR(VLOOKUP(J580,PROVEEDORES!$A$3:$G$42,2,0),"")</f>
        <v>MARISCOS Y PESCADOS</v>
      </c>
      <c r="L580" s="66" t="str">
        <f>IFERROR(VLOOKUP(J580,PROVEEDORES!$A$3:$G$42,4,0),"")</f>
        <v>cobranzas@maralmafood.cl,felipemena@maralmafood.cl</v>
      </c>
      <c r="M580" s="10" t="str">
        <f>IFERROR(VLOOKUP(J580,PROVEEDORES!$A$3:$G$42,5,0),"")</f>
        <v>56985044772</v>
      </c>
      <c r="N580" s="11">
        <v>16415</v>
      </c>
      <c r="O580" s="64" t="s">
        <v>154</v>
      </c>
      <c r="P580" s="65" t="str">
        <f>IFERROR(VLOOKUP(O580,PROVEEDORES!$A$3:$G$42,2,0),"")</f>
        <v>MARISCOS Y PESCADOS</v>
      </c>
      <c r="Q580" s="66" t="str">
        <f>IFERROR(VLOOKUP(O580,PROVEEDORES!$A$3:$G$42,4,0),"")</f>
        <v>rosa.bustos@distemar.cl,distemar.ryn@gmail.com</v>
      </c>
      <c r="R580" s="10">
        <f>IFERROR(VLOOKUP(O580,PROVEEDORES!$A$3:$G$42,5,0),"")</f>
        <v>0</v>
      </c>
      <c r="S580" s="11">
        <v>20106</v>
      </c>
      <c r="T580" s="12">
        <f t="shared" si="32"/>
        <v>15440.333333333334</v>
      </c>
      <c r="U580" s="13">
        <f t="shared" si="33"/>
        <v>16984.366666666669</v>
      </c>
    </row>
    <row r="581" spans="1:21" ht="15" customHeight="1" x14ac:dyDescent="0.35">
      <c r="A581" s="14" t="s">
        <v>768</v>
      </c>
      <c r="B581" s="15" t="s">
        <v>781</v>
      </c>
      <c r="C581" s="16" t="s">
        <v>239</v>
      </c>
      <c r="D581" s="17">
        <v>0.06</v>
      </c>
      <c r="E581" s="67" t="s">
        <v>20</v>
      </c>
      <c r="F581" s="68" t="str">
        <f>IFERROR(VLOOKUP(E581,PROVEEDORES!$A$3:$G$42,2,0),"")</f>
        <v>PESCADOS Y CAVIAR</v>
      </c>
      <c r="G581" s="69" t="str">
        <f>IFERROR(VLOOKUP(E581,PROVEEDORES!$A$3:$G$42,4,0),"")</f>
        <v>ventas@kenoz.cl,ftisne@kenoz.cl,contabilidad@acuicolaalas.cl</v>
      </c>
      <c r="H581" s="18" t="str">
        <f>IFERROR(VLOOKUP(E581,PROVEEDORES!$A$3:$G$42,5,0),"")</f>
        <v>56961682811 - 56224766094</v>
      </c>
      <c r="I581" s="19">
        <v>23600</v>
      </c>
      <c r="J581" s="67" t="s">
        <v>124</v>
      </c>
      <c r="K581" s="68" t="str">
        <f>IFERROR(VLOOKUP(J581,PROVEEDORES!$A$3:$G$42,2,0),"")</f>
        <v>MARISCOS Y PESCADOS</v>
      </c>
      <c r="L581" s="69" t="str">
        <f>IFERROR(VLOOKUP(J581,PROVEEDORES!$A$3:$G$42,4,0),"")</f>
        <v>cobranzas@maralmafood.cl,felipemena@maralmafood.cl</v>
      </c>
      <c r="M581" s="18" t="str">
        <f>IFERROR(VLOOKUP(J581,PROVEEDORES!$A$3:$G$42,5,0),"")</f>
        <v>56985044772</v>
      </c>
      <c r="N581" s="19">
        <v>12201</v>
      </c>
      <c r="O581" s="67" t="s">
        <v>154</v>
      </c>
      <c r="P581" s="68" t="str">
        <f>IFERROR(VLOOKUP(O581,PROVEEDORES!$A$3:$G$42,2,0),"")</f>
        <v>MARISCOS Y PESCADOS</v>
      </c>
      <c r="Q581" s="69" t="str">
        <f>IFERROR(VLOOKUP(O581,PROVEEDORES!$A$3:$G$42,4,0),"")</f>
        <v>rosa.bustos@distemar.cl,distemar.ryn@gmail.com</v>
      </c>
      <c r="R581" s="18">
        <f>IFERROR(VLOOKUP(O581,PROVEEDORES!$A$3:$G$42,5,0),"")</f>
        <v>0</v>
      </c>
      <c r="S581" s="19">
        <v>22406</v>
      </c>
      <c r="T581" s="20">
        <f t="shared" si="32"/>
        <v>19402.333333333332</v>
      </c>
      <c r="U581" s="21">
        <f t="shared" si="33"/>
        <v>21342.566666666666</v>
      </c>
    </row>
    <row r="582" spans="1:21" ht="15" customHeight="1" x14ac:dyDescent="0.35">
      <c r="A582" s="6" t="s">
        <v>768</v>
      </c>
      <c r="B582" s="7" t="s">
        <v>782</v>
      </c>
      <c r="C582" s="8" t="s">
        <v>219</v>
      </c>
      <c r="D582" s="9">
        <v>0.03</v>
      </c>
      <c r="E582" s="64" t="s">
        <v>20</v>
      </c>
      <c r="F582" s="65" t="str">
        <f>IFERROR(VLOOKUP(E582,PROVEEDORES!$A$3:$G$42,2,0),"")</f>
        <v>PESCADOS Y CAVIAR</v>
      </c>
      <c r="G582" s="66" t="str">
        <f>IFERROR(VLOOKUP(E582,PROVEEDORES!$A$3:$G$42,4,0),"")</f>
        <v>ventas@kenoz.cl,ftisne@kenoz.cl,contabilidad@acuicolaalas.cl</v>
      </c>
      <c r="H582" s="10" t="str">
        <f>IFERROR(VLOOKUP(E582,PROVEEDORES!$A$3:$G$42,5,0),"")</f>
        <v>56961682811 - 56224766094</v>
      </c>
      <c r="I582" s="11">
        <v>38000</v>
      </c>
      <c r="J582" s="64" t="s">
        <v>124</v>
      </c>
      <c r="K582" s="65" t="str">
        <f>IFERROR(VLOOKUP(J582,PROVEEDORES!$A$3:$G$42,2,0),"")</f>
        <v>MARISCOS Y PESCADOS</v>
      </c>
      <c r="L582" s="66" t="str">
        <f>IFERROR(VLOOKUP(J582,PROVEEDORES!$A$3:$G$42,4,0),"")</f>
        <v>cobranzas@maralmafood.cl,felipemena@maralmafood.cl</v>
      </c>
      <c r="M582" s="10" t="str">
        <f>IFERROR(VLOOKUP(J582,PROVEEDORES!$A$3:$G$42,5,0),"")</f>
        <v>56985044772</v>
      </c>
      <c r="N582" s="11">
        <v>58919</v>
      </c>
      <c r="O582" s="64" t="s">
        <v>154</v>
      </c>
      <c r="P582" s="65" t="str">
        <f>IFERROR(VLOOKUP(O582,PROVEEDORES!$A$3:$G$42,2,0),"")</f>
        <v>MARISCOS Y PESCADOS</v>
      </c>
      <c r="Q582" s="66" t="str">
        <f>IFERROR(VLOOKUP(O582,PROVEEDORES!$A$3:$G$42,4,0),"")</f>
        <v>rosa.bustos@distemar.cl,distemar.ryn@gmail.com</v>
      </c>
      <c r="R582" s="10">
        <f>IFERROR(VLOOKUP(O582,PROVEEDORES!$A$3:$G$42,5,0),"")</f>
        <v>0</v>
      </c>
      <c r="S582" s="11">
        <v>25460</v>
      </c>
      <c r="T582" s="12">
        <f t="shared" si="32"/>
        <v>40793</v>
      </c>
      <c r="U582" s="13">
        <f t="shared" si="33"/>
        <v>44872.3</v>
      </c>
    </row>
    <row r="583" spans="1:21" ht="15" customHeight="1" x14ac:dyDescent="0.35">
      <c r="A583" s="14" t="s">
        <v>768</v>
      </c>
      <c r="B583" s="15" t="s">
        <v>783</v>
      </c>
      <c r="C583" s="16" t="s">
        <v>219</v>
      </c>
      <c r="D583" s="17">
        <v>0.52</v>
      </c>
      <c r="E583" s="67" t="s">
        <v>20</v>
      </c>
      <c r="F583" s="68" t="str">
        <f>IFERROR(VLOOKUP(E583,PROVEEDORES!$A$3:$G$42,2,0),"")</f>
        <v>PESCADOS Y CAVIAR</v>
      </c>
      <c r="G583" s="69" t="str">
        <f>IFERROR(VLOOKUP(E583,PROVEEDORES!$A$3:$G$42,4,0),"")</f>
        <v>ventas@kenoz.cl,ftisne@kenoz.cl,contabilidad@acuicolaalas.cl</v>
      </c>
      <c r="H583" s="18" t="str">
        <f>IFERROR(VLOOKUP(E583,PROVEEDORES!$A$3:$G$42,5,0),"")</f>
        <v>56961682811 - 56224766094</v>
      </c>
      <c r="I583" s="19">
        <v>5000</v>
      </c>
      <c r="J583" s="67" t="s">
        <v>124</v>
      </c>
      <c r="K583" s="68" t="str">
        <f>IFERROR(VLOOKUP(J583,PROVEEDORES!$A$3:$G$42,2,0),"")</f>
        <v>MARISCOS Y PESCADOS</v>
      </c>
      <c r="L583" s="69" t="str">
        <f>IFERROR(VLOOKUP(J583,PROVEEDORES!$A$3:$G$42,4,0),"")</f>
        <v>cobranzas@maralmafood.cl,felipemena@maralmafood.cl</v>
      </c>
      <c r="M583" s="18" t="str">
        <f>IFERROR(VLOOKUP(J583,PROVEEDORES!$A$3:$G$42,5,0),"")</f>
        <v>56985044772</v>
      </c>
      <c r="N583" s="19">
        <v>1797</v>
      </c>
      <c r="O583" s="67" t="s">
        <v>154</v>
      </c>
      <c r="P583" s="68" t="str">
        <f>IFERROR(VLOOKUP(O583,PROVEEDORES!$A$3:$G$42,2,0),"")</f>
        <v>MARISCOS Y PESCADOS</v>
      </c>
      <c r="Q583" s="69" t="str">
        <f>IFERROR(VLOOKUP(O583,PROVEEDORES!$A$3:$G$42,4,0),"")</f>
        <v>rosa.bustos@distemar.cl,distemar.ryn@gmail.com</v>
      </c>
      <c r="R583" s="18">
        <f>IFERROR(VLOOKUP(O583,PROVEEDORES!$A$3:$G$42,5,0),"")</f>
        <v>0</v>
      </c>
      <c r="S583" s="19">
        <v>9752</v>
      </c>
      <c r="T583" s="20">
        <f t="shared" si="32"/>
        <v>5516.333333333333</v>
      </c>
      <c r="U583" s="21">
        <f t="shared" si="33"/>
        <v>6067.9666666666672</v>
      </c>
    </row>
    <row r="584" spans="1:21" ht="15" customHeight="1" x14ac:dyDescent="0.35">
      <c r="A584" s="6" t="s">
        <v>768</v>
      </c>
      <c r="B584" s="7" t="s">
        <v>784</v>
      </c>
      <c r="C584" s="8" t="s">
        <v>239</v>
      </c>
      <c r="D584" s="9">
        <v>6.2500000000000003E-3</v>
      </c>
      <c r="E584" s="64" t="s">
        <v>20</v>
      </c>
      <c r="F584" s="65" t="str">
        <f>IFERROR(VLOOKUP(E584,PROVEEDORES!$A$3:$G$42,2,0),"")</f>
        <v>PESCADOS Y CAVIAR</v>
      </c>
      <c r="G584" s="66" t="str">
        <f>IFERROR(VLOOKUP(E584,PROVEEDORES!$A$3:$G$42,4,0),"")</f>
        <v>ventas@kenoz.cl,ftisne@kenoz.cl,contabilidad@acuicolaalas.cl</v>
      </c>
      <c r="H584" s="10" t="str">
        <f>IFERROR(VLOOKUP(E584,PROVEEDORES!$A$3:$G$42,5,0),"")</f>
        <v>56961682811 - 56224766094</v>
      </c>
      <c r="I584" s="11">
        <v>15800</v>
      </c>
      <c r="J584" s="64" t="s">
        <v>124</v>
      </c>
      <c r="K584" s="65" t="str">
        <f>IFERROR(VLOOKUP(J584,PROVEEDORES!$A$3:$G$42,2,0),"")</f>
        <v>MARISCOS Y PESCADOS</v>
      </c>
      <c r="L584" s="66" t="str">
        <f>IFERROR(VLOOKUP(J584,PROVEEDORES!$A$3:$G$42,4,0),"")</f>
        <v>cobranzas@maralmafood.cl,felipemena@maralmafood.cl</v>
      </c>
      <c r="M584" s="10" t="str">
        <f>IFERROR(VLOOKUP(J584,PROVEEDORES!$A$3:$G$42,5,0),"")</f>
        <v>56985044772</v>
      </c>
      <c r="N584" s="11">
        <v>13430</v>
      </c>
      <c r="O584" s="64" t="s">
        <v>154</v>
      </c>
      <c r="P584" s="65" t="str">
        <f>IFERROR(VLOOKUP(O584,PROVEEDORES!$A$3:$G$42,2,0),"")</f>
        <v>MARISCOS Y PESCADOS</v>
      </c>
      <c r="Q584" s="66" t="str">
        <f>IFERROR(VLOOKUP(O584,PROVEEDORES!$A$3:$G$42,4,0),"")</f>
        <v>rosa.bustos@distemar.cl,distemar.ryn@gmail.com</v>
      </c>
      <c r="R584" s="10">
        <f>IFERROR(VLOOKUP(O584,PROVEEDORES!$A$3:$G$42,5,0),"")</f>
        <v>0</v>
      </c>
      <c r="S584" s="11">
        <v>24212</v>
      </c>
      <c r="T584" s="12">
        <f t="shared" si="32"/>
        <v>17814</v>
      </c>
      <c r="U584" s="13">
        <f t="shared" si="33"/>
        <v>19595.400000000001</v>
      </c>
    </row>
    <row r="585" spans="1:21" ht="15" customHeight="1" x14ac:dyDescent="0.35">
      <c r="A585" s="14" t="s">
        <v>768</v>
      </c>
      <c r="B585" s="15" t="s">
        <v>785</v>
      </c>
      <c r="C585" s="16" t="s">
        <v>219</v>
      </c>
      <c r="D585" s="17">
        <v>0.13700000000000001</v>
      </c>
      <c r="E585" s="67" t="s">
        <v>20</v>
      </c>
      <c r="F585" s="68" t="str">
        <f>IFERROR(VLOOKUP(E585,PROVEEDORES!$A$3:$G$42,2,0),"")</f>
        <v>PESCADOS Y CAVIAR</v>
      </c>
      <c r="G585" s="69" t="str">
        <f>IFERROR(VLOOKUP(E585,PROVEEDORES!$A$3:$G$42,4,0),"")</f>
        <v>ventas@kenoz.cl,ftisne@kenoz.cl,contabilidad@acuicolaalas.cl</v>
      </c>
      <c r="H585" s="18" t="str">
        <f>IFERROR(VLOOKUP(E585,PROVEEDORES!$A$3:$G$42,5,0),"")</f>
        <v>56961682811 - 56224766094</v>
      </c>
      <c r="I585" s="19">
        <v>25000</v>
      </c>
      <c r="J585" s="67" t="s">
        <v>124</v>
      </c>
      <c r="K585" s="68" t="str">
        <f>IFERROR(VLOOKUP(J585,PROVEEDORES!$A$3:$G$42,2,0),"")</f>
        <v>MARISCOS Y PESCADOS</v>
      </c>
      <c r="L585" s="69" t="str">
        <f>IFERROR(VLOOKUP(J585,PROVEEDORES!$A$3:$G$42,4,0),"")</f>
        <v>cobranzas@maralmafood.cl,felipemena@maralmafood.cl</v>
      </c>
      <c r="M585" s="18" t="str">
        <f>IFERROR(VLOOKUP(J585,PROVEEDORES!$A$3:$G$42,5,0),"")</f>
        <v>56985044772</v>
      </c>
      <c r="N585" s="19">
        <v>39925</v>
      </c>
      <c r="O585" s="67" t="s">
        <v>154</v>
      </c>
      <c r="P585" s="68" t="str">
        <f>IFERROR(VLOOKUP(O585,PROVEEDORES!$A$3:$G$42,2,0),"")</f>
        <v>MARISCOS Y PESCADOS</v>
      </c>
      <c r="Q585" s="69" t="str">
        <f>IFERROR(VLOOKUP(O585,PROVEEDORES!$A$3:$G$42,4,0),"")</f>
        <v>rosa.bustos@distemar.cl,distemar.ryn@gmail.com</v>
      </c>
      <c r="R585" s="18">
        <f>IFERROR(VLOOKUP(O585,PROVEEDORES!$A$3:$G$42,5,0),"")</f>
        <v>0</v>
      </c>
      <c r="S585" s="19">
        <v>48980</v>
      </c>
      <c r="T585" s="20">
        <f t="shared" si="32"/>
        <v>37968.333333333336</v>
      </c>
      <c r="U585" s="21">
        <f t="shared" si="33"/>
        <v>41765.166666666672</v>
      </c>
    </row>
    <row r="586" spans="1:21" ht="15" customHeight="1" x14ac:dyDescent="0.35">
      <c r="A586" s="6" t="s">
        <v>768</v>
      </c>
      <c r="B586" s="7" t="s">
        <v>786</v>
      </c>
      <c r="C586" s="8" t="s">
        <v>219</v>
      </c>
      <c r="D586" s="9">
        <v>0.22</v>
      </c>
      <c r="E586" s="64" t="s">
        <v>20</v>
      </c>
      <c r="F586" s="65" t="str">
        <f>IFERROR(VLOOKUP(E586,PROVEEDORES!$A$3:$G$42,2,0),"")</f>
        <v>PESCADOS Y CAVIAR</v>
      </c>
      <c r="G586" s="66" t="str">
        <f>IFERROR(VLOOKUP(E586,PROVEEDORES!$A$3:$G$42,4,0),"")</f>
        <v>ventas@kenoz.cl,ftisne@kenoz.cl,contabilidad@acuicolaalas.cl</v>
      </c>
      <c r="H586" s="10" t="str">
        <f>IFERROR(VLOOKUP(E586,PROVEEDORES!$A$3:$G$42,5,0),"")</f>
        <v>56961682811 - 56224766094</v>
      </c>
      <c r="I586" s="11">
        <v>9000</v>
      </c>
      <c r="J586" s="64" t="s">
        <v>124</v>
      </c>
      <c r="K586" s="65" t="str">
        <f>IFERROR(VLOOKUP(J586,PROVEEDORES!$A$3:$G$42,2,0),"")</f>
        <v>MARISCOS Y PESCADOS</v>
      </c>
      <c r="L586" s="66" t="str">
        <f>IFERROR(VLOOKUP(J586,PROVEEDORES!$A$3:$G$42,4,0),"")</f>
        <v>cobranzas@maralmafood.cl,felipemena@maralmafood.cl</v>
      </c>
      <c r="M586" s="10" t="str">
        <f>IFERROR(VLOOKUP(J586,PROVEEDORES!$A$3:$G$42,5,0),"")</f>
        <v>56985044772</v>
      </c>
      <c r="N586" s="11">
        <v>9310</v>
      </c>
      <c r="O586" s="64" t="s">
        <v>154</v>
      </c>
      <c r="P586" s="65" t="str">
        <f>IFERROR(VLOOKUP(O586,PROVEEDORES!$A$3:$G$42,2,0),"")</f>
        <v>MARISCOS Y PESCADOS</v>
      </c>
      <c r="Q586" s="66" t="str">
        <f>IFERROR(VLOOKUP(O586,PROVEEDORES!$A$3:$G$42,4,0),"")</f>
        <v>rosa.bustos@distemar.cl,distemar.ryn@gmail.com</v>
      </c>
      <c r="R586" s="10">
        <f>IFERROR(VLOOKUP(O586,PROVEEDORES!$A$3:$G$42,5,0),"")</f>
        <v>0</v>
      </c>
      <c r="S586" s="11">
        <v>16465</v>
      </c>
      <c r="T586" s="12">
        <f t="shared" si="32"/>
        <v>11591.666666666666</v>
      </c>
      <c r="U586" s="13">
        <f t="shared" si="33"/>
        <v>12750.833333333334</v>
      </c>
    </row>
    <row r="587" spans="1:21" ht="15" customHeight="1" x14ac:dyDescent="0.35">
      <c r="A587" s="14" t="s">
        <v>768</v>
      </c>
      <c r="B587" s="15" t="s">
        <v>787</v>
      </c>
      <c r="C587" s="16" t="s">
        <v>219</v>
      </c>
      <c r="D587" s="17">
        <v>0.3</v>
      </c>
      <c r="E587" s="67" t="s">
        <v>20</v>
      </c>
      <c r="F587" s="68" t="str">
        <f>IFERROR(VLOOKUP(E587,PROVEEDORES!$A$3:$G$42,2,0),"")</f>
        <v>PESCADOS Y CAVIAR</v>
      </c>
      <c r="G587" s="69" t="str">
        <f>IFERROR(VLOOKUP(E587,PROVEEDORES!$A$3:$G$42,4,0),"")</f>
        <v>ventas@kenoz.cl,ftisne@kenoz.cl,contabilidad@acuicolaalas.cl</v>
      </c>
      <c r="H587" s="18" t="str">
        <f>IFERROR(VLOOKUP(E587,PROVEEDORES!$A$3:$G$42,5,0),"")</f>
        <v>56961682811 - 56224766094</v>
      </c>
      <c r="I587" s="19">
        <v>7800</v>
      </c>
      <c r="J587" s="67" t="s">
        <v>124</v>
      </c>
      <c r="K587" s="68" t="str">
        <f>IFERROR(VLOOKUP(J587,PROVEEDORES!$A$3:$G$42,2,0),"")</f>
        <v>MARISCOS Y PESCADOS</v>
      </c>
      <c r="L587" s="69" t="str">
        <f>IFERROR(VLOOKUP(J587,PROVEEDORES!$A$3:$G$42,4,0),"")</f>
        <v>cobranzas@maralmafood.cl,felipemena@maralmafood.cl</v>
      </c>
      <c r="M587" s="18" t="str">
        <f>IFERROR(VLOOKUP(J587,PROVEEDORES!$A$3:$G$42,5,0),"")</f>
        <v>56985044772</v>
      </c>
      <c r="N587" s="19">
        <v>4875</v>
      </c>
      <c r="O587" s="67" t="s">
        <v>154</v>
      </c>
      <c r="P587" s="68" t="str">
        <f>IFERROR(VLOOKUP(O587,PROVEEDORES!$A$3:$G$42,2,0),"")</f>
        <v>MARISCOS Y PESCADOS</v>
      </c>
      <c r="Q587" s="69" t="str">
        <f>IFERROR(VLOOKUP(O587,PROVEEDORES!$A$3:$G$42,4,0),"")</f>
        <v>rosa.bustos@distemar.cl,distemar.ryn@gmail.com</v>
      </c>
      <c r="R587" s="18">
        <f>IFERROR(VLOOKUP(O587,PROVEEDORES!$A$3:$G$42,5,0),"")</f>
        <v>0</v>
      </c>
      <c r="S587" s="19">
        <v>4831</v>
      </c>
      <c r="T587" s="20">
        <f t="shared" si="32"/>
        <v>5835.333333333333</v>
      </c>
      <c r="U587" s="21">
        <f t="shared" si="33"/>
        <v>6418.8666666666668</v>
      </c>
    </row>
    <row r="588" spans="1:21" ht="15" customHeight="1" x14ac:dyDescent="0.35">
      <c r="A588" s="6" t="s">
        <v>768</v>
      </c>
      <c r="B588" s="7" t="s">
        <v>788</v>
      </c>
      <c r="C588" s="8" t="s">
        <v>239</v>
      </c>
      <c r="D588" s="9">
        <v>2</v>
      </c>
      <c r="E588" s="64" t="s">
        <v>20</v>
      </c>
      <c r="F588" s="65" t="str">
        <f>IFERROR(VLOOKUP(E588,PROVEEDORES!$A$3:$G$42,2,0),"")</f>
        <v>PESCADOS Y CAVIAR</v>
      </c>
      <c r="G588" s="66" t="str">
        <f>IFERROR(VLOOKUP(E588,PROVEEDORES!$A$3:$G$42,4,0),"")</f>
        <v>ventas@kenoz.cl,ftisne@kenoz.cl,contabilidad@acuicolaalas.cl</v>
      </c>
      <c r="H588" s="10" t="str">
        <f>IFERROR(VLOOKUP(E588,PROVEEDORES!$A$3:$G$42,5,0),"")</f>
        <v>56961682811 - 56224766094</v>
      </c>
      <c r="I588" s="11">
        <v>3800</v>
      </c>
      <c r="J588" s="64" t="s">
        <v>124</v>
      </c>
      <c r="K588" s="65" t="str">
        <f>IFERROR(VLOOKUP(J588,PROVEEDORES!$A$3:$G$42,2,0),"")</f>
        <v>MARISCOS Y PESCADOS</v>
      </c>
      <c r="L588" s="66" t="str">
        <f>IFERROR(VLOOKUP(J588,PROVEEDORES!$A$3:$G$42,4,0),"")</f>
        <v>cobranzas@maralmafood.cl,felipemena@maralmafood.cl</v>
      </c>
      <c r="M588" s="10" t="str">
        <f>IFERROR(VLOOKUP(J588,PROVEEDORES!$A$3:$G$42,5,0),"")</f>
        <v>56985044772</v>
      </c>
      <c r="N588" s="11">
        <v>4347</v>
      </c>
      <c r="O588" s="64" t="s">
        <v>154</v>
      </c>
      <c r="P588" s="65" t="str">
        <f>IFERROR(VLOOKUP(O588,PROVEEDORES!$A$3:$G$42,2,0),"")</f>
        <v>MARISCOS Y PESCADOS</v>
      </c>
      <c r="Q588" s="66" t="str">
        <f>IFERROR(VLOOKUP(O588,PROVEEDORES!$A$3:$G$42,4,0),"")</f>
        <v>rosa.bustos@distemar.cl,distemar.ryn@gmail.com</v>
      </c>
      <c r="R588" s="10">
        <f>IFERROR(VLOOKUP(O588,PROVEEDORES!$A$3:$G$42,5,0),"")</f>
        <v>0</v>
      </c>
      <c r="S588" s="11">
        <v>4904</v>
      </c>
      <c r="T588" s="12">
        <f t="shared" si="32"/>
        <v>4350.333333333333</v>
      </c>
      <c r="U588" s="13">
        <f t="shared" si="33"/>
        <v>4785.3666666666668</v>
      </c>
    </row>
    <row r="589" spans="1:21" ht="15" customHeight="1" x14ac:dyDescent="0.35">
      <c r="A589" s="14" t="s">
        <v>768</v>
      </c>
      <c r="B589" s="15" t="s">
        <v>789</v>
      </c>
      <c r="C589" s="16" t="s">
        <v>219</v>
      </c>
      <c r="D589" s="17">
        <v>0.3</v>
      </c>
      <c r="E589" s="67" t="s">
        <v>20</v>
      </c>
      <c r="F589" s="68" t="str">
        <f>IFERROR(VLOOKUP(E589,PROVEEDORES!$A$3:$G$42,2,0),"")</f>
        <v>PESCADOS Y CAVIAR</v>
      </c>
      <c r="G589" s="69" t="str">
        <f>IFERROR(VLOOKUP(E589,PROVEEDORES!$A$3:$G$42,4,0),"")</f>
        <v>ventas@kenoz.cl,ftisne@kenoz.cl,contabilidad@acuicolaalas.cl</v>
      </c>
      <c r="H589" s="18" t="str">
        <f>IFERROR(VLOOKUP(E589,PROVEEDORES!$A$3:$G$42,5,0),"")</f>
        <v>56961682811 - 56224766094</v>
      </c>
      <c r="I589" s="19">
        <v>3193</v>
      </c>
      <c r="J589" s="67" t="s">
        <v>124</v>
      </c>
      <c r="K589" s="68" t="str">
        <f>IFERROR(VLOOKUP(J589,PROVEEDORES!$A$3:$G$42,2,0),"")</f>
        <v>MARISCOS Y PESCADOS</v>
      </c>
      <c r="L589" s="69" t="str">
        <f>IFERROR(VLOOKUP(J589,PROVEEDORES!$A$3:$G$42,4,0),"")</f>
        <v>cobranzas@maralmafood.cl,felipemena@maralmafood.cl</v>
      </c>
      <c r="M589" s="18" t="str">
        <f>IFERROR(VLOOKUP(J589,PROVEEDORES!$A$3:$G$42,5,0),"")</f>
        <v>56985044772</v>
      </c>
      <c r="N589" s="19">
        <v>5573</v>
      </c>
      <c r="O589" s="67" t="s">
        <v>154</v>
      </c>
      <c r="P589" s="68" t="str">
        <f>IFERROR(VLOOKUP(O589,PROVEEDORES!$A$3:$G$42,2,0),"")</f>
        <v>MARISCOS Y PESCADOS</v>
      </c>
      <c r="Q589" s="69" t="str">
        <f>IFERROR(VLOOKUP(O589,PROVEEDORES!$A$3:$G$42,4,0),"")</f>
        <v>rosa.bustos@distemar.cl,distemar.ryn@gmail.com</v>
      </c>
      <c r="R589" s="18">
        <f>IFERROR(VLOOKUP(O589,PROVEEDORES!$A$3:$G$42,5,0),"")</f>
        <v>0</v>
      </c>
      <c r="S589" s="19">
        <v>3931</v>
      </c>
      <c r="T589" s="20">
        <f t="shared" si="32"/>
        <v>4232.333333333333</v>
      </c>
      <c r="U589" s="21">
        <f t="shared" si="33"/>
        <v>4655.5666666666666</v>
      </c>
    </row>
    <row r="590" spans="1:21" ht="15" customHeight="1" x14ac:dyDescent="0.35">
      <c r="A590" s="6" t="s">
        <v>768</v>
      </c>
      <c r="B590" s="7" t="s">
        <v>790</v>
      </c>
      <c r="C590" s="8" t="s">
        <v>239</v>
      </c>
      <c r="D590" s="9">
        <v>3</v>
      </c>
      <c r="E590" s="64" t="s">
        <v>20</v>
      </c>
      <c r="F590" s="65" t="str">
        <f>IFERROR(VLOOKUP(E590,PROVEEDORES!$A$3:$G$42,2,0),"")</f>
        <v>PESCADOS Y CAVIAR</v>
      </c>
      <c r="G590" s="66" t="str">
        <f>IFERROR(VLOOKUP(E590,PROVEEDORES!$A$3:$G$42,4,0),"")</f>
        <v>ventas@kenoz.cl,ftisne@kenoz.cl,contabilidad@acuicolaalas.cl</v>
      </c>
      <c r="H590" s="10" t="str">
        <f>IFERROR(VLOOKUP(E590,PROVEEDORES!$A$3:$G$42,5,0),"")</f>
        <v>56961682811 - 56224766094</v>
      </c>
      <c r="I590" s="11">
        <v>920</v>
      </c>
      <c r="J590" s="64" t="s">
        <v>124</v>
      </c>
      <c r="K590" s="65" t="str">
        <f>IFERROR(VLOOKUP(J590,PROVEEDORES!$A$3:$G$42,2,0),"")</f>
        <v>MARISCOS Y PESCADOS</v>
      </c>
      <c r="L590" s="66" t="str">
        <f>IFERROR(VLOOKUP(J590,PROVEEDORES!$A$3:$G$42,4,0),"")</f>
        <v>cobranzas@maralmafood.cl,felipemena@maralmafood.cl</v>
      </c>
      <c r="M590" s="10" t="str">
        <f>IFERROR(VLOOKUP(J590,PROVEEDORES!$A$3:$G$42,5,0),"")</f>
        <v>56985044772</v>
      </c>
      <c r="N590" s="11">
        <v>262</v>
      </c>
      <c r="O590" s="64" t="s">
        <v>154</v>
      </c>
      <c r="P590" s="65" t="str">
        <f>IFERROR(VLOOKUP(O590,PROVEEDORES!$A$3:$G$42,2,0),"")</f>
        <v>MARISCOS Y PESCADOS</v>
      </c>
      <c r="Q590" s="66" t="str">
        <f>IFERROR(VLOOKUP(O590,PROVEEDORES!$A$3:$G$42,4,0),"")</f>
        <v>rosa.bustos@distemar.cl,distemar.ryn@gmail.com</v>
      </c>
      <c r="R590" s="10">
        <f>IFERROR(VLOOKUP(O590,PROVEEDORES!$A$3:$G$42,5,0),"")</f>
        <v>0</v>
      </c>
      <c r="S590" s="11">
        <v>386</v>
      </c>
      <c r="T590" s="12">
        <f t="shared" si="32"/>
        <v>522.66666666666663</v>
      </c>
      <c r="U590" s="13">
        <f t="shared" si="33"/>
        <v>574.93333333333339</v>
      </c>
    </row>
    <row r="591" spans="1:21" ht="15" customHeight="1" x14ac:dyDescent="0.35">
      <c r="A591" s="14" t="s">
        <v>768</v>
      </c>
      <c r="B591" s="15" t="s">
        <v>791</v>
      </c>
      <c r="C591" s="16" t="s">
        <v>219</v>
      </c>
      <c r="D591" s="17">
        <v>0.05</v>
      </c>
      <c r="E591" s="67" t="s">
        <v>20</v>
      </c>
      <c r="F591" s="68" t="str">
        <f>IFERROR(VLOOKUP(E591,PROVEEDORES!$A$3:$G$42,2,0),"")</f>
        <v>PESCADOS Y CAVIAR</v>
      </c>
      <c r="G591" s="69" t="str">
        <f>IFERROR(VLOOKUP(E591,PROVEEDORES!$A$3:$G$42,4,0),"")</f>
        <v>ventas@kenoz.cl,ftisne@kenoz.cl,contabilidad@acuicolaalas.cl</v>
      </c>
      <c r="H591" s="18" t="str">
        <f>IFERROR(VLOOKUP(E591,PROVEEDORES!$A$3:$G$42,5,0),"")</f>
        <v>56961682811 - 56224766094</v>
      </c>
      <c r="I591" s="19">
        <v>32000</v>
      </c>
      <c r="J591" s="67" t="s">
        <v>124</v>
      </c>
      <c r="K591" s="68" t="str">
        <f>IFERROR(VLOOKUP(J591,PROVEEDORES!$A$3:$G$42,2,0),"")</f>
        <v>MARISCOS Y PESCADOS</v>
      </c>
      <c r="L591" s="69" t="str">
        <f>IFERROR(VLOOKUP(J591,PROVEEDORES!$A$3:$G$42,4,0),"")</f>
        <v>cobranzas@maralmafood.cl,felipemena@maralmafood.cl</v>
      </c>
      <c r="M591" s="18" t="str">
        <f>IFERROR(VLOOKUP(J591,PROVEEDORES!$A$3:$G$42,5,0),"")</f>
        <v>56985044772</v>
      </c>
      <c r="N591" s="19">
        <v>14384</v>
      </c>
      <c r="O591" s="67" t="s">
        <v>154</v>
      </c>
      <c r="P591" s="68" t="str">
        <f>IFERROR(VLOOKUP(O591,PROVEEDORES!$A$3:$G$42,2,0),"")</f>
        <v>MARISCOS Y PESCADOS</v>
      </c>
      <c r="Q591" s="69" t="str">
        <f>IFERROR(VLOOKUP(O591,PROVEEDORES!$A$3:$G$42,4,0),"")</f>
        <v>rosa.bustos@distemar.cl,distemar.ryn@gmail.com</v>
      </c>
      <c r="R591" s="18">
        <f>IFERROR(VLOOKUP(O591,PROVEEDORES!$A$3:$G$42,5,0),"")</f>
        <v>0</v>
      </c>
      <c r="S591" s="19">
        <v>33338</v>
      </c>
      <c r="T591" s="20">
        <f t="shared" si="32"/>
        <v>26574</v>
      </c>
      <c r="U591" s="21">
        <f t="shared" si="33"/>
        <v>29231.4</v>
      </c>
    </row>
    <row r="592" spans="1:21" ht="15" customHeight="1" x14ac:dyDescent="0.35">
      <c r="A592" s="6" t="s">
        <v>768</v>
      </c>
      <c r="B592" s="7" t="s">
        <v>792</v>
      </c>
      <c r="C592" s="8" t="s">
        <v>219</v>
      </c>
      <c r="D592" s="9">
        <v>0.02</v>
      </c>
      <c r="E592" s="64" t="s">
        <v>20</v>
      </c>
      <c r="F592" s="65" t="str">
        <f>IFERROR(VLOOKUP(E592,PROVEEDORES!$A$3:$G$42,2,0),"")</f>
        <v>PESCADOS Y CAVIAR</v>
      </c>
      <c r="G592" s="66" t="str">
        <f>IFERROR(VLOOKUP(E592,PROVEEDORES!$A$3:$G$42,4,0),"")</f>
        <v>ventas@kenoz.cl,ftisne@kenoz.cl,contabilidad@acuicolaalas.cl</v>
      </c>
      <c r="H592" s="10" t="str">
        <f>IFERROR(VLOOKUP(E592,PROVEEDORES!$A$3:$G$42,5,0),"")</f>
        <v>56961682811 - 56224766094</v>
      </c>
      <c r="I592" s="11">
        <v>5712</v>
      </c>
      <c r="J592" s="64" t="s">
        <v>124</v>
      </c>
      <c r="K592" s="65" t="str">
        <f>IFERROR(VLOOKUP(J592,PROVEEDORES!$A$3:$G$42,2,0),"")</f>
        <v>MARISCOS Y PESCADOS</v>
      </c>
      <c r="L592" s="66" t="str">
        <f>IFERROR(VLOOKUP(J592,PROVEEDORES!$A$3:$G$42,4,0),"")</f>
        <v>cobranzas@maralmafood.cl,felipemena@maralmafood.cl</v>
      </c>
      <c r="M592" s="10" t="str">
        <f>IFERROR(VLOOKUP(J592,PROVEEDORES!$A$3:$G$42,5,0),"")</f>
        <v>56985044772</v>
      </c>
      <c r="N592" s="11">
        <v>7357</v>
      </c>
      <c r="O592" s="64" t="s">
        <v>154</v>
      </c>
      <c r="P592" s="65" t="str">
        <f>IFERROR(VLOOKUP(O592,PROVEEDORES!$A$3:$G$42,2,0),"")</f>
        <v>MARISCOS Y PESCADOS</v>
      </c>
      <c r="Q592" s="66" t="str">
        <f>IFERROR(VLOOKUP(O592,PROVEEDORES!$A$3:$G$42,4,0),"")</f>
        <v>rosa.bustos@distemar.cl,distemar.ryn@gmail.com</v>
      </c>
      <c r="R592" s="10">
        <f>IFERROR(VLOOKUP(O592,PROVEEDORES!$A$3:$G$42,5,0),"")</f>
        <v>0</v>
      </c>
      <c r="S592" s="11">
        <v>8238</v>
      </c>
      <c r="T592" s="12">
        <f t="shared" si="32"/>
        <v>7102.333333333333</v>
      </c>
      <c r="U592" s="13">
        <f t="shared" si="33"/>
        <v>7812.5666666666666</v>
      </c>
    </row>
    <row r="593" spans="1:21" ht="15" customHeight="1" x14ac:dyDescent="0.35">
      <c r="A593" s="14" t="s">
        <v>768</v>
      </c>
      <c r="B593" s="15" t="s">
        <v>793</v>
      </c>
      <c r="C593" s="16" t="s">
        <v>219</v>
      </c>
      <c r="D593" s="17">
        <v>4.4999999999999998E-2</v>
      </c>
      <c r="E593" s="67" t="s">
        <v>20</v>
      </c>
      <c r="F593" s="68" t="str">
        <f>IFERROR(VLOOKUP(E593,PROVEEDORES!$A$3:$G$42,2,0),"")</f>
        <v>PESCADOS Y CAVIAR</v>
      </c>
      <c r="G593" s="69" t="str">
        <f>IFERROR(VLOOKUP(E593,PROVEEDORES!$A$3:$G$42,4,0),"")</f>
        <v>ventas@kenoz.cl,ftisne@kenoz.cl,contabilidad@acuicolaalas.cl</v>
      </c>
      <c r="H593" s="18" t="str">
        <f>IFERROR(VLOOKUP(E593,PROVEEDORES!$A$3:$G$42,5,0),"")</f>
        <v>56961682811 - 56224766094</v>
      </c>
      <c r="I593" s="19">
        <v>12500</v>
      </c>
      <c r="J593" s="67" t="s">
        <v>124</v>
      </c>
      <c r="K593" s="68" t="str">
        <f>IFERROR(VLOOKUP(J593,PROVEEDORES!$A$3:$G$42,2,0),"")</f>
        <v>MARISCOS Y PESCADOS</v>
      </c>
      <c r="L593" s="69" t="str">
        <f>IFERROR(VLOOKUP(J593,PROVEEDORES!$A$3:$G$42,4,0),"")</f>
        <v>cobranzas@maralmafood.cl,felipemena@maralmafood.cl</v>
      </c>
      <c r="M593" s="18" t="str">
        <f>IFERROR(VLOOKUP(J593,PROVEEDORES!$A$3:$G$42,5,0),"")</f>
        <v>56985044772</v>
      </c>
      <c r="N593" s="19">
        <v>15012</v>
      </c>
      <c r="O593" s="67" t="s">
        <v>154</v>
      </c>
      <c r="P593" s="68" t="str">
        <f>IFERROR(VLOOKUP(O593,PROVEEDORES!$A$3:$G$42,2,0),"")</f>
        <v>MARISCOS Y PESCADOS</v>
      </c>
      <c r="Q593" s="69" t="str">
        <f>IFERROR(VLOOKUP(O593,PROVEEDORES!$A$3:$G$42,4,0),"")</f>
        <v>rosa.bustos@distemar.cl,distemar.ryn@gmail.com</v>
      </c>
      <c r="R593" s="18">
        <f>IFERROR(VLOOKUP(O593,PROVEEDORES!$A$3:$G$42,5,0),"")</f>
        <v>0</v>
      </c>
      <c r="S593" s="19">
        <v>2710</v>
      </c>
      <c r="T593" s="20">
        <f t="shared" si="32"/>
        <v>10074</v>
      </c>
      <c r="U593" s="21">
        <f t="shared" si="33"/>
        <v>11081.400000000001</v>
      </c>
    </row>
    <row r="594" spans="1:21" ht="15" customHeight="1" x14ac:dyDescent="0.35">
      <c r="A594" s="6" t="s">
        <v>768</v>
      </c>
      <c r="B594" s="7" t="s">
        <v>794</v>
      </c>
      <c r="C594" s="8" t="s">
        <v>239</v>
      </c>
      <c r="D594" s="9">
        <v>0.106875</v>
      </c>
      <c r="E594" s="64" t="s">
        <v>20</v>
      </c>
      <c r="F594" s="65" t="str">
        <f>IFERROR(VLOOKUP(E594,PROVEEDORES!$A$3:$G$42,2,0),"")</f>
        <v>PESCADOS Y CAVIAR</v>
      </c>
      <c r="G594" s="66" t="str">
        <f>IFERROR(VLOOKUP(E594,PROVEEDORES!$A$3:$G$42,4,0),"")</f>
        <v>ventas@kenoz.cl,ftisne@kenoz.cl,contabilidad@acuicolaalas.cl</v>
      </c>
      <c r="H594" s="10" t="str">
        <f>IFERROR(VLOOKUP(E594,PROVEEDORES!$A$3:$G$42,5,0),"")</f>
        <v>56961682811 - 56224766094</v>
      </c>
      <c r="I594" s="11">
        <v>18480</v>
      </c>
      <c r="J594" s="64" t="s">
        <v>124</v>
      </c>
      <c r="K594" s="65" t="str">
        <f>IFERROR(VLOOKUP(J594,PROVEEDORES!$A$3:$G$42,2,0),"")</f>
        <v>MARISCOS Y PESCADOS</v>
      </c>
      <c r="L594" s="66" t="str">
        <f>IFERROR(VLOOKUP(J594,PROVEEDORES!$A$3:$G$42,4,0),"")</f>
        <v>cobranzas@maralmafood.cl,felipemena@maralmafood.cl</v>
      </c>
      <c r="M594" s="10" t="str">
        <f>IFERROR(VLOOKUP(J594,PROVEEDORES!$A$3:$G$42,5,0),"")</f>
        <v>56985044772</v>
      </c>
      <c r="N594" s="11">
        <v>8612</v>
      </c>
      <c r="O594" s="64" t="s">
        <v>154</v>
      </c>
      <c r="P594" s="65" t="str">
        <f>IFERROR(VLOOKUP(O594,PROVEEDORES!$A$3:$G$42,2,0),"")</f>
        <v>MARISCOS Y PESCADOS</v>
      </c>
      <c r="Q594" s="66" t="str">
        <f>IFERROR(VLOOKUP(O594,PROVEEDORES!$A$3:$G$42,4,0),"")</f>
        <v>rosa.bustos@distemar.cl,distemar.ryn@gmail.com</v>
      </c>
      <c r="R594" s="10">
        <f>IFERROR(VLOOKUP(O594,PROVEEDORES!$A$3:$G$42,5,0),"")</f>
        <v>0</v>
      </c>
      <c r="S594" s="11">
        <v>20675</v>
      </c>
      <c r="T594" s="12">
        <f t="shared" si="32"/>
        <v>15922.333333333334</v>
      </c>
      <c r="U594" s="13">
        <f t="shared" si="33"/>
        <v>17514.566666666669</v>
      </c>
    </row>
    <row r="595" spans="1:21" ht="15" customHeight="1" x14ac:dyDescent="0.35">
      <c r="A595" s="14" t="s">
        <v>768</v>
      </c>
      <c r="B595" s="15" t="s">
        <v>795</v>
      </c>
      <c r="C595" s="16" t="s">
        <v>219</v>
      </c>
      <c r="D595" s="17">
        <v>0.63124999999999998</v>
      </c>
      <c r="E595" s="67" t="s">
        <v>20</v>
      </c>
      <c r="F595" s="68" t="str">
        <f>IFERROR(VLOOKUP(E595,PROVEEDORES!$A$3:$G$42,2,0),"")</f>
        <v>PESCADOS Y CAVIAR</v>
      </c>
      <c r="G595" s="69" t="str">
        <f>IFERROR(VLOOKUP(E595,PROVEEDORES!$A$3:$G$42,4,0),"")</f>
        <v>ventas@kenoz.cl,ftisne@kenoz.cl,contabilidad@acuicolaalas.cl</v>
      </c>
      <c r="H595" s="18" t="str">
        <f>IFERROR(VLOOKUP(E595,PROVEEDORES!$A$3:$G$42,5,0),"")</f>
        <v>56961682811 - 56224766094</v>
      </c>
      <c r="I595" s="19">
        <v>9000</v>
      </c>
      <c r="J595" s="67" t="s">
        <v>124</v>
      </c>
      <c r="K595" s="68" t="str">
        <f>IFERROR(VLOOKUP(J595,PROVEEDORES!$A$3:$G$42,2,0),"")</f>
        <v>MARISCOS Y PESCADOS</v>
      </c>
      <c r="L595" s="69" t="str">
        <f>IFERROR(VLOOKUP(J595,PROVEEDORES!$A$3:$G$42,4,0),"")</f>
        <v>cobranzas@maralmafood.cl,felipemena@maralmafood.cl</v>
      </c>
      <c r="M595" s="18" t="str">
        <f>IFERROR(VLOOKUP(J595,PROVEEDORES!$A$3:$G$42,5,0),"")</f>
        <v>56985044772</v>
      </c>
      <c r="N595" s="19">
        <v>14805</v>
      </c>
      <c r="O595" s="67" t="s">
        <v>154</v>
      </c>
      <c r="P595" s="68" t="str">
        <f>IFERROR(VLOOKUP(O595,PROVEEDORES!$A$3:$G$42,2,0),"")</f>
        <v>MARISCOS Y PESCADOS</v>
      </c>
      <c r="Q595" s="69" t="str">
        <f>IFERROR(VLOOKUP(O595,PROVEEDORES!$A$3:$G$42,4,0),"")</f>
        <v>rosa.bustos@distemar.cl,distemar.ryn@gmail.com</v>
      </c>
      <c r="R595" s="18">
        <f>IFERROR(VLOOKUP(O595,PROVEEDORES!$A$3:$G$42,5,0),"")</f>
        <v>0</v>
      </c>
      <c r="S595" s="19">
        <v>14346</v>
      </c>
      <c r="T595" s="20">
        <f t="shared" si="32"/>
        <v>12717</v>
      </c>
      <c r="U595" s="21">
        <f t="shared" si="33"/>
        <v>13988.7</v>
      </c>
    </row>
    <row r="596" spans="1:21" ht="15" customHeight="1" x14ac:dyDescent="0.35">
      <c r="A596" s="6" t="s">
        <v>768</v>
      </c>
      <c r="B596" s="7" t="s">
        <v>796</v>
      </c>
      <c r="C596" s="8" t="s">
        <v>219</v>
      </c>
      <c r="D596" s="9">
        <v>0.21249999999999999</v>
      </c>
      <c r="E596" s="64" t="s">
        <v>20</v>
      </c>
      <c r="F596" s="65" t="str">
        <f>IFERROR(VLOOKUP(E596,PROVEEDORES!$A$3:$G$42,2,0),"")</f>
        <v>PESCADOS Y CAVIAR</v>
      </c>
      <c r="G596" s="66" t="str">
        <f>IFERROR(VLOOKUP(E596,PROVEEDORES!$A$3:$G$42,4,0),"")</f>
        <v>ventas@kenoz.cl,ftisne@kenoz.cl,contabilidad@acuicolaalas.cl</v>
      </c>
      <c r="H596" s="10" t="str">
        <f>IFERROR(VLOOKUP(E596,PROVEEDORES!$A$3:$G$42,5,0),"")</f>
        <v>56961682811 - 56224766094</v>
      </c>
      <c r="I596" s="11">
        <v>17000</v>
      </c>
      <c r="J596" s="64" t="s">
        <v>124</v>
      </c>
      <c r="K596" s="65" t="str">
        <f>IFERROR(VLOOKUP(J596,PROVEEDORES!$A$3:$G$42,2,0),"")</f>
        <v>MARISCOS Y PESCADOS</v>
      </c>
      <c r="L596" s="66" t="str">
        <f>IFERROR(VLOOKUP(J596,PROVEEDORES!$A$3:$G$42,4,0),"")</f>
        <v>cobranzas@maralmafood.cl,felipemena@maralmafood.cl</v>
      </c>
      <c r="M596" s="10" t="str">
        <f>IFERROR(VLOOKUP(J596,PROVEEDORES!$A$3:$G$42,5,0),"")</f>
        <v>56985044772</v>
      </c>
      <c r="N596" s="11">
        <v>24318</v>
      </c>
      <c r="O596" s="64" t="s">
        <v>154</v>
      </c>
      <c r="P596" s="65" t="str">
        <f>IFERROR(VLOOKUP(O596,PROVEEDORES!$A$3:$G$42,2,0),"")</f>
        <v>MARISCOS Y PESCADOS</v>
      </c>
      <c r="Q596" s="66" t="str">
        <f>IFERROR(VLOOKUP(O596,PROVEEDORES!$A$3:$G$42,4,0),"")</f>
        <v>rosa.bustos@distemar.cl,distemar.ryn@gmail.com</v>
      </c>
      <c r="R596" s="10">
        <f>IFERROR(VLOOKUP(O596,PROVEEDORES!$A$3:$G$42,5,0),"")</f>
        <v>0</v>
      </c>
      <c r="S596" s="11">
        <v>20179</v>
      </c>
      <c r="T596" s="12">
        <f t="shared" si="32"/>
        <v>20499</v>
      </c>
      <c r="U596" s="13">
        <f t="shared" si="33"/>
        <v>22548.9</v>
      </c>
    </row>
    <row r="597" spans="1:21" ht="15" customHeight="1" x14ac:dyDescent="0.35">
      <c r="A597" s="14" t="s">
        <v>768</v>
      </c>
      <c r="B597" s="15" t="s">
        <v>797</v>
      </c>
      <c r="C597" s="16" t="s">
        <v>219</v>
      </c>
      <c r="D597" s="17">
        <v>0.34499999999999997</v>
      </c>
      <c r="E597" s="67" t="s">
        <v>20</v>
      </c>
      <c r="F597" s="68" t="str">
        <f>IFERROR(VLOOKUP(E597,PROVEEDORES!$A$3:$G$42,2,0),"")</f>
        <v>PESCADOS Y CAVIAR</v>
      </c>
      <c r="G597" s="69" t="str">
        <f>IFERROR(VLOOKUP(E597,PROVEEDORES!$A$3:$G$42,4,0),"")</f>
        <v>ventas@kenoz.cl,ftisne@kenoz.cl,contabilidad@acuicolaalas.cl</v>
      </c>
      <c r="H597" s="18" t="str">
        <f>IFERROR(VLOOKUP(E597,PROVEEDORES!$A$3:$G$42,5,0),"")</f>
        <v>56961682811 - 56224766094</v>
      </c>
      <c r="I597" s="19">
        <v>19000</v>
      </c>
      <c r="J597" s="67" t="s">
        <v>124</v>
      </c>
      <c r="K597" s="68" t="str">
        <f>IFERROR(VLOOKUP(J597,PROVEEDORES!$A$3:$G$42,2,0),"")</f>
        <v>MARISCOS Y PESCADOS</v>
      </c>
      <c r="L597" s="69" t="str">
        <f>IFERROR(VLOOKUP(J597,PROVEEDORES!$A$3:$G$42,4,0),"")</f>
        <v>cobranzas@maralmafood.cl,felipemena@maralmafood.cl</v>
      </c>
      <c r="M597" s="18" t="str">
        <f>IFERROR(VLOOKUP(J597,PROVEEDORES!$A$3:$G$42,5,0),"")</f>
        <v>56985044772</v>
      </c>
      <c r="N597" s="19">
        <v>19028</v>
      </c>
      <c r="O597" s="67" t="s">
        <v>154</v>
      </c>
      <c r="P597" s="68" t="str">
        <f>IFERROR(VLOOKUP(O597,PROVEEDORES!$A$3:$G$42,2,0),"")</f>
        <v>MARISCOS Y PESCADOS</v>
      </c>
      <c r="Q597" s="69" t="str">
        <f>IFERROR(VLOOKUP(O597,PROVEEDORES!$A$3:$G$42,4,0),"")</f>
        <v>rosa.bustos@distemar.cl,distemar.ryn@gmail.com</v>
      </c>
      <c r="R597" s="18">
        <f>IFERROR(VLOOKUP(O597,PROVEEDORES!$A$3:$G$42,5,0),"")</f>
        <v>0</v>
      </c>
      <c r="S597" s="19">
        <v>36180</v>
      </c>
      <c r="T597" s="20">
        <f t="shared" si="32"/>
        <v>24736</v>
      </c>
      <c r="U597" s="21">
        <f t="shared" si="33"/>
        <v>27209.600000000002</v>
      </c>
    </row>
    <row r="598" spans="1:21" ht="12" customHeight="1" x14ac:dyDescent="0.35">
      <c r="A598" s="59" t="s">
        <v>798</v>
      </c>
      <c r="B598" s="59"/>
      <c r="C598" s="59"/>
      <c r="D598" s="59"/>
      <c r="E598" s="59"/>
      <c r="F598" s="59"/>
      <c r="G598" s="59"/>
      <c r="H598" s="59"/>
      <c r="I598" s="59"/>
      <c r="J598" s="59"/>
      <c r="K598" s="59"/>
      <c r="L598" s="59"/>
      <c r="M598" s="59"/>
      <c r="N598" s="59"/>
      <c r="O598" s="59"/>
      <c r="P598" s="59"/>
      <c r="Q598" s="59"/>
      <c r="R598" s="59"/>
      <c r="S598" s="59"/>
      <c r="T598" s="59"/>
      <c r="U598" s="59"/>
    </row>
    <row r="599" spans="1:21" ht="15" customHeight="1" x14ac:dyDescent="0.35">
      <c r="A599" s="14" t="s">
        <v>798</v>
      </c>
      <c r="B599" s="15" t="s">
        <v>799</v>
      </c>
      <c r="C599" s="16" t="s">
        <v>219</v>
      </c>
      <c r="D599" s="17">
        <v>0.44187500000000002</v>
      </c>
      <c r="E599" s="67" t="s">
        <v>149</v>
      </c>
      <c r="F599" s="68" t="str">
        <f>IFERROR(VLOOKUP(E599,PROVEEDORES!$A$3:$G$42,2,0),"")</f>
        <v>CARNES Y LACTEOS</v>
      </c>
      <c r="G599" s="69" t="str">
        <f>IFERROR(VLOOKUP(E599,PROVEEDORES!$A$3:$G$42,4,0),"")</f>
        <v>grivas@palaisgourmet.cl</v>
      </c>
      <c r="H599" s="18" t="str">
        <f>IFERROR(VLOOKUP(E599,PROVEEDORES!$A$3:$G$42,5,0),"")</f>
        <v>56942132129</v>
      </c>
      <c r="I599" s="19">
        <v>2520</v>
      </c>
      <c r="J599" s="67" t="s">
        <v>35</v>
      </c>
      <c r="K599" s="68" t="str">
        <f>IFERROR(VLOOKUP(J599,PROVEEDORES!$A$3:$G$42,2,0),"")</f>
        <v>ABARROTES</v>
      </c>
      <c r="L599" s="69" t="str">
        <f>IFERROR(VLOOKUP(J599,PROVEEDORES!$A$3:$G$42,4,0),"")</f>
        <v>pagos@bidfood.cl,pmolina@bidfood.cl</v>
      </c>
      <c r="M599" s="18" t="str">
        <f>IFERROR(VLOOKUP(J599,PROVEEDORES!$A$3:$G$42,5,0),"")</f>
        <v>56225994444 - 56998038459</v>
      </c>
      <c r="N599" s="19">
        <v>3960</v>
      </c>
      <c r="O599" s="67"/>
      <c r="P599" s="68"/>
      <c r="Q599" s="69"/>
      <c r="R599" s="18"/>
      <c r="S599" s="19"/>
      <c r="T599" s="20">
        <f t="shared" ref="T599:T606" si="34">AVERAGE(I599,N599)</f>
        <v>3240</v>
      </c>
      <c r="U599" s="21">
        <f t="shared" ref="U599:U606" si="35">T599*(1+$B$2)</f>
        <v>3564.0000000000005</v>
      </c>
    </row>
    <row r="600" spans="1:21" ht="15" customHeight="1" x14ac:dyDescent="0.35">
      <c r="A600" s="6" t="s">
        <v>798</v>
      </c>
      <c r="B600" s="7" t="s">
        <v>800</v>
      </c>
      <c r="C600" s="8" t="s">
        <v>219</v>
      </c>
      <c r="D600" s="9">
        <v>0.39750000000000002</v>
      </c>
      <c r="E600" s="64" t="s">
        <v>149</v>
      </c>
      <c r="F600" s="65" t="str">
        <f>IFERROR(VLOOKUP(E600,PROVEEDORES!$A$3:$G$42,2,0),"")</f>
        <v>CARNES Y LACTEOS</v>
      </c>
      <c r="G600" s="66" t="str">
        <f>IFERROR(VLOOKUP(E600,PROVEEDORES!$A$3:$G$42,4,0),"")</f>
        <v>grivas@palaisgourmet.cl</v>
      </c>
      <c r="H600" s="10" t="str">
        <f>IFERROR(VLOOKUP(E600,PROVEEDORES!$A$3:$G$42,5,0),"")</f>
        <v>56942132129</v>
      </c>
      <c r="I600" s="11">
        <v>2520</v>
      </c>
      <c r="J600" s="64" t="s">
        <v>35</v>
      </c>
      <c r="K600" s="65" t="str">
        <f>IFERROR(VLOOKUP(J600,PROVEEDORES!$A$3:$G$42,2,0),"")</f>
        <v>ABARROTES</v>
      </c>
      <c r="L600" s="66" t="str">
        <f>IFERROR(VLOOKUP(J600,PROVEEDORES!$A$3:$G$42,4,0),"")</f>
        <v>pagos@bidfood.cl,pmolina@bidfood.cl</v>
      </c>
      <c r="M600" s="10" t="str">
        <f>IFERROR(VLOOKUP(J600,PROVEEDORES!$A$3:$G$42,5,0),"")</f>
        <v>56225994444 - 56998038459</v>
      </c>
      <c r="N600" s="11">
        <v>3314</v>
      </c>
      <c r="O600" s="64"/>
      <c r="P600" s="65"/>
      <c r="Q600" s="66"/>
      <c r="R600" s="10"/>
      <c r="S600" s="11"/>
      <c r="T600" s="12">
        <f t="shared" si="34"/>
        <v>2917</v>
      </c>
      <c r="U600" s="13">
        <f t="shared" si="35"/>
        <v>3208.7000000000003</v>
      </c>
    </row>
    <row r="601" spans="1:21" ht="15" customHeight="1" x14ac:dyDescent="0.35">
      <c r="A601" s="14" t="s">
        <v>798</v>
      </c>
      <c r="B601" s="15" t="s">
        <v>801</v>
      </c>
      <c r="C601" s="16" t="s">
        <v>219</v>
      </c>
      <c r="D601" s="17">
        <v>0.20749999999999999</v>
      </c>
      <c r="E601" s="67" t="s">
        <v>149</v>
      </c>
      <c r="F601" s="68" t="str">
        <f>IFERROR(VLOOKUP(E601,PROVEEDORES!$A$3:$G$42,2,0),"")</f>
        <v>CARNES Y LACTEOS</v>
      </c>
      <c r="G601" s="69" t="str">
        <f>IFERROR(VLOOKUP(E601,PROVEEDORES!$A$3:$G$42,4,0),"")</f>
        <v>grivas@palaisgourmet.cl</v>
      </c>
      <c r="H601" s="18" t="str">
        <f>IFERROR(VLOOKUP(E601,PROVEEDORES!$A$3:$G$42,5,0),"")</f>
        <v>56942132129</v>
      </c>
      <c r="I601" s="19">
        <v>5820</v>
      </c>
      <c r="J601" s="67" t="s">
        <v>35</v>
      </c>
      <c r="K601" s="68" t="str">
        <f>IFERROR(VLOOKUP(J601,PROVEEDORES!$A$3:$G$42,2,0),"")</f>
        <v>ABARROTES</v>
      </c>
      <c r="L601" s="69" t="str">
        <f>IFERROR(VLOOKUP(J601,PROVEEDORES!$A$3:$G$42,4,0),"")</f>
        <v>pagos@bidfood.cl,pmolina@bidfood.cl</v>
      </c>
      <c r="M601" s="18" t="str">
        <f>IFERROR(VLOOKUP(J601,PROVEEDORES!$A$3:$G$42,5,0),"")</f>
        <v>56225994444 - 56998038459</v>
      </c>
      <c r="N601" s="19">
        <v>9015</v>
      </c>
      <c r="O601" s="67"/>
      <c r="P601" s="68"/>
      <c r="Q601" s="69"/>
      <c r="R601" s="18"/>
      <c r="S601" s="19"/>
      <c r="T601" s="20">
        <f t="shared" si="34"/>
        <v>7417.5</v>
      </c>
      <c r="U601" s="21">
        <f t="shared" si="35"/>
        <v>8159.2500000000009</v>
      </c>
    </row>
    <row r="602" spans="1:21" ht="15" customHeight="1" x14ac:dyDescent="0.35">
      <c r="A602" s="6" t="s">
        <v>798</v>
      </c>
      <c r="B602" s="7" t="s">
        <v>802</v>
      </c>
      <c r="C602" s="8" t="s">
        <v>239</v>
      </c>
      <c r="D602" s="9">
        <v>1.5</v>
      </c>
      <c r="E602" s="64" t="s">
        <v>149</v>
      </c>
      <c r="F602" s="65" t="str">
        <f>IFERROR(VLOOKUP(E602,PROVEEDORES!$A$3:$G$42,2,0),"")</f>
        <v>CARNES Y LACTEOS</v>
      </c>
      <c r="G602" s="66" t="str">
        <f>IFERROR(VLOOKUP(E602,PROVEEDORES!$A$3:$G$42,4,0),"")</f>
        <v>grivas@palaisgourmet.cl</v>
      </c>
      <c r="H602" s="10" t="str">
        <f>IFERROR(VLOOKUP(E602,PROVEEDORES!$A$3:$G$42,5,0),"")</f>
        <v>56942132129</v>
      </c>
      <c r="I602" s="11">
        <v>3218</v>
      </c>
      <c r="J602" s="64" t="s">
        <v>35</v>
      </c>
      <c r="K602" s="65" t="str">
        <f>IFERROR(VLOOKUP(J602,PROVEEDORES!$A$3:$G$42,2,0),"")</f>
        <v>ABARROTES</v>
      </c>
      <c r="L602" s="66" t="str">
        <f>IFERROR(VLOOKUP(J602,PROVEEDORES!$A$3:$G$42,4,0),"")</f>
        <v>pagos@bidfood.cl,pmolina@bidfood.cl</v>
      </c>
      <c r="M602" s="10" t="str">
        <f>IFERROR(VLOOKUP(J602,PROVEEDORES!$A$3:$G$42,5,0),"")</f>
        <v>56225994444 - 56998038459</v>
      </c>
      <c r="N602" s="11">
        <v>1229</v>
      </c>
      <c r="O602" s="64"/>
      <c r="P602" s="65"/>
      <c r="Q602" s="66"/>
      <c r="R602" s="10"/>
      <c r="S602" s="11"/>
      <c r="T602" s="12">
        <f t="shared" si="34"/>
        <v>2223.5</v>
      </c>
      <c r="U602" s="13">
        <f t="shared" si="35"/>
        <v>2445.8500000000004</v>
      </c>
    </row>
    <row r="603" spans="1:21" ht="15" customHeight="1" x14ac:dyDescent="0.35">
      <c r="A603" s="14" t="s">
        <v>798</v>
      </c>
      <c r="B603" s="15" t="s">
        <v>803</v>
      </c>
      <c r="C603" s="16" t="s">
        <v>219</v>
      </c>
      <c r="D603" s="17">
        <v>1.155</v>
      </c>
      <c r="E603" s="67" t="s">
        <v>149</v>
      </c>
      <c r="F603" s="68" t="str">
        <f>IFERROR(VLOOKUP(E603,PROVEEDORES!$A$3:$G$42,2,0),"")</f>
        <v>CARNES Y LACTEOS</v>
      </c>
      <c r="G603" s="69" t="str">
        <f>IFERROR(VLOOKUP(E603,PROVEEDORES!$A$3:$G$42,4,0),"")</f>
        <v>grivas@palaisgourmet.cl</v>
      </c>
      <c r="H603" s="18" t="str">
        <f>IFERROR(VLOOKUP(E603,PROVEEDORES!$A$3:$G$42,5,0),"")</f>
        <v>56942132129</v>
      </c>
      <c r="I603" s="19">
        <v>4320</v>
      </c>
      <c r="J603" s="67" t="s">
        <v>35</v>
      </c>
      <c r="K603" s="68" t="str">
        <f>IFERROR(VLOOKUP(J603,PROVEEDORES!$A$3:$G$42,2,0),"")</f>
        <v>ABARROTES</v>
      </c>
      <c r="L603" s="69" t="str">
        <f>IFERROR(VLOOKUP(J603,PROVEEDORES!$A$3:$G$42,4,0),"")</f>
        <v>pagos@bidfood.cl,pmolina@bidfood.cl</v>
      </c>
      <c r="M603" s="18" t="str">
        <f>IFERROR(VLOOKUP(J603,PROVEEDORES!$A$3:$G$42,5,0),"")</f>
        <v>56225994444 - 56998038459</v>
      </c>
      <c r="N603" s="19">
        <v>7476</v>
      </c>
      <c r="O603" s="67"/>
      <c r="P603" s="68"/>
      <c r="Q603" s="69"/>
      <c r="R603" s="18"/>
      <c r="S603" s="19"/>
      <c r="T603" s="20">
        <f t="shared" si="34"/>
        <v>5898</v>
      </c>
      <c r="U603" s="21">
        <f t="shared" si="35"/>
        <v>6487.8</v>
      </c>
    </row>
    <row r="604" spans="1:21" ht="15" customHeight="1" x14ac:dyDescent="0.35">
      <c r="A604" s="6" t="s">
        <v>798</v>
      </c>
      <c r="B604" s="7" t="s">
        <v>804</v>
      </c>
      <c r="C604" s="8" t="s">
        <v>219</v>
      </c>
      <c r="D604" s="9">
        <v>0.25124999999999997</v>
      </c>
      <c r="E604" s="64" t="s">
        <v>149</v>
      </c>
      <c r="F604" s="65" t="str">
        <f>IFERROR(VLOOKUP(E604,PROVEEDORES!$A$3:$G$42,2,0),"")</f>
        <v>CARNES Y LACTEOS</v>
      </c>
      <c r="G604" s="66" t="str">
        <f>IFERROR(VLOOKUP(E604,PROVEEDORES!$A$3:$G$42,4,0),"")</f>
        <v>grivas@palaisgourmet.cl</v>
      </c>
      <c r="H604" s="10" t="str">
        <f>IFERROR(VLOOKUP(E604,PROVEEDORES!$A$3:$G$42,5,0),"")</f>
        <v>56942132129</v>
      </c>
      <c r="I604" s="11">
        <v>5370</v>
      </c>
      <c r="J604" s="64" t="s">
        <v>35</v>
      </c>
      <c r="K604" s="65" t="str">
        <f>IFERROR(VLOOKUP(J604,PROVEEDORES!$A$3:$G$42,2,0),"")</f>
        <v>ABARROTES</v>
      </c>
      <c r="L604" s="66" t="str">
        <f>IFERROR(VLOOKUP(J604,PROVEEDORES!$A$3:$G$42,4,0),"")</f>
        <v>pagos@bidfood.cl,pmolina@bidfood.cl</v>
      </c>
      <c r="M604" s="10" t="str">
        <f>IFERROR(VLOOKUP(J604,PROVEEDORES!$A$3:$G$42,5,0),"")</f>
        <v>56225994444 - 56998038459</v>
      </c>
      <c r="N604" s="11">
        <v>3026</v>
      </c>
      <c r="O604" s="64"/>
      <c r="P604" s="65"/>
      <c r="Q604" s="66"/>
      <c r="R604" s="10"/>
      <c r="S604" s="11"/>
      <c r="T604" s="12">
        <f t="shared" si="34"/>
        <v>4198</v>
      </c>
      <c r="U604" s="13">
        <f t="shared" si="35"/>
        <v>4617.8</v>
      </c>
    </row>
    <row r="605" spans="1:21" ht="15" customHeight="1" x14ac:dyDescent="0.35">
      <c r="A605" s="14" t="s">
        <v>798</v>
      </c>
      <c r="B605" s="15" t="s">
        <v>805</v>
      </c>
      <c r="C605" s="16" t="s">
        <v>219</v>
      </c>
      <c r="D605" s="17">
        <v>1.3187500000000001</v>
      </c>
      <c r="E605" s="67" t="s">
        <v>149</v>
      </c>
      <c r="F605" s="68" t="str">
        <f>IFERROR(VLOOKUP(E605,PROVEEDORES!$A$3:$G$42,2,0),"")</f>
        <v>CARNES Y LACTEOS</v>
      </c>
      <c r="G605" s="69" t="str">
        <f>IFERROR(VLOOKUP(E605,PROVEEDORES!$A$3:$G$42,4,0),"")</f>
        <v>grivas@palaisgourmet.cl</v>
      </c>
      <c r="H605" s="18" t="str">
        <f>IFERROR(VLOOKUP(E605,PROVEEDORES!$A$3:$G$42,5,0),"")</f>
        <v>56942132129</v>
      </c>
      <c r="I605" s="19">
        <v>2997</v>
      </c>
      <c r="J605" s="67" t="s">
        <v>35</v>
      </c>
      <c r="K605" s="68" t="str">
        <f>IFERROR(VLOOKUP(J605,PROVEEDORES!$A$3:$G$42,2,0),"")</f>
        <v>ABARROTES</v>
      </c>
      <c r="L605" s="69" t="str">
        <f>IFERROR(VLOOKUP(J605,PROVEEDORES!$A$3:$G$42,4,0),"")</f>
        <v>pagos@bidfood.cl,pmolina@bidfood.cl</v>
      </c>
      <c r="M605" s="18" t="str">
        <f>IFERROR(VLOOKUP(J605,PROVEEDORES!$A$3:$G$42,5,0),"")</f>
        <v>56225994444 - 56998038459</v>
      </c>
      <c r="N605" s="19">
        <v>2862</v>
      </c>
      <c r="O605" s="67"/>
      <c r="P605" s="68"/>
      <c r="Q605" s="69"/>
      <c r="R605" s="18"/>
      <c r="S605" s="19"/>
      <c r="T605" s="20">
        <f t="shared" si="34"/>
        <v>2929.5</v>
      </c>
      <c r="U605" s="21">
        <f t="shared" si="35"/>
        <v>3222.4500000000003</v>
      </c>
    </row>
    <row r="606" spans="1:21" ht="15" customHeight="1" x14ac:dyDescent="0.35">
      <c r="A606" s="6" t="s">
        <v>798</v>
      </c>
      <c r="B606" s="7" t="s">
        <v>806</v>
      </c>
      <c r="C606" s="8" t="s">
        <v>219</v>
      </c>
      <c r="D606" s="9">
        <v>0.4375</v>
      </c>
      <c r="E606" s="64" t="s">
        <v>149</v>
      </c>
      <c r="F606" s="65" t="str">
        <f>IFERROR(VLOOKUP(E606,PROVEEDORES!$A$3:$G$42,2,0),"")</f>
        <v>CARNES Y LACTEOS</v>
      </c>
      <c r="G606" s="66" t="str">
        <f>IFERROR(VLOOKUP(E606,PROVEEDORES!$A$3:$G$42,4,0),"")</f>
        <v>grivas@palaisgourmet.cl</v>
      </c>
      <c r="H606" s="10" t="str">
        <f>IFERROR(VLOOKUP(E606,PROVEEDORES!$A$3:$G$42,5,0),"")</f>
        <v>56942132129</v>
      </c>
      <c r="I606" s="11">
        <v>3870</v>
      </c>
      <c r="J606" s="64" t="s">
        <v>35</v>
      </c>
      <c r="K606" s="65" t="str">
        <f>IFERROR(VLOOKUP(J606,PROVEEDORES!$A$3:$G$42,2,0),"")</f>
        <v>ABARROTES</v>
      </c>
      <c r="L606" s="66" t="str">
        <f>IFERROR(VLOOKUP(J606,PROVEEDORES!$A$3:$G$42,4,0),"")</f>
        <v>pagos@bidfood.cl,pmolina@bidfood.cl</v>
      </c>
      <c r="M606" s="10" t="str">
        <f>IFERROR(VLOOKUP(J606,PROVEEDORES!$A$3:$G$42,5,0),"")</f>
        <v>56225994444 - 56998038459</v>
      </c>
      <c r="N606" s="11">
        <v>4752</v>
      </c>
      <c r="O606" s="64"/>
      <c r="P606" s="65"/>
      <c r="Q606" s="66"/>
      <c r="R606" s="10"/>
      <c r="S606" s="11"/>
      <c r="T606" s="12">
        <f t="shared" si="34"/>
        <v>4311</v>
      </c>
      <c r="U606" s="13">
        <f t="shared" si="35"/>
        <v>4742.1000000000004</v>
      </c>
    </row>
    <row r="607" spans="1:21" ht="12" customHeight="1" x14ac:dyDescent="0.35">
      <c r="A607" s="59" t="s">
        <v>807</v>
      </c>
      <c r="B607" s="59"/>
      <c r="C607" s="59"/>
      <c r="D607" s="59"/>
      <c r="E607" s="59"/>
      <c r="F607" s="59"/>
      <c r="G607" s="59"/>
      <c r="H607" s="59"/>
      <c r="I607" s="59"/>
      <c r="J607" s="59"/>
      <c r="K607" s="59"/>
      <c r="L607" s="59"/>
      <c r="M607" s="59"/>
      <c r="N607" s="59"/>
      <c r="O607" s="59"/>
      <c r="P607" s="59"/>
      <c r="Q607" s="59"/>
      <c r="R607" s="59"/>
      <c r="S607" s="59"/>
      <c r="T607" s="59"/>
      <c r="U607" s="59"/>
    </row>
    <row r="608" spans="1:21" ht="15" customHeight="1" x14ac:dyDescent="0.35">
      <c r="A608" s="6" t="s">
        <v>807</v>
      </c>
      <c r="B608" s="7" t="s">
        <v>808</v>
      </c>
      <c r="C608" s="8" t="s">
        <v>239</v>
      </c>
      <c r="D608" s="9">
        <v>2</v>
      </c>
      <c r="E608" s="64" t="s">
        <v>35</v>
      </c>
      <c r="F608" s="65" t="str">
        <f>IFERROR(VLOOKUP(E608,PROVEEDORES!$A$3:$G$42,2,0),"")</f>
        <v>ABARROTES</v>
      </c>
      <c r="G608" s="66" t="str">
        <f>IFERROR(VLOOKUP(E608,PROVEEDORES!$A$3:$G$42,4,0),"")</f>
        <v>pagos@bidfood.cl,pmolina@bidfood.cl</v>
      </c>
      <c r="H608" s="10" t="str">
        <f>IFERROR(VLOOKUP(E608,PROVEEDORES!$A$3:$G$42,5,0),"")</f>
        <v>56225994444 - 56998038459</v>
      </c>
      <c r="I608" s="11">
        <v>4576</v>
      </c>
      <c r="J608" s="64" t="s">
        <v>105</v>
      </c>
      <c r="K608" s="65" t="str">
        <f>IFERROR(VLOOKUP(J608,PROVEEDORES!$A$3:$G$42,2,0),"")</f>
        <v>ESPECIES</v>
      </c>
      <c r="L608" s="66" t="str">
        <f>IFERROR(VLOOKUP(J608,PROVEEDORES!$A$3:$G$42,4,0),"")</f>
        <v>chef@gourmetselect.cl,contabilidad@gourmetselect.cl,pedidos@gourmetselect.cl,info@gourmetselect.cl</v>
      </c>
      <c r="M608" s="10" t="str">
        <f>IFERROR(VLOOKUP(J608,PROVEEDORES!$A$3:$G$42,5,0),"")</f>
        <v>56944921093</v>
      </c>
      <c r="N608" s="11">
        <v>4974</v>
      </c>
      <c r="O608" s="64" t="s">
        <v>41</v>
      </c>
      <c r="P608" s="65" t="str">
        <f>IFERROR(VLOOKUP(O608,PROVEEDORES!$A$3:$G$42,2,0),"")</f>
        <v>FRUTAS Y VERDURAS</v>
      </c>
      <c r="Q608" s="66" t="str">
        <f>IFERROR(VLOOKUP(O608,PROVEEDORES!$A$3:$G$42,4,0),"")</f>
        <v>caseritaencasa@gmail.com</v>
      </c>
      <c r="R608" s="10" t="str">
        <f>IFERROR(VLOOKUP(O608,PROVEEDORES!$A$3:$G$42,5,0),"")</f>
        <v>56952069703</v>
      </c>
      <c r="S608" s="11">
        <v>287</v>
      </c>
      <c r="T608" s="12">
        <f>AVERAGE(I608,N608,S608)</f>
        <v>3279</v>
      </c>
      <c r="U608" s="13">
        <f>T608*(1+$B$2)</f>
        <v>3606.9</v>
      </c>
    </row>
    <row r="609" spans="1:21" ht="15" customHeight="1" x14ac:dyDescent="0.35">
      <c r="A609" s="14" t="s">
        <v>807</v>
      </c>
      <c r="B609" s="15" t="s">
        <v>809</v>
      </c>
      <c r="C609" s="16" t="s">
        <v>239</v>
      </c>
      <c r="D609" s="17">
        <v>6.9</v>
      </c>
      <c r="E609" s="67" t="s">
        <v>35</v>
      </c>
      <c r="F609" s="68" t="str">
        <f>IFERROR(VLOOKUP(E609,PROVEEDORES!$A$3:$G$42,2,0),"")</f>
        <v>ABARROTES</v>
      </c>
      <c r="G609" s="69" t="str">
        <f>IFERROR(VLOOKUP(E609,PROVEEDORES!$A$3:$G$42,4,0),"")</f>
        <v>pagos@bidfood.cl,pmolina@bidfood.cl</v>
      </c>
      <c r="H609" s="18" t="str">
        <f>IFERROR(VLOOKUP(E609,PROVEEDORES!$A$3:$G$42,5,0),"")</f>
        <v>56225994444 - 56998038459</v>
      </c>
      <c r="I609" s="19">
        <v>46</v>
      </c>
      <c r="J609" s="67" t="s">
        <v>105</v>
      </c>
      <c r="K609" s="68" t="str">
        <f>IFERROR(VLOOKUP(J609,PROVEEDORES!$A$3:$G$42,2,0),"")</f>
        <v>ESPECIES</v>
      </c>
      <c r="L609" s="69" t="str">
        <f>IFERROR(VLOOKUP(J609,PROVEEDORES!$A$3:$G$42,4,0),"")</f>
        <v>chef@gourmetselect.cl,contabilidad@gourmetselect.cl,pedidos@gourmetselect.cl,info@gourmetselect.cl</v>
      </c>
      <c r="M609" s="18" t="str">
        <f>IFERROR(VLOOKUP(J609,PROVEEDORES!$A$3:$G$42,5,0),"")</f>
        <v>56944921093</v>
      </c>
      <c r="N609" s="19">
        <v>74</v>
      </c>
      <c r="O609" s="67" t="s">
        <v>41</v>
      </c>
      <c r="P609" s="68" t="str">
        <f>IFERROR(VLOOKUP(O609,PROVEEDORES!$A$3:$G$42,2,0),"")</f>
        <v>FRUTAS Y VERDURAS</v>
      </c>
      <c r="Q609" s="69" t="str">
        <f>IFERROR(VLOOKUP(O609,PROVEEDORES!$A$3:$G$42,4,0),"")</f>
        <v>caseritaencasa@gmail.com</v>
      </c>
      <c r="R609" s="18" t="str">
        <f>IFERROR(VLOOKUP(O609,PROVEEDORES!$A$3:$G$42,5,0),"")</f>
        <v>56952069703</v>
      </c>
      <c r="S609" s="19">
        <v>88</v>
      </c>
      <c r="T609" s="20">
        <f>AVERAGE(I609,N609,S609)</f>
        <v>69.333333333333329</v>
      </c>
      <c r="U609" s="21">
        <f>T609*(1+$B$2)</f>
        <v>76.266666666666666</v>
      </c>
    </row>
    <row r="610" spans="1:21" ht="15" customHeight="1" x14ac:dyDescent="0.35">
      <c r="A610" s="6" t="s">
        <v>807</v>
      </c>
      <c r="B610" s="7" t="s">
        <v>810</v>
      </c>
      <c r="C610" s="8" t="s">
        <v>219</v>
      </c>
      <c r="D610" s="9">
        <v>5.0000000000000001E-3</v>
      </c>
      <c r="E610" s="64" t="s">
        <v>35</v>
      </c>
      <c r="F610" s="65" t="str">
        <f>IFERROR(VLOOKUP(E610,PROVEEDORES!$A$3:$G$42,2,0),"")</f>
        <v>ABARROTES</v>
      </c>
      <c r="G610" s="66" t="str">
        <f>IFERROR(VLOOKUP(E610,PROVEEDORES!$A$3:$G$42,4,0),"")</f>
        <v>pagos@bidfood.cl,pmolina@bidfood.cl</v>
      </c>
      <c r="H610" s="10" t="str">
        <f>IFERROR(VLOOKUP(E610,PROVEEDORES!$A$3:$G$42,5,0),"")</f>
        <v>56225994444 - 56998038459</v>
      </c>
      <c r="I610" s="11">
        <v>83950</v>
      </c>
      <c r="J610" s="64" t="s">
        <v>105</v>
      </c>
      <c r="K610" s="65" t="str">
        <f>IFERROR(VLOOKUP(J610,PROVEEDORES!$A$3:$G$42,2,0),"")</f>
        <v>ESPECIES</v>
      </c>
      <c r="L610" s="66" t="str">
        <f>IFERROR(VLOOKUP(J610,PROVEEDORES!$A$3:$G$42,4,0),"")</f>
        <v>chef@gourmetselect.cl,contabilidad@gourmetselect.cl,pedidos@gourmetselect.cl,info@gourmetselect.cl</v>
      </c>
      <c r="M610" s="10" t="str">
        <f>IFERROR(VLOOKUP(J610,PROVEEDORES!$A$3:$G$42,5,0),"")</f>
        <v>56944921093</v>
      </c>
      <c r="N610" s="11">
        <v>30054</v>
      </c>
      <c r="O610" s="64" t="s">
        <v>41</v>
      </c>
      <c r="P610" s="65" t="str">
        <f>IFERROR(VLOOKUP(O610,PROVEEDORES!$A$3:$G$42,2,0),"")</f>
        <v>FRUTAS Y VERDURAS</v>
      </c>
      <c r="Q610" s="66" t="str">
        <f>IFERROR(VLOOKUP(O610,PROVEEDORES!$A$3:$G$42,4,0),"")</f>
        <v>caseritaencasa@gmail.com</v>
      </c>
      <c r="R610" s="10" t="str">
        <f>IFERROR(VLOOKUP(O610,PROVEEDORES!$A$3:$G$42,5,0),"")</f>
        <v>56952069703</v>
      </c>
      <c r="S610" s="11">
        <v>138988</v>
      </c>
      <c r="T610" s="12">
        <f>AVERAGE(I610,N610,S610)</f>
        <v>84330.666666666672</v>
      </c>
      <c r="U610" s="13">
        <f>T610*(1+$B$2)</f>
        <v>92763.733333333352</v>
      </c>
    </row>
    <row r="611" spans="1:21" ht="15" customHeight="1" x14ac:dyDescent="0.35">
      <c r="A611" s="14" t="s">
        <v>807</v>
      </c>
      <c r="B611" s="15" t="s">
        <v>811</v>
      </c>
      <c r="C611" s="16" t="s">
        <v>219</v>
      </c>
      <c r="D611" s="17">
        <v>1.175E-2</v>
      </c>
      <c r="E611" s="67" t="s">
        <v>35</v>
      </c>
      <c r="F611" s="68" t="str">
        <f>IFERROR(VLOOKUP(E611,PROVEEDORES!$A$3:$G$42,2,0),"")</f>
        <v>ABARROTES</v>
      </c>
      <c r="G611" s="69" t="str">
        <f>IFERROR(VLOOKUP(E611,PROVEEDORES!$A$3:$G$42,4,0),"")</f>
        <v>pagos@bidfood.cl,pmolina@bidfood.cl</v>
      </c>
      <c r="H611" s="18" t="str">
        <f>IFERROR(VLOOKUP(E611,PROVEEDORES!$A$3:$G$42,5,0),"")</f>
        <v>56225994444 - 56998038459</v>
      </c>
      <c r="I611" s="19">
        <v>4704</v>
      </c>
      <c r="J611" s="67" t="s">
        <v>105</v>
      </c>
      <c r="K611" s="68" t="str">
        <f>IFERROR(VLOOKUP(J611,PROVEEDORES!$A$3:$G$42,2,0),"")</f>
        <v>ESPECIES</v>
      </c>
      <c r="L611" s="69" t="str">
        <f>IFERROR(VLOOKUP(J611,PROVEEDORES!$A$3:$G$42,4,0),"")</f>
        <v>chef@gourmetselect.cl,contabilidad@gourmetselect.cl,pedidos@gourmetselect.cl,info@gourmetselect.cl</v>
      </c>
      <c r="M611" s="18" t="str">
        <f>IFERROR(VLOOKUP(J611,PROVEEDORES!$A$3:$G$42,5,0),"")</f>
        <v>56944921093</v>
      </c>
      <c r="N611" s="19">
        <v>4669</v>
      </c>
      <c r="O611" s="67" t="s">
        <v>41</v>
      </c>
      <c r="P611" s="68" t="str">
        <f>IFERROR(VLOOKUP(O611,PROVEEDORES!$A$3:$G$42,2,0),"")</f>
        <v>FRUTAS Y VERDURAS</v>
      </c>
      <c r="Q611" s="69" t="str">
        <f>IFERROR(VLOOKUP(O611,PROVEEDORES!$A$3:$G$42,4,0),"")</f>
        <v>caseritaencasa@gmail.com</v>
      </c>
      <c r="R611" s="18" t="str">
        <f>IFERROR(VLOOKUP(O611,PROVEEDORES!$A$3:$G$42,5,0),"")</f>
        <v>56952069703</v>
      </c>
      <c r="S611" s="19">
        <v>5532</v>
      </c>
      <c r="T611" s="20">
        <f>AVERAGE(I611,N611,S611)</f>
        <v>4968.333333333333</v>
      </c>
      <c r="U611" s="21">
        <f>T611*(1+$B$2)</f>
        <v>5465.166666666667</v>
      </c>
    </row>
    <row r="612" spans="1:21" ht="12" customHeight="1" x14ac:dyDescent="0.35">
      <c r="A612" s="59" t="s">
        <v>812</v>
      </c>
      <c r="B612" s="59"/>
      <c r="C612" s="59"/>
      <c r="D612" s="59"/>
      <c r="E612" s="59"/>
      <c r="F612" s="59"/>
      <c r="G612" s="59"/>
      <c r="H612" s="59"/>
      <c r="I612" s="59"/>
      <c r="J612" s="59"/>
      <c r="K612" s="59"/>
      <c r="L612" s="59"/>
      <c r="M612" s="59"/>
      <c r="N612" s="59"/>
      <c r="O612" s="59"/>
      <c r="P612" s="59"/>
      <c r="Q612" s="59"/>
      <c r="R612" s="59"/>
      <c r="S612" s="59"/>
      <c r="T612" s="59"/>
      <c r="U612" s="59"/>
    </row>
    <row r="613" spans="1:21" ht="15" customHeight="1" x14ac:dyDescent="0.35">
      <c r="A613" s="14" t="s">
        <v>812</v>
      </c>
      <c r="B613" s="15" t="s">
        <v>813</v>
      </c>
      <c r="C613" s="16" t="s">
        <v>219</v>
      </c>
      <c r="D613" s="17">
        <v>6.5000000000000002E-2</v>
      </c>
      <c r="E613" s="67" t="s">
        <v>160</v>
      </c>
      <c r="F613" s="68" t="str">
        <f>IFERROR(VLOOKUP(E613,PROVEEDORES!$A$3:$G$42,2,0),"")</f>
        <v>CARNES</v>
      </c>
      <c r="G613" s="69" t="str">
        <f>IFERROR(VLOOKUP(E613,PROVEEDORES!$A$3:$G$42,4,0),"")</f>
        <v>gr.ganaderareal@gmail.com</v>
      </c>
      <c r="H613" s="18" t="str">
        <f>IFERROR(VLOOKUP(E613,PROVEEDORES!$A$3:$G$42,5,0),"")</f>
        <v>56983670527</v>
      </c>
      <c r="I613" s="19">
        <v>22950</v>
      </c>
      <c r="J613" s="67" t="s">
        <v>149</v>
      </c>
      <c r="K613" s="68" t="str">
        <f>IFERROR(VLOOKUP(J613,PROVEEDORES!$A$3:$G$42,2,0),"")</f>
        <v>CARNES Y LACTEOS</v>
      </c>
      <c r="L613" s="69" t="str">
        <f>IFERROR(VLOOKUP(J613,PROVEEDORES!$A$3:$G$42,4,0),"")</f>
        <v>grivas@palaisgourmet.cl</v>
      </c>
      <c r="M613" s="18" t="str">
        <f>IFERROR(VLOOKUP(J613,PROVEEDORES!$A$3:$G$42,5,0),"")</f>
        <v>56942132129</v>
      </c>
      <c r="N613" s="19">
        <v>25911</v>
      </c>
      <c r="O613" s="67"/>
      <c r="P613" s="68"/>
      <c r="Q613" s="69"/>
      <c r="R613" s="18"/>
      <c r="S613" s="19"/>
      <c r="T613" s="20">
        <f t="shared" ref="T613:T635" si="36">AVERAGE(I613,N613)</f>
        <v>24430.5</v>
      </c>
      <c r="U613" s="21">
        <f t="shared" ref="U613:U635" si="37">T613*(1+$B$2)</f>
        <v>26873.550000000003</v>
      </c>
    </row>
    <row r="614" spans="1:21" ht="15" customHeight="1" x14ac:dyDescent="0.35">
      <c r="A614" s="6" t="s">
        <v>812</v>
      </c>
      <c r="B614" s="7" t="s">
        <v>814</v>
      </c>
      <c r="C614" s="8" t="s">
        <v>219</v>
      </c>
      <c r="D614" s="9">
        <v>0.11</v>
      </c>
      <c r="E614" s="64" t="s">
        <v>160</v>
      </c>
      <c r="F614" s="65" t="str">
        <f>IFERROR(VLOOKUP(E614,PROVEEDORES!$A$3:$G$42,2,0),"")</f>
        <v>CARNES</v>
      </c>
      <c r="G614" s="66" t="str">
        <f>IFERROR(VLOOKUP(E614,PROVEEDORES!$A$3:$G$42,4,0),"")</f>
        <v>gr.ganaderareal@gmail.com</v>
      </c>
      <c r="H614" s="10" t="str">
        <f>IFERROR(VLOOKUP(E614,PROVEEDORES!$A$3:$G$42,5,0),"")</f>
        <v>56983670527</v>
      </c>
      <c r="I614" s="11">
        <v>60000</v>
      </c>
      <c r="J614" s="64" t="s">
        <v>149</v>
      </c>
      <c r="K614" s="65" t="str">
        <f>IFERROR(VLOOKUP(J614,PROVEEDORES!$A$3:$G$42,2,0),"")</f>
        <v>CARNES Y LACTEOS</v>
      </c>
      <c r="L614" s="66" t="str">
        <f>IFERROR(VLOOKUP(J614,PROVEEDORES!$A$3:$G$42,4,0),"")</f>
        <v>grivas@palaisgourmet.cl</v>
      </c>
      <c r="M614" s="10" t="str">
        <f>IFERROR(VLOOKUP(J614,PROVEEDORES!$A$3:$G$42,5,0),"")</f>
        <v>56942132129</v>
      </c>
      <c r="N614" s="11">
        <v>15360</v>
      </c>
      <c r="O614" s="64"/>
      <c r="P614" s="65"/>
      <c r="Q614" s="66"/>
      <c r="R614" s="10"/>
      <c r="S614" s="11"/>
      <c r="T614" s="12">
        <f t="shared" si="36"/>
        <v>37680</v>
      </c>
      <c r="U614" s="13">
        <f t="shared" si="37"/>
        <v>41448</v>
      </c>
    </row>
    <row r="615" spans="1:21" ht="15" customHeight="1" x14ac:dyDescent="0.35">
      <c r="A615" s="14" t="s">
        <v>812</v>
      </c>
      <c r="B615" s="15" t="s">
        <v>815</v>
      </c>
      <c r="C615" s="16" t="s">
        <v>219</v>
      </c>
      <c r="D615" s="17">
        <v>0.05</v>
      </c>
      <c r="E615" s="67" t="s">
        <v>160</v>
      </c>
      <c r="F615" s="68" t="str">
        <f>IFERROR(VLOOKUP(E615,PROVEEDORES!$A$3:$G$42,2,0),"")</f>
        <v>CARNES</v>
      </c>
      <c r="G615" s="69" t="str">
        <f>IFERROR(VLOOKUP(E615,PROVEEDORES!$A$3:$G$42,4,0),"")</f>
        <v>gr.ganaderareal@gmail.com</v>
      </c>
      <c r="H615" s="18" t="str">
        <f>IFERROR(VLOOKUP(E615,PROVEEDORES!$A$3:$G$42,5,0),"")</f>
        <v>56983670527</v>
      </c>
      <c r="I615" s="19">
        <v>4893</v>
      </c>
      <c r="J615" s="67" t="s">
        <v>149</v>
      </c>
      <c r="K615" s="68" t="str">
        <f>IFERROR(VLOOKUP(J615,PROVEEDORES!$A$3:$G$42,2,0),"")</f>
        <v>CARNES Y LACTEOS</v>
      </c>
      <c r="L615" s="69" t="str">
        <f>IFERROR(VLOOKUP(J615,PROVEEDORES!$A$3:$G$42,4,0),"")</f>
        <v>grivas@palaisgourmet.cl</v>
      </c>
      <c r="M615" s="18" t="str">
        <f>IFERROR(VLOOKUP(J615,PROVEEDORES!$A$3:$G$42,5,0),"")</f>
        <v>56942132129</v>
      </c>
      <c r="N615" s="19">
        <v>7755</v>
      </c>
      <c r="O615" s="67"/>
      <c r="P615" s="68"/>
      <c r="Q615" s="69"/>
      <c r="R615" s="18"/>
      <c r="S615" s="19"/>
      <c r="T615" s="20">
        <f t="shared" si="36"/>
        <v>6324</v>
      </c>
      <c r="U615" s="21">
        <f t="shared" si="37"/>
        <v>6956.4000000000005</v>
      </c>
    </row>
    <row r="616" spans="1:21" ht="15" customHeight="1" x14ac:dyDescent="0.35">
      <c r="A616" s="6" t="s">
        <v>812</v>
      </c>
      <c r="B616" s="7" t="s">
        <v>816</v>
      </c>
      <c r="C616" s="8" t="s">
        <v>219</v>
      </c>
      <c r="D616" s="9">
        <v>7.4999999999999997E-2</v>
      </c>
      <c r="E616" s="64" t="s">
        <v>160</v>
      </c>
      <c r="F616" s="65" t="str">
        <f>IFERROR(VLOOKUP(E616,PROVEEDORES!$A$3:$G$42,2,0),"")</f>
        <v>CARNES</v>
      </c>
      <c r="G616" s="66" t="str">
        <f>IFERROR(VLOOKUP(E616,PROVEEDORES!$A$3:$G$42,4,0),"")</f>
        <v>gr.ganaderareal@gmail.com</v>
      </c>
      <c r="H616" s="10" t="str">
        <f>IFERROR(VLOOKUP(E616,PROVEEDORES!$A$3:$G$42,5,0),"")</f>
        <v>56983670527</v>
      </c>
      <c r="I616" s="11">
        <v>4893</v>
      </c>
      <c r="J616" s="64" t="s">
        <v>149</v>
      </c>
      <c r="K616" s="65" t="str">
        <f>IFERROR(VLOOKUP(J616,PROVEEDORES!$A$3:$G$42,2,0),"")</f>
        <v>CARNES Y LACTEOS</v>
      </c>
      <c r="L616" s="66" t="str">
        <f>IFERROR(VLOOKUP(J616,PROVEEDORES!$A$3:$G$42,4,0),"")</f>
        <v>grivas@palaisgourmet.cl</v>
      </c>
      <c r="M616" s="10" t="str">
        <f>IFERROR(VLOOKUP(J616,PROVEEDORES!$A$3:$G$42,5,0),"")</f>
        <v>56942132129</v>
      </c>
      <c r="N616" s="11">
        <v>2420</v>
      </c>
      <c r="O616" s="64"/>
      <c r="P616" s="65"/>
      <c r="Q616" s="66"/>
      <c r="R616" s="10"/>
      <c r="S616" s="11"/>
      <c r="T616" s="12">
        <f t="shared" si="36"/>
        <v>3656.5</v>
      </c>
      <c r="U616" s="13">
        <f t="shared" si="37"/>
        <v>4022.1500000000005</v>
      </c>
    </row>
    <row r="617" spans="1:21" ht="15" customHeight="1" x14ac:dyDescent="0.35">
      <c r="A617" s="14" t="s">
        <v>812</v>
      </c>
      <c r="B617" s="15" t="s">
        <v>817</v>
      </c>
      <c r="C617" s="16" t="s">
        <v>219</v>
      </c>
      <c r="D617" s="17">
        <v>7.4999999999999997E-2</v>
      </c>
      <c r="E617" s="67" t="s">
        <v>160</v>
      </c>
      <c r="F617" s="68" t="str">
        <f>IFERROR(VLOOKUP(E617,PROVEEDORES!$A$3:$G$42,2,0),"")</f>
        <v>CARNES</v>
      </c>
      <c r="G617" s="69" t="str">
        <f>IFERROR(VLOOKUP(E617,PROVEEDORES!$A$3:$G$42,4,0),"")</f>
        <v>gr.ganaderareal@gmail.com</v>
      </c>
      <c r="H617" s="18" t="str">
        <f>IFERROR(VLOOKUP(E617,PROVEEDORES!$A$3:$G$42,5,0),"")</f>
        <v>56983670527</v>
      </c>
      <c r="I617" s="19">
        <v>13470</v>
      </c>
      <c r="J617" s="67" t="s">
        <v>149</v>
      </c>
      <c r="K617" s="68" t="str">
        <f>IFERROR(VLOOKUP(J617,PROVEEDORES!$A$3:$G$42,2,0),"")</f>
        <v>CARNES Y LACTEOS</v>
      </c>
      <c r="L617" s="69" t="str">
        <f>IFERROR(VLOOKUP(J617,PROVEEDORES!$A$3:$G$42,4,0),"")</f>
        <v>grivas@palaisgourmet.cl</v>
      </c>
      <c r="M617" s="18" t="str">
        <f>IFERROR(VLOOKUP(J617,PROVEEDORES!$A$3:$G$42,5,0),"")</f>
        <v>56942132129</v>
      </c>
      <c r="N617" s="19">
        <v>20885</v>
      </c>
      <c r="O617" s="67"/>
      <c r="P617" s="68"/>
      <c r="Q617" s="69"/>
      <c r="R617" s="18"/>
      <c r="S617" s="19"/>
      <c r="T617" s="20">
        <f t="shared" si="36"/>
        <v>17177.5</v>
      </c>
      <c r="U617" s="21">
        <f t="shared" si="37"/>
        <v>18895.25</v>
      </c>
    </row>
    <row r="618" spans="1:21" ht="15" customHeight="1" x14ac:dyDescent="0.35">
      <c r="A618" s="6" t="s">
        <v>812</v>
      </c>
      <c r="B618" s="7" t="s">
        <v>818</v>
      </c>
      <c r="C618" s="8" t="s">
        <v>219</v>
      </c>
      <c r="D618" s="9">
        <v>0.25937500000000002</v>
      </c>
      <c r="E618" s="64" t="s">
        <v>160</v>
      </c>
      <c r="F618" s="65" t="str">
        <f>IFERROR(VLOOKUP(E618,PROVEEDORES!$A$3:$G$42,2,0),"")</f>
        <v>CARNES</v>
      </c>
      <c r="G618" s="66" t="str">
        <f>IFERROR(VLOOKUP(E618,PROVEEDORES!$A$3:$G$42,4,0),"")</f>
        <v>gr.ganaderareal@gmail.com</v>
      </c>
      <c r="H618" s="10" t="str">
        <f>IFERROR(VLOOKUP(E618,PROVEEDORES!$A$3:$G$42,5,0),"")</f>
        <v>56983670527</v>
      </c>
      <c r="I618" s="11">
        <v>18570</v>
      </c>
      <c r="J618" s="64" t="s">
        <v>149</v>
      </c>
      <c r="K618" s="65" t="str">
        <f>IFERROR(VLOOKUP(J618,PROVEEDORES!$A$3:$G$42,2,0),"")</f>
        <v>CARNES Y LACTEOS</v>
      </c>
      <c r="L618" s="66" t="str">
        <f>IFERROR(VLOOKUP(J618,PROVEEDORES!$A$3:$G$42,4,0),"")</f>
        <v>grivas@palaisgourmet.cl</v>
      </c>
      <c r="M618" s="10" t="str">
        <f>IFERROR(VLOOKUP(J618,PROVEEDORES!$A$3:$G$42,5,0),"")</f>
        <v>56942132129</v>
      </c>
      <c r="N618" s="11">
        <v>10603</v>
      </c>
      <c r="O618" s="64"/>
      <c r="P618" s="65"/>
      <c r="Q618" s="66"/>
      <c r="R618" s="10"/>
      <c r="S618" s="11"/>
      <c r="T618" s="12">
        <f t="shared" si="36"/>
        <v>14586.5</v>
      </c>
      <c r="U618" s="13">
        <f t="shared" si="37"/>
        <v>16045.150000000001</v>
      </c>
    </row>
    <row r="619" spans="1:21" ht="15" customHeight="1" x14ac:dyDescent="0.35">
      <c r="A619" s="14" t="s">
        <v>812</v>
      </c>
      <c r="B619" s="15" t="s">
        <v>819</v>
      </c>
      <c r="C619" s="16" t="s">
        <v>219</v>
      </c>
      <c r="D619" s="17">
        <v>0.43</v>
      </c>
      <c r="E619" s="67" t="s">
        <v>160</v>
      </c>
      <c r="F619" s="68" t="str">
        <f>IFERROR(VLOOKUP(E619,PROVEEDORES!$A$3:$G$42,2,0),"")</f>
        <v>CARNES</v>
      </c>
      <c r="G619" s="69" t="str">
        <f>IFERROR(VLOOKUP(E619,PROVEEDORES!$A$3:$G$42,4,0),"")</f>
        <v>gr.ganaderareal@gmail.com</v>
      </c>
      <c r="H619" s="18" t="str">
        <f>IFERROR(VLOOKUP(E619,PROVEEDORES!$A$3:$G$42,5,0),"")</f>
        <v>56983670527</v>
      </c>
      <c r="I619" s="19">
        <v>8820</v>
      </c>
      <c r="J619" s="67" t="s">
        <v>149</v>
      </c>
      <c r="K619" s="68" t="str">
        <f>IFERROR(VLOOKUP(J619,PROVEEDORES!$A$3:$G$42,2,0),"")</f>
        <v>CARNES Y LACTEOS</v>
      </c>
      <c r="L619" s="69" t="str">
        <f>IFERROR(VLOOKUP(J619,PROVEEDORES!$A$3:$G$42,4,0),"")</f>
        <v>grivas@palaisgourmet.cl</v>
      </c>
      <c r="M619" s="18" t="str">
        <f>IFERROR(VLOOKUP(J619,PROVEEDORES!$A$3:$G$42,5,0),"")</f>
        <v>56942132129</v>
      </c>
      <c r="N619" s="19">
        <v>11043</v>
      </c>
      <c r="O619" s="67"/>
      <c r="P619" s="68"/>
      <c r="Q619" s="69"/>
      <c r="R619" s="18"/>
      <c r="S619" s="19"/>
      <c r="T619" s="20">
        <f t="shared" si="36"/>
        <v>9931.5</v>
      </c>
      <c r="U619" s="21">
        <f t="shared" si="37"/>
        <v>10924.650000000001</v>
      </c>
    </row>
    <row r="620" spans="1:21" ht="15" customHeight="1" x14ac:dyDescent="0.35">
      <c r="A620" s="6" t="s">
        <v>812</v>
      </c>
      <c r="B620" s="7" t="s">
        <v>820</v>
      </c>
      <c r="C620" s="8" t="s">
        <v>219</v>
      </c>
      <c r="D620" s="9">
        <v>0.35</v>
      </c>
      <c r="E620" s="64" t="s">
        <v>160</v>
      </c>
      <c r="F620" s="65" t="str">
        <f>IFERROR(VLOOKUP(E620,PROVEEDORES!$A$3:$G$42,2,0),"")</f>
        <v>CARNES</v>
      </c>
      <c r="G620" s="66" t="str">
        <f>IFERROR(VLOOKUP(E620,PROVEEDORES!$A$3:$G$42,4,0),"")</f>
        <v>gr.ganaderareal@gmail.com</v>
      </c>
      <c r="H620" s="10" t="str">
        <f>IFERROR(VLOOKUP(E620,PROVEEDORES!$A$3:$G$42,5,0),"")</f>
        <v>56983670527</v>
      </c>
      <c r="I620" s="11">
        <v>14835</v>
      </c>
      <c r="J620" s="64" t="s">
        <v>149</v>
      </c>
      <c r="K620" s="65" t="str">
        <f>IFERROR(VLOOKUP(J620,PROVEEDORES!$A$3:$G$42,2,0),"")</f>
        <v>CARNES Y LACTEOS</v>
      </c>
      <c r="L620" s="66" t="str">
        <f>IFERROR(VLOOKUP(J620,PROVEEDORES!$A$3:$G$42,4,0),"")</f>
        <v>grivas@palaisgourmet.cl</v>
      </c>
      <c r="M620" s="10" t="str">
        <f>IFERROR(VLOOKUP(J620,PROVEEDORES!$A$3:$G$42,5,0),"")</f>
        <v>56942132129</v>
      </c>
      <c r="N620" s="11">
        <v>13010</v>
      </c>
      <c r="O620" s="64"/>
      <c r="P620" s="65"/>
      <c r="Q620" s="66"/>
      <c r="R620" s="10"/>
      <c r="S620" s="11"/>
      <c r="T620" s="12">
        <f t="shared" si="36"/>
        <v>13922.5</v>
      </c>
      <c r="U620" s="13">
        <f t="shared" si="37"/>
        <v>15314.750000000002</v>
      </c>
    </row>
    <row r="621" spans="1:21" ht="15" customHeight="1" x14ac:dyDescent="0.35">
      <c r="A621" s="14" t="s">
        <v>812</v>
      </c>
      <c r="B621" s="15" t="s">
        <v>821</v>
      </c>
      <c r="C621" s="16" t="s">
        <v>219</v>
      </c>
      <c r="D621" s="17">
        <v>0.1</v>
      </c>
      <c r="E621" s="67" t="s">
        <v>160</v>
      </c>
      <c r="F621" s="68" t="str">
        <f>IFERROR(VLOOKUP(E621,PROVEEDORES!$A$3:$G$42,2,0),"")</f>
        <v>CARNES</v>
      </c>
      <c r="G621" s="69" t="str">
        <f>IFERROR(VLOOKUP(E621,PROVEEDORES!$A$3:$G$42,4,0),"")</f>
        <v>gr.ganaderareal@gmail.com</v>
      </c>
      <c r="H621" s="18" t="str">
        <f>IFERROR(VLOOKUP(E621,PROVEEDORES!$A$3:$G$42,5,0),"")</f>
        <v>56983670527</v>
      </c>
      <c r="I621" s="19">
        <v>32997</v>
      </c>
      <c r="J621" s="67" t="s">
        <v>149</v>
      </c>
      <c r="K621" s="68" t="str">
        <f>IFERROR(VLOOKUP(J621,PROVEEDORES!$A$3:$G$42,2,0),"")</f>
        <v>CARNES Y LACTEOS</v>
      </c>
      <c r="L621" s="69" t="str">
        <f>IFERROR(VLOOKUP(J621,PROVEEDORES!$A$3:$G$42,4,0),"")</f>
        <v>grivas@palaisgourmet.cl</v>
      </c>
      <c r="M621" s="18" t="str">
        <f>IFERROR(VLOOKUP(J621,PROVEEDORES!$A$3:$G$42,5,0),"")</f>
        <v>56942132129</v>
      </c>
      <c r="N621" s="19">
        <v>52449</v>
      </c>
      <c r="O621" s="67"/>
      <c r="P621" s="68"/>
      <c r="Q621" s="69"/>
      <c r="R621" s="18"/>
      <c r="S621" s="19"/>
      <c r="T621" s="20">
        <f t="shared" si="36"/>
        <v>42723</v>
      </c>
      <c r="U621" s="21">
        <f t="shared" si="37"/>
        <v>46995.3</v>
      </c>
    </row>
    <row r="622" spans="1:21" ht="15" customHeight="1" x14ac:dyDescent="0.35">
      <c r="A622" s="6" t="s">
        <v>812</v>
      </c>
      <c r="B622" s="7" t="s">
        <v>822</v>
      </c>
      <c r="C622" s="8" t="s">
        <v>219</v>
      </c>
      <c r="D622" s="9">
        <v>0.15</v>
      </c>
      <c r="E622" s="64" t="s">
        <v>160</v>
      </c>
      <c r="F622" s="65" t="str">
        <f>IFERROR(VLOOKUP(E622,PROVEEDORES!$A$3:$G$42,2,0),"")</f>
        <v>CARNES</v>
      </c>
      <c r="G622" s="66" t="str">
        <f>IFERROR(VLOOKUP(E622,PROVEEDORES!$A$3:$G$42,4,0),"")</f>
        <v>gr.ganaderareal@gmail.com</v>
      </c>
      <c r="H622" s="10" t="str">
        <f>IFERROR(VLOOKUP(E622,PROVEEDORES!$A$3:$G$42,5,0),"")</f>
        <v>56983670527</v>
      </c>
      <c r="I622" s="11">
        <v>24270</v>
      </c>
      <c r="J622" s="64" t="s">
        <v>149</v>
      </c>
      <c r="K622" s="65" t="str">
        <f>IFERROR(VLOOKUP(J622,PROVEEDORES!$A$3:$G$42,2,0),"")</f>
        <v>CARNES Y LACTEOS</v>
      </c>
      <c r="L622" s="66" t="str">
        <f>IFERROR(VLOOKUP(J622,PROVEEDORES!$A$3:$G$42,4,0),"")</f>
        <v>grivas@palaisgourmet.cl</v>
      </c>
      <c r="M622" s="10" t="str">
        <f>IFERROR(VLOOKUP(J622,PROVEEDORES!$A$3:$G$42,5,0),"")</f>
        <v>56942132129</v>
      </c>
      <c r="N622" s="11">
        <v>25799</v>
      </c>
      <c r="O622" s="64"/>
      <c r="P622" s="65"/>
      <c r="Q622" s="66"/>
      <c r="R622" s="10"/>
      <c r="S622" s="11"/>
      <c r="T622" s="12">
        <f t="shared" si="36"/>
        <v>25034.5</v>
      </c>
      <c r="U622" s="13">
        <f t="shared" si="37"/>
        <v>27537.95</v>
      </c>
    </row>
    <row r="623" spans="1:21" ht="15" customHeight="1" x14ac:dyDescent="0.35">
      <c r="A623" s="14" t="s">
        <v>812</v>
      </c>
      <c r="B623" s="15" t="s">
        <v>823</v>
      </c>
      <c r="C623" s="16" t="s">
        <v>219</v>
      </c>
      <c r="D623" s="17">
        <v>0.125</v>
      </c>
      <c r="E623" s="67" t="s">
        <v>160</v>
      </c>
      <c r="F623" s="68" t="str">
        <f>IFERROR(VLOOKUP(E623,PROVEEDORES!$A$3:$G$42,2,0),"")</f>
        <v>CARNES</v>
      </c>
      <c r="G623" s="69" t="str">
        <f>IFERROR(VLOOKUP(E623,PROVEEDORES!$A$3:$G$42,4,0),"")</f>
        <v>gr.ganaderareal@gmail.com</v>
      </c>
      <c r="H623" s="18" t="str">
        <f>IFERROR(VLOOKUP(E623,PROVEEDORES!$A$3:$G$42,5,0),"")</f>
        <v>56983670527</v>
      </c>
      <c r="I623" s="19">
        <v>6570</v>
      </c>
      <c r="J623" s="67" t="s">
        <v>149</v>
      </c>
      <c r="K623" s="68" t="str">
        <f>IFERROR(VLOOKUP(J623,PROVEEDORES!$A$3:$G$42,2,0),"")</f>
        <v>CARNES Y LACTEOS</v>
      </c>
      <c r="L623" s="69" t="str">
        <f>IFERROR(VLOOKUP(J623,PROVEEDORES!$A$3:$G$42,4,0),"")</f>
        <v>grivas@palaisgourmet.cl</v>
      </c>
      <c r="M623" s="18" t="str">
        <f>IFERROR(VLOOKUP(J623,PROVEEDORES!$A$3:$G$42,5,0),"")</f>
        <v>56942132129</v>
      </c>
      <c r="N623" s="19">
        <v>9477</v>
      </c>
      <c r="O623" s="67"/>
      <c r="P623" s="68"/>
      <c r="Q623" s="69"/>
      <c r="R623" s="18"/>
      <c r="S623" s="19"/>
      <c r="T623" s="20">
        <f t="shared" si="36"/>
        <v>8023.5</v>
      </c>
      <c r="U623" s="21">
        <f t="shared" si="37"/>
        <v>8825.85</v>
      </c>
    </row>
    <row r="624" spans="1:21" ht="15" customHeight="1" x14ac:dyDescent="0.35">
      <c r="A624" s="6" t="s">
        <v>812</v>
      </c>
      <c r="B624" s="7" t="s">
        <v>824</v>
      </c>
      <c r="C624" s="8" t="s">
        <v>219</v>
      </c>
      <c r="D624" s="9">
        <v>0.96</v>
      </c>
      <c r="E624" s="64" t="s">
        <v>160</v>
      </c>
      <c r="F624" s="65" t="str">
        <f>IFERROR(VLOOKUP(E624,PROVEEDORES!$A$3:$G$42,2,0),"")</f>
        <v>CARNES</v>
      </c>
      <c r="G624" s="66" t="str">
        <f>IFERROR(VLOOKUP(E624,PROVEEDORES!$A$3:$G$42,4,0),"")</f>
        <v>gr.ganaderareal@gmail.com</v>
      </c>
      <c r="H624" s="10" t="str">
        <f>IFERROR(VLOOKUP(E624,PROVEEDORES!$A$3:$G$42,5,0),"")</f>
        <v>56983670527</v>
      </c>
      <c r="I624" s="11">
        <v>2520</v>
      </c>
      <c r="J624" s="64" t="s">
        <v>149</v>
      </c>
      <c r="K624" s="65" t="str">
        <f>IFERROR(VLOOKUP(J624,PROVEEDORES!$A$3:$G$42,2,0),"")</f>
        <v>CARNES Y LACTEOS</v>
      </c>
      <c r="L624" s="66" t="str">
        <f>IFERROR(VLOOKUP(J624,PROVEEDORES!$A$3:$G$42,4,0),"")</f>
        <v>grivas@palaisgourmet.cl</v>
      </c>
      <c r="M624" s="10" t="str">
        <f>IFERROR(VLOOKUP(J624,PROVEEDORES!$A$3:$G$42,5,0),"")</f>
        <v>56942132129</v>
      </c>
      <c r="N624" s="11">
        <v>3238</v>
      </c>
      <c r="O624" s="64"/>
      <c r="P624" s="65"/>
      <c r="Q624" s="66"/>
      <c r="R624" s="10"/>
      <c r="S624" s="11"/>
      <c r="T624" s="12">
        <f t="shared" si="36"/>
        <v>2879</v>
      </c>
      <c r="U624" s="13">
        <f t="shared" si="37"/>
        <v>3166.9</v>
      </c>
    </row>
    <row r="625" spans="1:21" ht="15" customHeight="1" x14ac:dyDescent="0.35">
      <c r="A625" s="14" t="s">
        <v>812</v>
      </c>
      <c r="B625" s="15" t="s">
        <v>825</v>
      </c>
      <c r="C625" s="16" t="s">
        <v>219</v>
      </c>
      <c r="D625" s="17">
        <v>0.16500000000000001</v>
      </c>
      <c r="E625" s="67" t="s">
        <v>160</v>
      </c>
      <c r="F625" s="68" t="str">
        <f>IFERROR(VLOOKUP(E625,PROVEEDORES!$A$3:$G$42,2,0),"")</f>
        <v>CARNES</v>
      </c>
      <c r="G625" s="69" t="str">
        <f>IFERROR(VLOOKUP(E625,PROVEEDORES!$A$3:$G$42,4,0),"")</f>
        <v>gr.ganaderareal@gmail.com</v>
      </c>
      <c r="H625" s="18" t="str">
        <f>IFERROR(VLOOKUP(E625,PROVEEDORES!$A$3:$G$42,5,0),"")</f>
        <v>56983670527</v>
      </c>
      <c r="I625" s="19">
        <v>9270</v>
      </c>
      <c r="J625" s="67" t="s">
        <v>149</v>
      </c>
      <c r="K625" s="68" t="str">
        <f>IFERROR(VLOOKUP(J625,PROVEEDORES!$A$3:$G$42,2,0),"")</f>
        <v>CARNES Y LACTEOS</v>
      </c>
      <c r="L625" s="69" t="str">
        <f>IFERROR(VLOOKUP(J625,PROVEEDORES!$A$3:$G$42,4,0),"")</f>
        <v>grivas@palaisgourmet.cl</v>
      </c>
      <c r="M625" s="18" t="str">
        <f>IFERROR(VLOOKUP(J625,PROVEEDORES!$A$3:$G$42,5,0),"")</f>
        <v>56942132129</v>
      </c>
      <c r="N625" s="19">
        <v>3486</v>
      </c>
      <c r="O625" s="67"/>
      <c r="P625" s="68"/>
      <c r="Q625" s="69"/>
      <c r="R625" s="18"/>
      <c r="S625" s="19"/>
      <c r="T625" s="20">
        <f t="shared" si="36"/>
        <v>6378</v>
      </c>
      <c r="U625" s="21">
        <f t="shared" si="37"/>
        <v>7015.8</v>
      </c>
    </row>
    <row r="626" spans="1:21" ht="15" customHeight="1" x14ac:dyDescent="0.35">
      <c r="A626" s="6" t="s">
        <v>812</v>
      </c>
      <c r="B626" s="7" t="s">
        <v>826</v>
      </c>
      <c r="C626" s="8" t="s">
        <v>219</v>
      </c>
      <c r="D626" s="9">
        <v>0.48125000000000001</v>
      </c>
      <c r="E626" s="64" t="s">
        <v>160</v>
      </c>
      <c r="F626" s="65" t="str">
        <f>IFERROR(VLOOKUP(E626,PROVEEDORES!$A$3:$G$42,2,0),"")</f>
        <v>CARNES</v>
      </c>
      <c r="G626" s="66" t="str">
        <f>IFERROR(VLOOKUP(E626,PROVEEDORES!$A$3:$G$42,4,0),"")</f>
        <v>gr.ganaderareal@gmail.com</v>
      </c>
      <c r="H626" s="10" t="str">
        <f>IFERROR(VLOOKUP(E626,PROVEEDORES!$A$3:$G$42,5,0),"")</f>
        <v>56983670527</v>
      </c>
      <c r="I626" s="11">
        <v>17970</v>
      </c>
      <c r="J626" s="64" t="s">
        <v>149</v>
      </c>
      <c r="K626" s="65" t="str">
        <f>IFERROR(VLOOKUP(J626,PROVEEDORES!$A$3:$G$42,2,0),"")</f>
        <v>CARNES Y LACTEOS</v>
      </c>
      <c r="L626" s="66" t="str">
        <f>IFERROR(VLOOKUP(J626,PROVEEDORES!$A$3:$G$42,4,0),"")</f>
        <v>grivas@palaisgourmet.cl</v>
      </c>
      <c r="M626" s="10" t="str">
        <f>IFERROR(VLOOKUP(J626,PROVEEDORES!$A$3:$G$42,5,0),"")</f>
        <v>56942132129</v>
      </c>
      <c r="N626" s="11">
        <v>27836</v>
      </c>
      <c r="O626" s="64"/>
      <c r="P626" s="65"/>
      <c r="Q626" s="66"/>
      <c r="R626" s="10"/>
      <c r="S626" s="11"/>
      <c r="T626" s="12">
        <f t="shared" si="36"/>
        <v>22903</v>
      </c>
      <c r="U626" s="13">
        <f t="shared" si="37"/>
        <v>25193.300000000003</v>
      </c>
    </row>
    <row r="627" spans="1:21" ht="15" customHeight="1" x14ac:dyDescent="0.35">
      <c r="A627" s="14" t="s">
        <v>812</v>
      </c>
      <c r="B627" s="15" t="s">
        <v>827</v>
      </c>
      <c r="C627" s="16" t="s">
        <v>219</v>
      </c>
      <c r="D627" s="17">
        <v>0.21</v>
      </c>
      <c r="E627" s="67" t="s">
        <v>160</v>
      </c>
      <c r="F627" s="68" t="str">
        <f>IFERROR(VLOOKUP(E627,PROVEEDORES!$A$3:$G$42,2,0),"")</f>
        <v>CARNES</v>
      </c>
      <c r="G627" s="69" t="str">
        <f>IFERROR(VLOOKUP(E627,PROVEEDORES!$A$3:$G$42,4,0),"")</f>
        <v>gr.ganaderareal@gmail.com</v>
      </c>
      <c r="H627" s="18" t="str">
        <f>IFERROR(VLOOKUP(E627,PROVEEDORES!$A$3:$G$42,5,0),"")</f>
        <v>56983670527</v>
      </c>
      <c r="I627" s="19">
        <v>27897</v>
      </c>
      <c r="J627" s="67" t="s">
        <v>149</v>
      </c>
      <c r="K627" s="68" t="str">
        <f>IFERROR(VLOOKUP(J627,PROVEEDORES!$A$3:$G$42,2,0),"")</f>
        <v>CARNES Y LACTEOS</v>
      </c>
      <c r="L627" s="69" t="str">
        <f>IFERROR(VLOOKUP(J627,PROVEEDORES!$A$3:$G$42,4,0),"")</f>
        <v>grivas@palaisgourmet.cl</v>
      </c>
      <c r="M627" s="18" t="str">
        <f>IFERROR(VLOOKUP(J627,PROVEEDORES!$A$3:$G$42,5,0),"")</f>
        <v>56942132129</v>
      </c>
      <c r="N627" s="19">
        <v>29906</v>
      </c>
      <c r="O627" s="67"/>
      <c r="P627" s="68"/>
      <c r="Q627" s="69"/>
      <c r="R627" s="18"/>
      <c r="S627" s="19"/>
      <c r="T627" s="20">
        <f t="shared" si="36"/>
        <v>28901.5</v>
      </c>
      <c r="U627" s="21">
        <f t="shared" si="37"/>
        <v>31791.65</v>
      </c>
    </row>
    <row r="628" spans="1:21" ht="15" customHeight="1" x14ac:dyDescent="0.35">
      <c r="A628" s="6" t="s">
        <v>812</v>
      </c>
      <c r="B628" s="7" t="s">
        <v>828</v>
      </c>
      <c r="C628" s="8" t="s">
        <v>219</v>
      </c>
      <c r="D628" s="9">
        <v>3.7499999999999999E-3</v>
      </c>
      <c r="E628" s="64" t="s">
        <v>160</v>
      </c>
      <c r="F628" s="65" t="str">
        <f>IFERROR(VLOOKUP(E628,PROVEEDORES!$A$3:$G$42,2,0),"")</f>
        <v>CARNES</v>
      </c>
      <c r="G628" s="66" t="str">
        <f>IFERROR(VLOOKUP(E628,PROVEEDORES!$A$3:$G$42,4,0),"")</f>
        <v>gr.ganaderareal@gmail.com</v>
      </c>
      <c r="H628" s="10" t="str">
        <f>IFERROR(VLOOKUP(E628,PROVEEDORES!$A$3:$G$42,5,0),"")</f>
        <v>56983670527</v>
      </c>
      <c r="I628" s="11">
        <v>7620</v>
      </c>
      <c r="J628" s="64" t="s">
        <v>149</v>
      </c>
      <c r="K628" s="65" t="str">
        <f>IFERROR(VLOOKUP(J628,PROVEEDORES!$A$3:$G$42,2,0),"")</f>
        <v>CARNES Y LACTEOS</v>
      </c>
      <c r="L628" s="66" t="str">
        <f>IFERROR(VLOOKUP(J628,PROVEEDORES!$A$3:$G$42,4,0),"")</f>
        <v>grivas@palaisgourmet.cl</v>
      </c>
      <c r="M628" s="10" t="str">
        <f>IFERROR(VLOOKUP(J628,PROVEEDORES!$A$3:$G$42,5,0),"")</f>
        <v>56942132129</v>
      </c>
      <c r="N628" s="11">
        <v>6203</v>
      </c>
      <c r="O628" s="64"/>
      <c r="P628" s="65"/>
      <c r="Q628" s="66"/>
      <c r="R628" s="10"/>
      <c r="S628" s="11"/>
      <c r="T628" s="12">
        <f t="shared" si="36"/>
        <v>6911.5</v>
      </c>
      <c r="U628" s="13">
        <f t="shared" si="37"/>
        <v>7602.6500000000005</v>
      </c>
    </row>
    <row r="629" spans="1:21" ht="15" customHeight="1" x14ac:dyDescent="0.35">
      <c r="A629" s="14" t="s">
        <v>812</v>
      </c>
      <c r="B629" s="15" t="s">
        <v>829</v>
      </c>
      <c r="C629" s="16" t="s">
        <v>219</v>
      </c>
      <c r="D629" s="17">
        <v>0.19500000000000001</v>
      </c>
      <c r="E629" s="67" t="s">
        <v>160</v>
      </c>
      <c r="F629" s="68" t="str">
        <f>IFERROR(VLOOKUP(E629,PROVEEDORES!$A$3:$G$42,2,0),"")</f>
        <v>CARNES</v>
      </c>
      <c r="G629" s="69" t="str">
        <f>IFERROR(VLOOKUP(E629,PROVEEDORES!$A$3:$G$42,4,0),"")</f>
        <v>gr.ganaderareal@gmail.com</v>
      </c>
      <c r="H629" s="18" t="str">
        <f>IFERROR(VLOOKUP(E629,PROVEEDORES!$A$3:$G$42,5,0),"")</f>
        <v>56983670527</v>
      </c>
      <c r="I629" s="19">
        <v>13470</v>
      </c>
      <c r="J629" s="67" t="s">
        <v>149</v>
      </c>
      <c r="K629" s="68" t="str">
        <f>IFERROR(VLOOKUP(J629,PROVEEDORES!$A$3:$G$42,2,0),"")</f>
        <v>CARNES Y LACTEOS</v>
      </c>
      <c r="L629" s="69" t="str">
        <f>IFERROR(VLOOKUP(J629,PROVEEDORES!$A$3:$G$42,4,0),"")</f>
        <v>grivas@palaisgourmet.cl</v>
      </c>
      <c r="M629" s="18" t="str">
        <f>IFERROR(VLOOKUP(J629,PROVEEDORES!$A$3:$G$42,5,0),"")</f>
        <v>56942132129</v>
      </c>
      <c r="N629" s="19">
        <v>8277</v>
      </c>
      <c r="O629" s="67"/>
      <c r="P629" s="68"/>
      <c r="Q629" s="69"/>
      <c r="R629" s="18"/>
      <c r="S629" s="19"/>
      <c r="T629" s="20">
        <f t="shared" si="36"/>
        <v>10873.5</v>
      </c>
      <c r="U629" s="21">
        <f t="shared" si="37"/>
        <v>11960.85</v>
      </c>
    </row>
    <row r="630" spans="1:21" ht="15" customHeight="1" x14ac:dyDescent="0.35">
      <c r="A630" s="6" t="s">
        <v>812</v>
      </c>
      <c r="B630" s="7" t="s">
        <v>830</v>
      </c>
      <c r="C630" s="8" t="s">
        <v>219</v>
      </c>
      <c r="D630" s="9">
        <v>0.11</v>
      </c>
      <c r="E630" s="64" t="s">
        <v>160</v>
      </c>
      <c r="F630" s="65" t="str">
        <f>IFERROR(VLOOKUP(E630,PROVEEDORES!$A$3:$G$42,2,0),"")</f>
        <v>CARNES</v>
      </c>
      <c r="G630" s="66" t="str">
        <f>IFERROR(VLOOKUP(E630,PROVEEDORES!$A$3:$G$42,4,0),"")</f>
        <v>gr.ganaderareal@gmail.com</v>
      </c>
      <c r="H630" s="10" t="str">
        <f>IFERROR(VLOOKUP(E630,PROVEEDORES!$A$3:$G$42,5,0),"")</f>
        <v>56983670527</v>
      </c>
      <c r="I630" s="11">
        <v>12120</v>
      </c>
      <c r="J630" s="64" t="s">
        <v>149</v>
      </c>
      <c r="K630" s="65" t="str">
        <f>IFERROR(VLOOKUP(J630,PROVEEDORES!$A$3:$G$42,2,0),"")</f>
        <v>CARNES Y LACTEOS</v>
      </c>
      <c r="L630" s="66" t="str">
        <f>IFERROR(VLOOKUP(J630,PROVEEDORES!$A$3:$G$42,4,0),"")</f>
        <v>grivas@palaisgourmet.cl</v>
      </c>
      <c r="M630" s="10" t="str">
        <f>IFERROR(VLOOKUP(J630,PROVEEDORES!$A$3:$G$42,5,0),"")</f>
        <v>56942132129</v>
      </c>
      <c r="N630" s="11">
        <v>20719</v>
      </c>
      <c r="O630" s="64"/>
      <c r="P630" s="65"/>
      <c r="Q630" s="66"/>
      <c r="R630" s="10"/>
      <c r="S630" s="11"/>
      <c r="T630" s="12">
        <f t="shared" si="36"/>
        <v>16419.5</v>
      </c>
      <c r="U630" s="13">
        <f t="shared" si="37"/>
        <v>18061.45</v>
      </c>
    </row>
    <row r="631" spans="1:21" ht="15" customHeight="1" x14ac:dyDescent="0.35">
      <c r="A631" s="14" t="s">
        <v>812</v>
      </c>
      <c r="B631" s="15" t="s">
        <v>831</v>
      </c>
      <c r="C631" s="16" t="s">
        <v>219</v>
      </c>
      <c r="D631" s="17">
        <v>0.06</v>
      </c>
      <c r="E631" s="67" t="s">
        <v>160</v>
      </c>
      <c r="F631" s="68" t="str">
        <f>IFERROR(VLOOKUP(E631,PROVEEDORES!$A$3:$G$42,2,0),"")</f>
        <v>CARNES</v>
      </c>
      <c r="G631" s="69" t="str">
        <f>IFERROR(VLOOKUP(E631,PROVEEDORES!$A$3:$G$42,4,0),"")</f>
        <v>gr.ganaderareal@gmail.com</v>
      </c>
      <c r="H631" s="18" t="str">
        <f>IFERROR(VLOOKUP(E631,PROVEEDORES!$A$3:$G$42,5,0),"")</f>
        <v>56983670527</v>
      </c>
      <c r="I631" s="19">
        <v>9870</v>
      </c>
      <c r="J631" s="67" t="s">
        <v>149</v>
      </c>
      <c r="K631" s="68" t="str">
        <f>IFERROR(VLOOKUP(J631,PROVEEDORES!$A$3:$G$42,2,0),"")</f>
        <v>CARNES Y LACTEOS</v>
      </c>
      <c r="L631" s="69" t="str">
        <f>IFERROR(VLOOKUP(J631,PROVEEDORES!$A$3:$G$42,4,0),"")</f>
        <v>grivas@palaisgourmet.cl</v>
      </c>
      <c r="M631" s="18" t="str">
        <f>IFERROR(VLOOKUP(J631,PROVEEDORES!$A$3:$G$42,5,0),"")</f>
        <v>56942132129</v>
      </c>
      <c r="N631" s="19">
        <v>4644</v>
      </c>
      <c r="O631" s="67"/>
      <c r="P631" s="68"/>
      <c r="Q631" s="69"/>
      <c r="R631" s="18"/>
      <c r="S631" s="19"/>
      <c r="T631" s="20">
        <f t="shared" si="36"/>
        <v>7257</v>
      </c>
      <c r="U631" s="21">
        <f t="shared" si="37"/>
        <v>7982.7000000000007</v>
      </c>
    </row>
    <row r="632" spans="1:21" ht="15" customHeight="1" x14ac:dyDescent="0.35">
      <c r="A632" s="6" t="s">
        <v>812</v>
      </c>
      <c r="B632" s="7" t="s">
        <v>832</v>
      </c>
      <c r="C632" s="8" t="s">
        <v>219</v>
      </c>
      <c r="D632" s="9">
        <v>0.13375000000000001</v>
      </c>
      <c r="E632" s="64" t="s">
        <v>160</v>
      </c>
      <c r="F632" s="65" t="str">
        <f>IFERROR(VLOOKUP(E632,PROVEEDORES!$A$3:$G$42,2,0),"")</f>
        <v>CARNES</v>
      </c>
      <c r="G632" s="66" t="str">
        <f>IFERROR(VLOOKUP(E632,PROVEEDORES!$A$3:$G$42,4,0),"")</f>
        <v>gr.ganaderareal@gmail.com</v>
      </c>
      <c r="H632" s="10" t="str">
        <f>IFERROR(VLOOKUP(E632,PROVEEDORES!$A$3:$G$42,5,0),"")</f>
        <v>56983670527</v>
      </c>
      <c r="I632" s="11">
        <v>14970</v>
      </c>
      <c r="J632" s="64" t="s">
        <v>149</v>
      </c>
      <c r="K632" s="65" t="str">
        <f>IFERROR(VLOOKUP(J632,PROVEEDORES!$A$3:$G$42,2,0),"")</f>
        <v>CARNES Y LACTEOS</v>
      </c>
      <c r="L632" s="66" t="str">
        <f>IFERROR(VLOOKUP(J632,PROVEEDORES!$A$3:$G$42,4,0),"")</f>
        <v>grivas@palaisgourmet.cl</v>
      </c>
      <c r="M632" s="10" t="str">
        <f>IFERROR(VLOOKUP(J632,PROVEEDORES!$A$3:$G$42,5,0),"")</f>
        <v>56942132129</v>
      </c>
      <c r="N632" s="11">
        <v>10165</v>
      </c>
      <c r="O632" s="64"/>
      <c r="P632" s="65"/>
      <c r="Q632" s="66"/>
      <c r="R632" s="10"/>
      <c r="S632" s="11"/>
      <c r="T632" s="12">
        <f t="shared" si="36"/>
        <v>12567.5</v>
      </c>
      <c r="U632" s="13">
        <f t="shared" si="37"/>
        <v>13824.250000000002</v>
      </c>
    </row>
    <row r="633" spans="1:21" ht="15" customHeight="1" x14ac:dyDescent="0.35">
      <c r="A633" s="14" t="s">
        <v>812</v>
      </c>
      <c r="B633" s="15" t="s">
        <v>833</v>
      </c>
      <c r="C633" s="16" t="s">
        <v>219</v>
      </c>
      <c r="D633" s="17">
        <v>0.40687499999999999</v>
      </c>
      <c r="E633" s="67" t="s">
        <v>160</v>
      </c>
      <c r="F633" s="68" t="str">
        <f>IFERROR(VLOOKUP(E633,PROVEEDORES!$A$3:$G$42,2,0),"")</f>
        <v>CARNES</v>
      </c>
      <c r="G633" s="69" t="str">
        <f>IFERROR(VLOOKUP(E633,PROVEEDORES!$A$3:$G$42,4,0),"")</f>
        <v>gr.ganaderareal@gmail.com</v>
      </c>
      <c r="H633" s="18" t="str">
        <f>IFERROR(VLOOKUP(E633,PROVEEDORES!$A$3:$G$42,5,0),"")</f>
        <v>56983670527</v>
      </c>
      <c r="I633" s="19">
        <v>16470</v>
      </c>
      <c r="J633" s="67" t="s">
        <v>149</v>
      </c>
      <c r="K633" s="68" t="str">
        <f>IFERROR(VLOOKUP(J633,PROVEEDORES!$A$3:$G$42,2,0),"")</f>
        <v>CARNES Y LACTEOS</v>
      </c>
      <c r="L633" s="69" t="str">
        <f>IFERROR(VLOOKUP(J633,PROVEEDORES!$A$3:$G$42,4,0),"")</f>
        <v>grivas@palaisgourmet.cl</v>
      </c>
      <c r="M633" s="18" t="str">
        <f>IFERROR(VLOOKUP(J633,PROVEEDORES!$A$3:$G$42,5,0),"")</f>
        <v>56942132129</v>
      </c>
      <c r="N633" s="19">
        <v>8391</v>
      </c>
      <c r="O633" s="67"/>
      <c r="P633" s="68"/>
      <c r="Q633" s="69"/>
      <c r="R633" s="18"/>
      <c r="S633" s="19"/>
      <c r="T633" s="20">
        <f t="shared" si="36"/>
        <v>12430.5</v>
      </c>
      <c r="U633" s="21">
        <f t="shared" si="37"/>
        <v>13673.550000000001</v>
      </c>
    </row>
    <row r="634" spans="1:21" ht="15" customHeight="1" x14ac:dyDescent="0.35">
      <c r="A634" s="6" t="s">
        <v>812</v>
      </c>
      <c r="B634" s="7" t="s">
        <v>834</v>
      </c>
      <c r="C634" s="8" t="s">
        <v>219</v>
      </c>
      <c r="D634" s="9">
        <v>0.29499999999999998</v>
      </c>
      <c r="E634" s="64" t="s">
        <v>160</v>
      </c>
      <c r="F634" s="65" t="str">
        <f>IFERROR(VLOOKUP(E634,PROVEEDORES!$A$3:$G$42,2,0),"")</f>
        <v>CARNES</v>
      </c>
      <c r="G634" s="66" t="str">
        <f>IFERROR(VLOOKUP(E634,PROVEEDORES!$A$3:$G$42,4,0),"")</f>
        <v>gr.ganaderareal@gmail.com</v>
      </c>
      <c r="H634" s="10" t="str">
        <f>IFERROR(VLOOKUP(E634,PROVEEDORES!$A$3:$G$42,5,0),"")</f>
        <v>56983670527</v>
      </c>
      <c r="I634" s="11">
        <v>12720</v>
      </c>
      <c r="J634" s="64" t="s">
        <v>149</v>
      </c>
      <c r="K634" s="65" t="str">
        <f>IFERROR(VLOOKUP(J634,PROVEEDORES!$A$3:$G$42,2,0),"")</f>
        <v>CARNES Y LACTEOS</v>
      </c>
      <c r="L634" s="66" t="str">
        <f>IFERROR(VLOOKUP(J634,PROVEEDORES!$A$3:$G$42,4,0),"")</f>
        <v>grivas@palaisgourmet.cl</v>
      </c>
      <c r="M634" s="10" t="str">
        <f>IFERROR(VLOOKUP(J634,PROVEEDORES!$A$3:$G$42,5,0),"")</f>
        <v>56942132129</v>
      </c>
      <c r="N634" s="11">
        <v>17414</v>
      </c>
      <c r="O634" s="64"/>
      <c r="P634" s="65"/>
      <c r="Q634" s="66"/>
      <c r="R634" s="10"/>
      <c r="S634" s="11"/>
      <c r="T634" s="12">
        <f t="shared" si="36"/>
        <v>15067</v>
      </c>
      <c r="U634" s="13">
        <f t="shared" si="37"/>
        <v>16573.7</v>
      </c>
    </row>
    <row r="635" spans="1:21" ht="15" customHeight="1" x14ac:dyDescent="0.35">
      <c r="A635" s="14" t="s">
        <v>812</v>
      </c>
      <c r="B635" s="15" t="s">
        <v>835</v>
      </c>
      <c r="C635" s="16" t="s">
        <v>219</v>
      </c>
      <c r="D635" s="17">
        <v>0.12</v>
      </c>
      <c r="E635" s="67" t="s">
        <v>160</v>
      </c>
      <c r="F635" s="68" t="str">
        <f>IFERROR(VLOOKUP(E635,PROVEEDORES!$A$3:$G$42,2,0),"")</f>
        <v>CARNES</v>
      </c>
      <c r="G635" s="69" t="str">
        <f>IFERROR(VLOOKUP(E635,PROVEEDORES!$A$3:$G$42,4,0),"")</f>
        <v>gr.ganaderareal@gmail.com</v>
      </c>
      <c r="H635" s="18" t="str">
        <f>IFERROR(VLOOKUP(E635,PROVEEDORES!$A$3:$G$42,5,0),"")</f>
        <v>56983670527</v>
      </c>
      <c r="I635" s="19">
        <v>10470</v>
      </c>
      <c r="J635" s="67" t="s">
        <v>149</v>
      </c>
      <c r="K635" s="68" t="str">
        <f>IFERROR(VLOOKUP(J635,PROVEEDORES!$A$3:$G$42,2,0),"")</f>
        <v>CARNES Y LACTEOS</v>
      </c>
      <c r="L635" s="69" t="str">
        <f>IFERROR(VLOOKUP(J635,PROVEEDORES!$A$3:$G$42,4,0),"")</f>
        <v>grivas@palaisgourmet.cl</v>
      </c>
      <c r="M635" s="18" t="str">
        <f>IFERROR(VLOOKUP(J635,PROVEEDORES!$A$3:$G$42,5,0),"")</f>
        <v>56942132129</v>
      </c>
      <c r="N635" s="19">
        <v>7847</v>
      </c>
      <c r="O635" s="67"/>
      <c r="P635" s="68"/>
      <c r="Q635" s="69"/>
      <c r="R635" s="18"/>
      <c r="S635" s="19"/>
      <c r="T635" s="20">
        <f t="shared" si="36"/>
        <v>9158.5</v>
      </c>
      <c r="U635" s="21">
        <f t="shared" si="37"/>
        <v>10074.35</v>
      </c>
    </row>
    <row r="636" spans="1:21" ht="12" customHeight="1" x14ac:dyDescent="0.35">
      <c r="A636" s="59" t="s">
        <v>836</v>
      </c>
      <c r="B636" s="59"/>
      <c r="C636" s="59"/>
      <c r="D636" s="59"/>
      <c r="E636" s="59"/>
      <c r="F636" s="59"/>
      <c r="G636" s="59"/>
      <c r="H636" s="59"/>
      <c r="I636" s="59"/>
      <c r="J636" s="59"/>
      <c r="K636" s="59"/>
      <c r="L636" s="59"/>
      <c r="M636" s="59"/>
      <c r="N636" s="59"/>
      <c r="O636" s="59"/>
      <c r="P636" s="59"/>
      <c r="Q636" s="59"/>
      <c r="R636" s="59"/>
      <c r="S636" s="59"/>
      <c r="T636" s="59"/>
      <c r="U636" s="59"/>
    </row>
    <row r="637" spans="1:21" ht="15" customHeight="1" x14ac:dyDescent="0.35">
      <c r="A637" s="14" t="s">
        <v>836</v>
      </c>
      <c r="B637" s="15" t="s">
        <v>837</v>
      </c>
      <c r="C637" s="16" t="s">
        <v>239</v>
      </c>
      <c r="D637" s="17">
        <v>6.5375000000000003E-2</v>
      </c>
      <c r="E637" s="67" t="s">
        <v>120</v>
      </c>
      <c r="F637" s="68" t="str">
        <f>IFERROR(VLOOKUP(E637,PROVEEDORES!$A$3:$G$42,2,0),"")</f>
        <v>VINOS Y LICORES</v>
      </c>
      <c r="G637" s="69" t="str">
        <f>IFERROR(VLOOKUP(E637,PROVEEDORES!$A$3:$G$42,4,0),"")</f>
        <v>andrea.aristizabal@lavinoteca.cl, johanna.quiroga@lavinoteca.cl, margarita.arias@lavinoteca.cl</v>
      </c>
      <c r="H637" s="18" t="str">
        <f>IFERROR(VLOOKUP(E637,PROVEEDORES!$A$3:$G$42,5,0),"")</f>
        <v>56228292221 - 56992197824</v>
      </c>
      <c r="I637" s="19">
        <v>5798</v>
      </c>
      <c r="J637" s="67" t="s">
        <v>70</v>
      </c>
      <c r="K637" s="68" t="str">
        <f>IFERROR(VLOOKUP(J637,PROVEEDORES!$A$3:$G$42,2,0),"")</f>
        <v>VINOS Y LICORES</v>
      </c>
      <c r="L637" s="69" t="str">
        <f>IFERROR(VLOOKUP(J637,PROVEEDORES!$A$3:$G$42,4,0),"")</f>
        <v>dedwardj@uc.cl,ventas@efwines.cl</v>
      </c>
      <c r="M637" s="18">
        <f>IFERROR(VLOOKUP(J637,PROVEEDORES!$A$3:$G$42,5,0),"")</f>
        <v>0</v>
      </c>
      <c r="N637" s="19">
        <v>6868</v>
      </c>
      <c r="O637" s="67" t="s">
        <v>30</v>
      </c>
      <c r="P637" s="68" t="str">
        <f>IFERROR(VLOOKUP(O637,PROVEEDORES!$A$3:$G$42,2,0),"")</f>
        <v>VINOS</v>
      </c>
      <c r="Q637" s="69" t="str">
        <f>IFERROR(VLOOKUP(O637,PROVEEDORES!$A$3:$G$42,4,0),"")</f>
        <v>cobranzas@andesblend.cl,johana.guerra@andesblend.cl,rene.ayala@andesblend.cl,pablo.alvarez@andesblend.cl</v>
      </c>
      <c r="R637" s="18" t="str">
        <f>IFERROR(VLOOKUP(O637,PROVEEDORES!$A$3:$G$42,5,0),"")</f>
        <v>569 27314288 - 56983623633</v>
      </c>
      <c r="S637" s="19">
        <v>11321</v>
      </c>
      <c r="T637" s="20">
        <f t="shared" ref="T637:T642" si="38">AVERAGE(I637,N637,S637)</f>
        <v>7995.666666666667</v>
      </c>
      <c r="U637" s="21">
        <f t="shared" ref="U637:U642" si="39">T637*(1+$B$2)</f>
        <v>8795.2333333333336</v>
      </c>
    </row>
    <row r="638" spans="1:21" ht="15" customHeight="1" x14ac:dyDescent="0.35">
      <c r="A638" s="6" t="s">
        <v>836</v>
      </c>
      <c r="B638" s="7" t="s">
        <v>838</v>
      </c>
      <c r="C638" s="8" t="s">
        <v>209</v>
      </c>
      <c r="D638" s="9">
        <v>1.2229375</v>
      </c>
      <c r="E638" s="64" t="s">
        <v>120</v>
      </c>
      <c r="F638" s="65" t="str">
        <f>IFERROR(VLOOKUP(E638,PROVEEDORES!$A$3:$G$42,2,0),"")</f>
        <v>VINOS Y LICORES</v>
      </c>
      <c r="G638" s="66" t="str">
        <f>IFERROR(VLOOKUP(E638,PROVEEDORES!$A$3:$G$42,4,0),"")</f>
        <v>andrea.aristizabal@lavinoteca.cl, johanna.quiroga@lavinoteca.cl, margarita.arias@lavinoteca.cl</v>
      </c>
      <c r="H638" s="10" t="str">
        <f>IFERROR(VLOOKUP(E638,PROVEEDORES!$A$3:$G$42,5,0),"")</f>
        <v>56228292221 - 56992197824</v>
      </c>
      <c r="I638" s="11">
        <v>2790</v>
      </c>
      <c r="J638" s="64" t="s">
        <v>70</v>
      </c>
      <c r="K638" s="65" t="str">
        <f>IFERROR(VLOOKUP(J638,PROVEEDORES!$A$3:$G$42,2,0),"")</f>
        <v>VINOS Y LICORES</v>
      </c>
      <c r="L638" s="66" t="str">
        <f>IFERROR(VLOOKUP(J638,PROVEEDORES!$A$3:$G$42,4,0),"")</f>
        <v>dedwardj@uc.cl,ventas@efwines.cl</v>
      </c>
      <c r="M638" s="10">
        <f>IFERROR(VLOOKUP(J638,PROVEEDORES!$A$3:$G$42,5,0),"")</f>
        <v>0</v>
      </c>
      <c r="N638" s="11">
        <v>2263</v>
      </c>
      <c r="O638" s="64" t="s">
        <v>30</v>
      </c>
      <c r="P638" s="65" t="str">
        <f>IFERROR(VLOOKUP(O638,PROVEEDORES!$A$3:$G$42,2,0),"")</f>
        <v>VINOS</v>
      </c>
      <c r="Q638" s="66" t="str">
        <f>IFERROR(VLOOKUP(O638,PROVEEDORES!$A$3:$G$42,4,0),"")</f>
        <v>cobranzas@andesblend.cl,johana.guerra@andesblend.cl,rene.ayala@andesblend.cl,pablo.alvarez@andesblend.cl</v>
      </c>
      <c r="R638" s="10" t="str">
        <f>IFERROR(VLOOKUP(O638,PROVEEDORES!$A$3:$G$42,5,0),"")</f>
        <v>569 27314288 - 56983623633</v>
      </c>
      <c r="S638" s="11">
        <v>2053</v>
      </c>
      <c r="T638" s="12">
        <f t="shared" si="38"/>
        <v>2368.6666666666665</v>
      </c>
      <c r="U638" s="13">
        <f t="shared" si="39"/>
        <v>2605.5333333333333</v>
      </c>
    </row>
    <row r="639" spans="1:21" ht="15" customHeight="1" x14ac:dyDescent="0.35">
      <c r="A639" s="14" t="s">
        <v>836</v>
      </c>
      <c r="B639" s="15" t="s">
        <v>839</v>
      </c>
      <c r="C639" s="16" t="s">
        <v>239</v>
      </c>
      <c r="D639" s="17">
        <v>0.2</v>
      </c>
      <c r="E639" s="67" t="s">
        <v>120</v>
      </c>
      <c r="F639" s="68" t="str">
        <f>IFERROR(VLOOKUP(E639,PROVEEDORES!$A$3:$G$42,2,0),"")</f>
        <v>VINOS Y LICORES</v>
      </c>
      <c r="G639" s="69" t="str">
        <f>IFERROR(VLOOKUP(E639,PROVEEDORES!$A$3:$G$42,4,0),"")</f>
        <v>andrea.aristizabal@lavinoteca.cl, johanna.quiroga@lavinoteca.cl, margarita.arias@lavinoteca.cl</v>
      </c>
      <c r="H639" s="18" t="str">
        <f>IFERROR(VLOOKUP(E639,PROVEEDORES!$A$3:$G$42,5,0),"")</f>
        <v>56228292221 - 56992197824</v>
      </c>
      <c r="I639" s="19">
        <v>3435</v>
      </c>
      <c r="J639" s="67" t="s">
        <v>70</v>
      </c>
      <c r="K639" s="68" t="str">
        <f>IFERROR(VLOOKUP(J639,PROVEEDORES!$A$3:$G$42,2,0),"")</f>
        <v>VINOS Y LICORES</v>
      </c>
      <c r="L639" s="69" t="str">
        <f>IFERROR(VLOOKUP(J639,PROVEEDORES!$A$3:$G$42,4,0),"")</f>
        <v>dedwardj@uc.cl,ventas@efwines.cl</v>
      </c>
      <c r="M639" s="18">
        <f>IFERROR(VLOOKUP(J639,PROVEEDORES!$A$3:$G$42,5,0),"")</f>
        <v>0</v>
      </c>
      <c r="N639" s="19">
        <v>1101</v>
      </c>
      <c r="O639" s="67" t="s">
        <v>30</v>
      </c>
      <c r="P639" s="68" t="str">
        <f>IFERROR(VLOOKUP(O639,PROVEEDORES!$A$3:$G$42,2,0),"")</f>
        <v>VINOS</v>
      </c>
      <c r="Q639" s="69" t="str">
        <f>IFERROR(VLOOKUP(O639,PROVEEDORES!$A$3:$G$42,4,0),"")</f>
        <v>cobranzas@andesblend.cl,johana.guerra@andesblend.cl,rene.ayala@andesblend.cl,pablo.alvarez@andesblend.cl</v>
      </c>
      <c r="R639" s="18" t="str">
        <f>IFERROR(VLOOKUP(O639,PROVEEDORES!$A$3:$G$42,5,0),"")</f>
        <v>569 27314288 - 56983623633</v>
      </c>
      <c r="S639" s="19">
        <v>2951</v>
      </c>
      <c r="T639" s="20">
        <f t="shared" si="38"/>
        <v>2495.6666666666665</v>
      </c>
      <c r="U639" s="21">
        <f t="shared" si="39"/>
        <v>2745.2333333333336</v>
      </c>
    </row>
    <row r="640" spans="1:21" ht="15" customHeight="1" x14ac:dyDescent="0.35">
      <c r="A640" s="6" t="s">
        <v>836</v>
      </c>
      <c r="B640" s="7" t="s">
        <v>840</v>
      </c>
      <c r="C640" s="8" t="s">
        <v>239</v>
      </c>
      <c r="D640" s="9">
        <v>6.2E-2</v>
      </c>
      <c r="E640" s="64" t="s">
        <v>120</v>
      </c>
      <c r="F640" s="65" t="str">
        <f>IFERROR(VLOOKUP(E640,PROVEEDORES!$A$3:$G$42,2,0),"")</f>
        <v>VINOS Y LICORES</v>
      </c>
      <c r="G640" s="66" t="str">
        <f>IFERROR(VLOOKUP(E640,PROVEEDORES!$A$3:$G$42,4,0),"")</f>
        <v>andrea.aristizabal@lavinoteca.cl, johanna.quiroga@lavinoteca.cl, margarita.arias@lavinoteca.cl</v>
      </c>
      <c r="H640" s="10" t="str">
        <f>IFERROR(VLOOKUP(E640,PROVEEDORES!$A$3:$G$42,5,0),"")</f>
        <v>56228292221 - 56992197824</v>
      </c>
      <c r="I640" s="11">
        <v>5286</v>
      </c>
      <c r="J640" s="64" t="s">
        <v>70</v>
      </c>
      <c r="K640" s="65" t="str">
        <f>IFERROR(VLOOKUP(J640,PROVEEDORES!$A$3:$G$42,2,0),"")</f>
        <v>VINOS Y LICORES</v>
      </c>
      <c r="L640" s="66" t="str">
        <f>IFERROR(VLOOKUP(J640,PROVEEDORES!$A$3:$G$42,4,0),"")</f>
        <v>dedwardj@uc.cl,ventas@efwines.cl</v>
      </c>
      <c r="M640" s="10">
        <f>IFERROR(VLOOKUP(J640,PROVEEDORES!$A$3:$G$42,5,0),"")</f>
        <v>0</v>
      </c>
      <c r="N640" s="11">
        <v>8656</v>
      </c>
      <c r="O640" s="64" t="s">
        <v>30</v>
      </c>
      <c r="P640" s="65" t="str">
        <f>IFERROR(VLOOKUP(O640,PROVEEDORES!$A$3:$G$42,2,0),"")</f>
        <v>VINOS</v>
      </c>
      <c r="Q640" s="66" t="str">
        <f>IFERROR(VLOOKUP(O640,PROVEEDORES!$A$3:$G$42,4,0),"")</f>
        <v>cobranzas@andesblend.cl,johana.guerra@andesblend.cl,rene.ayala@andesblend.cl,pablo.alvarez@andesblend.cl</v>
      </c>
      <c r="R640" s="10" t="str">
        <f>IFERROR(VLOOKUP(O640,PROVEEDORES!$A$3:$G$42,5,0),"")</f>
        <v>569 27314288 - 56983623633</v>
      </c>
      <c r="S640" s="11">
        <v>10856</v>
      </c>
      <c r="T640" s="12">
        <f t="shared" si="38"/>
        <v>8266</v>
      </c>
      <c r="U640" s="13">
        <f t="shared" si="39"/>
        <v>9092.6</v>
      </c>
    </row>
    <row r="641" spans="1:21" ht="15" customHeight="1" x14ac:dyDescent="0.35">
      <c r="A641" s="14" t="s">
        <v>836</v>
      </c>
      <c r="B641" s="15" t="s">
        <v>841</v>
      </c>
      <c r="C641" s="16" t="s">
        <v>239</v>
      </c>
      <c r="D641" s="17">
        <v>6.2E-2</v>
      </c>
      <c r="E641" s="67" t="s">
        <v>120</v>
      </c>
      <c r="F641" s="68" t="str">
        <f>IFERROR(VLOOKUP(E641,PROVEEDORES!$A$3:$G$42,2,0),"")</f>
        <v>VINOS Y LICORES</v>
      </c>
      <c r="G641" s="69" t="str">
        <f>IFERROR(VLOOKUP(E641,PROVEEDORES!$A$3:$G$42,4,0),"")</f>
        <v>andrea.aristizabal@lavinoteca.cl, johanna.quiroga@lavinoteca.cl, margarita.arias@lavinoteca.cl</v>
      </c>
      <c r="H641" s="18" t="str">
        <f>IFERROR(VLOOKUP(E641,PROVEEDORES!$A$3:$G$42,5,0),"")</f>
        <v>56228292221 - 56992197824</v>
      </c>
      <c r="I641" s="19">
        <v>5286</v>
      </c>
      <c r="J641" s="67" t="s">
        <v>70</v>
      </c>
      <c r="K641" s="68" t="str">
        <f>IFERROR(VLOOKUP(J641,PROVEEDORES!$A$3:$G$42,2,0),"")</f>
        <v>VINOS Y LICORES</v>
      </c>
      <c r="L641" s="69" t="str">
        <f>IFERROR(VLOOKUP(J641,PROVEEDORES!$A$3:$G$42,4,0),"")</f>
        <v>dedwardj@uc.cl,ventas@efwines.cl</v>
      </c>
      <c r="M641" s="18">
        <f>IFERROR(VLOOKUP(J641,PROVEEDORES!$A$3:$G$42,5,0),"")</f>
        <v>0</v>
      </c>
      <c r="N641" s="19">
        <v>2590</v>
      </c>
      <c r="O641" s="67" t="s">
        <v>30</v>
      </c>
      <c r="P641" s="68" t="str">
        <f>IFERROR(VLOOKUP(O641,PROVEEDORES!$A$3:$G$42,2,0),"")</f>
        <v>VINOS</v>
      </c>
      <c r="Q641" s="69" t="str">
        <f>IFERROR(VLOOKUP(O641,PROVEEDORES!$A$3:$G$42,4,0),"")</f>
        <v>cobranzas@andesblend.cl,johana.guerra@andesblend.cl,rene.ayala@andesblend.cl,pablo.alvarez@andesblend.cl</v>
      </c>
      <c r="R641" s="18" t="str">
        <f>IFERROR(VLOOKUP(O641,PROVEEDORES!$A$3:$G$42,5,0),"")</f>
        <v>569 27314288 - 56983623633</v>
      </c>
      <c r="S641" s="19">
        <v>-412</v>
      </c>
      <c r="T641" s="20">
        <f t="shared" si="38"/>
        <v>2488</v>
      </c>
      <c r="U641" s="21">
        <f t="shared" si="39"/>
        <v>2736.8</v>
      </c>
    </row>
    <row r="642" spans="1:21" ht="15" customHeight="1" x14ac:dyDescent="0.35">
      <c r="A642" s="6" t="s">
        <v>836</v>
      </c>
      <c r="B642" s="7" t="s">
        <v>842</v>
      </c>
      <c r="C642" s="8" t="s">
        <v>209</v>
      </c>
      <c r="D642" s="9">
        <v>1.3925000000000001</v>
      </c>
      <c r="E642" s="64" t="s">
        <v>120</v>
      </c>
      <c r="F642" s="65" t="str">
        <f>IFERROR(VLOOKUP(E642,PROVEEDORES!$A$3:$G$42,2,0),"")</f>
        <v>VINOS Y LICORES</v>
      </c>
      <c r="G642" s="66" t="str">
        <f>IFERROR(VLOOKUP(E642,PROVEEDORES!$A$3:$G$42,4,0),"")</f>
        <v>andrea.aristizabal@lavinoteca.cl, johanna.quiroga@lavinoteca.cl, margarita.arias@lavinoteca.cl</v>
      </c>
      <c r="H642" s="10" t="str">
        <f>IFERROR(VLOOKUP(E642,PROVEEDORES!$A$3:$G$42,5,0),"")</f>
        <v>56228292221 - 56992197824</v>
      </c>
      <c r="I642" s="11">
        <v>1349</v>
      </c>
      <c r="J642" s="64" t="s">
        <v>70</v>
      </c>
      <c r="K642" s="65" t="str">
        <f>IFERROR(VLOOKUP(J642,PROVEEDORES!$A$3:$G$42,2,0),"")</f>
        <v>VINOS Y LICORES</v>
      </c>
      <c r="L642" s="66" t="str">
        <f>IFERROR(VLOOKUP(J642,PROVEEDORES!$A$3:$G$42,4,0),"")</f>
        <v>dedwardj@uc.cl,ventas@efwines.cl</v>
      </c>
      <c r="M642" s="10">
        <f>IFERROR(VLOOKUP(J642,PROVEEDORES!$A$3:$G$42,5,0),"")</f>
        <v>0</v>
      </c>
      <c r="N642" s="11">
        <v>1497</v>
      </c>
      <c r="O642" s="64" t="s">
        <v>30</v>
      </c>
      <c r="P642" s="65" t="str">
        <f>IFERROR(VLOOKUP(O642,PROVEEDORES!$A$3:$G$42,2,0),"")</f>
        <v>VINOS</v>
      </c>
      <c r="Q642" s="66" t="str">
        <f>IFERROR(VLOOKUP(O642,PROVEEDORES!$A$3:$G$42,4,0),"")</f>
        <v>cobranzas@andesblend.cl,johana.guerra@andesblend.cl,rene.ayala@andesblend.cl,pablo.alvarez@andesblend.cl</v>
      </c>
      <c r="R642" s="10" t="str">
        <f>IFERROR(VLOOKUP(O642,PROVEEDORES!$A$3:$G$42,5,0),"")</f>
        <v>569 27314288 - 56983623633</v>
      </c>
      <c r="S642" s="11">
        <v>2779</v>
      </c>
      <c r="T642" s="12">
        <f t="shared" si="38"/>
        <v>1875</v>
      </c>
      <c r="U642" s="13">
        <f t="shared" si="39"/>
        <v>2062.5</v>
      </c>
    </row>
    <row r="643" spans="1:21" ht="12" customHeight="1" x14ac:dyDescent="0.35">
      <c r="A643" s="59" t="s">
        <v>843</v>
      </c>
      <c r="B643" s="59"/>
      <c r="C643" s="59"/>
      <c r="D643" s="59"/>
      <c r="E643" s="59"/>
      <c r="F643" s="59"/>
      <c r="G643" s="59"/>
      <c r="H643" s="59"/>
      <c r="I643" s="59"/>
      <c r="J643" s="59"/>
      <c r="K643" s="59"/>
      <c r="L643" s="59"/>
      <c r="M643" s="59"/>
      <c r="N643" s="59"/>
      <c r="O643" s="59"/>
      <c r="P643" s="59"/>
      <c r="Q643" s="59"/>
      <c r="R643" s="59"/>
      <c r="S643" s="59"/>
      <c r="T643" s="59"/>
      <c r="U643" s="59"/>
    </row>
    <row r="644" spans="1:21" ht="15" customHeight="1" x14ac:dyDescent="0.35">
      <c r="A644" s="6" t="s">
        <v>843</v>
      </c>
      <c r="B644" s="7" t="s">
        <v>844</v>
      </c>
      <c r="C644" s="8" t="s">
        <v>219</v>
      </c>
      <c r="D644" s="9">
        <v>0.03</v>
      </c>
      <c r="E644" s="64" t="s">
        <v>35</v>
      </c>
      <c r="F644" s="65" t="str">
        <f>IFERROR(VLOOKUP(E644,PROVEEDORES!$A$3:$G$42,2,0),"")</f>
        <v>ABARROTES</v>
      </c>
      <c r="G644" s="66" t="str">
        <f>IFERROR(VLOOKUP(E644,PROVEEDORES!$A$3:$G$42,4,0),"")</f>
        <v>pagos@bidfood.cl,pmolina@bidfood.cl</v>
      </c>
      <c r="H644" s="10" t="str">
        <f>IFERROR(VLOOKUP(E644,PROVEEDORES!$A$3:$G$42,5,0),"")</f>
        <v>56225994444 - 56998038459</v>
      </c>
      <c r="I644" s="11">
        <v>2975</v>
      </c>
      <c r="J644" s="64" t="s">
        <v>105</v>
      </c>
      <c r="K644" s="65" t="str">
        <f>IFERROR(VLOOKUP(J644,PROVEEDORES!$A$3:$G$42,2,0),"")</f>
        <v>ESPECIES</v>
      </c>
      <c r="L644" s="66" t="str">
        <f>IFERROR(VLOOKUP(J644,PROVEEDORES!$A$3:$G$42,4,0),"")</f>
        <v>chef@gourmetselect.cl,contabilidad@gourmetselect.cl,pedidos@gourmetselect.cl,info@gourmetselect.cl</v>
      </c>
      <c r="M644" s="10" t="str">
        <f>IFERROR(VLOOKUP(J644,PROVEEDORES!$A$3:$G$42,5,0),"")</f>
        <v>56944921093</v>
      </c>
      <c r="N644" s="11">
        <v>1003</v>
      </c>
      <c r="O644" s="64" t="s">
        <v>41</v>
      </c>
      <c r="P644" s="65" t="str">
        <f>IFERROR(VLOOKUP(O644,PROVEEDORES!$A$3:$G$42,2,0),"")</f>
        <v>FRUTAS Y VERDURAS</v>
      </c>
      <c r="Q644" s="66" t="str">
        <f>IFERROR(VLOOKUP(O644,PROVEEDORES!$A$3:$G$42,4,0),"")</f>
        <v>caseritaencasa@gmail.com</v>
      </c>
      <c r="R644" s="10" t="str">
        <f>IFERROR(VLOOKUP(O644,PROVEEDORES!$A$3:$G$42,5,0),"")</f>
        <v>56952069703</v>
      </c>
      <c r="S644" s="11">
        <v>691</v>
      </c>
      <c r="T644" s="12">
        <f>AVERAGE(I644,N644,S644)</f>
        <v>1556.3333333333333</v>
      </c>
      <c r="U644" s="13">
        <f>T644*(1+$B$2)</f>
        <v>1711.9666666666667</v>
      </c>
    </row>
    <row r="645" spans="1:21" ht="15" customHeight="1" x14ac:dyDescent="0.35">
      <c r="A645" s="14" t="s">
        <v>843</v>
      </c>
      <c r="B645" s="15" t="s">
        <v>845</v>
      </c>
      <c r="C645" s="16" t="s">
        <v>219</v>
      </c>
      <c r="D645" s="17">
        <v>0.40749999999999997</v>
      </c>
      <c r="E645" s="67" t="s">
        <v>35</v>
      </c>
      <c r="F645" s="68" t="str">
        <f>IFERROR(VLOOKUP(E645,PROVEEDORES!$A$3:$G$42,2,0),"")</f>
        <v>ABARROTES</v>
      </c>
      <c r="G645" s="69" t="str">
        <f>IFERROR(VLOOKUP(E645,PROVEEDORES!$A$3:$G$42,4,0),"")</f>
        <v>pagos@bidfood.cl,pmolina@bidfood.cl</v>
      </c>
      <c r="H645" s="18" t="str">
        <f>IFERROR(VLOOKUP(E645,PROVEEDORES!$A$3:$G$42,5,0),"")</f>
        <v>56225994444 - 56998038459</v>
      </c>
      <c r="I645" s="19">
        <v>1782</v>
      </c>
      <c r="J645" s="67" t="s">
        <v>105</v>
      </c>
      <c r="K645" s="68" t="str">
        <f>IFERROR(VLOOKUP(J645,PROVEEDORES!$A$3:$G$42,2,0),"")</f>
        <v>ESPECIES</v>
      </c>
      <c r="L645" s="69" t="str">
        <f>IFERROR(VLOOKUP(J645,PROVEEDORES!$A$3:$G$42,4,0),"")</f>
        <v>chef@gourmetselect.cl,contabilidad@gourmetselect.cl,pedidos@gourmetselect.cl,info@gourmetselect.cl</v>
      </c>
      <c r="M645" s="18" t="str">
        <f>IFERROR(VLOOKUP(J645,PROVEEDORES!$A$3:$G$42,5,0),"")</f>
        <v>56944921093</v>
      </c>
      <c r="N645" s="19">
        <v>2787</v>
      </c>
      <c r="O645" s="67" t="s">
        <v>41</v>
      </c>
      <c r="P645" s="68" t="str">
        <f>IFERROR(VLOOKUP(O645,PROVEEDORES!$A$3:$G$42,2,0),"")</f>
        <v>FRUTAS Y VERDURAS</v>
      </c>
      <c r="Q645" s="69" t="str">
        <f>IFERROR(VLOOKUP(O645,PROVEEDORES!$A$3:$G$42,4,0),"")</f>
        <v>caseritaencasa@gmail.com</v>
      </c>
      <c r="R645" s="18" t="str">
        <f>IFERROR(VLOOKUP(O645,PROVEEDORES!$A$3:$G$42,5,0),"")</f>
        <v>56952069703</v>
      </c>
      <c r="S645" s="19">
        <v>3727</v>
      </c>
      <c r="T645" s="20">
        <f>AVERAGE(I645,N645,S645)</f>
        <v>2765.3333333333335</v>
      </c>
      <c r="U645" s="21">
        <f>T645*(1+$B$2)</f>
        <v>3041.8666666666672</v>
      </c>
    </row>
    <row r="646" spans="1:21" ht="15" customHeight="1" x14ac:dyDescent="0.35">
      <c r="A646" s="6" t="s">
        <v>843</v>
      </c>
      <c r="B646" s="7" t="s">
        <v>846</v>
      </c>
      <c r="C646" s="8" t="s">
        <v>219</v>
      </c>
      <c r="D646" s="9">
        <v>5.6250000000000001E-2</v>
      </c>
      <c r="E646" s="64" t="s">
        <v>35</v>
      </c>
      <c r="F646" s="65" t="str">
        <f>IFERROR(VLOOKUP(E646,PROVEEDORES!$A$3:$G$42,2,0),"")</f>
        <v>ABARROTES</v>
      </c>
      <c r="G646" s="66" t="str">
        <f>IFERROR(VLOOKUP(E646,PROVEEDORES!$A$3:$G$42,4,0),"")</f>
        <v>pagos@bidfood.cl,pmolina@bidfood.cl</v>
      </c>
      <c r="H646" s="10" t="str">
        <f>IFERROR(VLOOKUP(E646,PROVEEDORES!$A$3:$G$42,5,0),"")</f>
        <v>56225994444 - 56998038459</v>
      </c>
      <c r="I646" s="11">
        <v>4582</v>
      </c>
      <c r="J646" s="64" t="s">
        <v>105</v>
      </c>
      <c r="K646" s="65" t="str">
        <f>IFERROR(VLOOKUP(J646,PROVEEDORES!$A$3:$G$42,2,0),"")</f>
        <v>ESPECIES</v>
      </c>
      <c r="L646" s="66" t="str">
        <f>IFERROR(VLOOKUP(J646,PROVEEDORES!$A$3:$G$42,4,0),"")</f>
        <v>chef@gourmetselect.cl,contabilidad@gourmetselect.cl,pedidos@gourmetselect.cl,info@gourmetselect.cl</v>
      </c>
      <c r="M646" s="10" t="str">
        <f>IFERROR(VLOOKUP(J646,PROVEEDORES!$A$3:$G$42,5,0),"")</f>
        <v>56944921093</v>
      </c>
      <c r="N646" s="11">
        <v>3139</v>
      </c>
      <c r="O646" s="64" t="s">
        <v>41</v>
      </c>
      <c r="P646" s="65" t="str">
        <f>IFERROR(VLOOKUP(O646,PROVEEDORES!$A$3:$G$42,2,0),"")</f>
        <v>FRUTAS Y VERDURAS</v>
      </c>
      <c r="Q646" s="66" t="str">
        <f>IFERROR(VLOOKUP(O646,PROVEEDORES!$A$3:$G$42,4,0),"")</f>
        <v>caseritaencasa@gmail.com</v>
      </c>
      <c r="R646" s="10" t="str">
        <f>IFERROR(VLOOKUP(O646,PROVEEDORES!$A$3:$G$42,5,0),"")</f>
        <v>56952069703</v>
      </c>
      <c r="S646" s="11">
        <v>4390</v>
      </c>
      <c r="T646" s="12">
        <f>AVERAGE(I646,N646,S646)</f>
        <v>4037</v>
      </c>
      <c r="U646" s="13">
        <f>T646*(1+$B$2)</f>
        <v>4440.7000000000007</v>
      </c>
    </row>
  </sheetData>
  <mergeCells count="36">
    <mergeCell ref="A1:U1"/>
    <mergeCell ref="C2:F2"/>
    <mergeCell ref="A5:U5"/>
    <mergeCell ref="A245:U245"/>
    <mergeCell ref="A248:U248"/>
    <mergeCell ref="A250:U250"/>
    <mergeCell ref="A285:U285"/>
    <mergeCell ref="A287:U287"/>
    <mergeCell ref="A289:U289"/>
    <mergeCell ref="A311:U311"/>
    <mergeCell ref="A313:U313"/>
    <mergeCell ref="A335:U335"/>
    <mergeCell ref="A349:U349"/>
    <mergeCell ref="A363:U363"/>
    <mergeCell ref="A368:U368"/>
    <mergeCell ref="A372:U372"/>
    <mergeCell ref="A374:U374"/>
    <mergeCell ref="A378:U378"/>
    <mergeCell ref="A381:U381"/>
    <mergeCell ref="A486:U486"/>
    <mergeCell ref="A490:U490"/>
    <mergeCell ref="A493:U493"/>
    <mergeCell ref="A496:U496"/>
    <mergeCell ref="A499:U499"/>
    <mergeCell ref="A535:U535"/>
    <mergeCell ref="A538:U538"/>
    <mergeCell ref="A552:U552"/>
    <mergeCell ref="A555:U555"/>
    <mergeCell ref="A557:U557"/>
    <mergeCell ref="A566:U566"/>
    <mergeCell ref="A643:U643"/>
    <mergeCell ref="A568:U568"/>
    <mergeCell ref="A598:U598"/>
    <mergeCell ref="A607:U607"/>
    <mergeCell ref="A612:U612"/>
    <mergeCell ref="A636:U636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888888"/>
  </sheetPr>
  <dimension ref="A1:D37"/>
  <sheetViews>
    <sheetView showGridLines="0" zoomScaleNormal="100" workbookViewId="0">
      <pane ySplit="2" topLeftCell="A3" activePane="bottomLeft" state="frozen"/>
      <selection pane="bottomLeft" activeCell="J10" sqref="J10"/>
    </sheetView>
  </sheetViews>
  <sheetFormatPr baseColWidth="10" defaultColWidth="8.6328125" defaultRowHeight="14.5" x14ac:dyDescent="0.35"/>
  <cols>
    <col min="1" max="1" width="20" customWidth="1"/>
    <col min="2" max="2" width="16" customWidth="1"/>
    <col min="3" max="4" width="22" customWidth="1"/>
  </cols>
  <sheetData>
    <row r="1" spans="1:4" ht="25.5" customHeight="1" x14ac:dyDescent="0.35">
      <c r="A1" s="58" t="s">
        <v>854</v>
      </c>
      <c r="B1" s="58"/>
      <c r="C1" s="58"/>
      <c r="D1" s="58"/>
    </row>
    <row r="2" spans="1:4" ht="21.75" customHeight="1" x14ac:dyDescent="0.35">
      <c r="A2" s="22" t="s">
        <v>6</v>
      </c>
      <c r="B2" s="22" t="s">
        <v>847</v>
      </c>
      <c r="C2" s="22" t="s">
        <v>848</v>
      </c>
      <c r="D2" s="22" t="s">
        <v>849</v>
      </c>
    </row>
    <row r="3" spans="1:4" ht="15.75" customHeight="1" x14ac:dyDescent="0.35">
      <c r="A3" s="23" t="s">
        <v>207</v>
      </c>
      <c r="B3" s="24">
        <f>COUNTIF('CONSOLIDADO PRECIOS'!$A$5:$A$646,A3)</f>
        <v>240</v>
      </c>
      <c r="C3" s="25">
        <f>IFERROR(AVERAGEIF('CONSOLIDADO PRECIOS'!$A$5:$A$646,A3,'CONSOLIDADO PRECIOS'!$U$5:$U$646),0)</f>
        <v>18165.545746164575</v>
      </c>
      <c r="D3" s="26">
        <f>SUMIF('CONSOLIDADO PRECIOS'!$A$5:$A$646,A3,'CONSOLIDADO PRECIOS'!$U$5:$U$646)</f>
        <v>4341565.4333333336</v>
      </c>
    </row>
    <row r="4" spans="1:4" ht="15.75" customHeight="1" x14ac:dyDescent="0.35">
      <c r="A4" s="27" t="s">
        <v>450</v>
      </c>
      <c r="B4" s="28">
        <f>COUNTIF('CONSOLIDADO PRECIOS'!$A$5:$A$646,A4)</f>
        <v>3</v>
      </c>
      <c r="C4" s="29">
        <f>IFERROR(AVERAGEIF('CONSOLIDADO PRECIOS'!$A$5:$A$646,A4,'CONSOLIDADO PRECIOS'!$U$5:$U$646),0)</f>
        <v>7667</v>
      </c>
      <c r="D4" s="30">
        <f>SUMIF('CONSOLIDADO PRECIOS'!$A$5:$A$646,A4,'CONSOLIDADO PRECIOS'!$U$5:$U$646)</f>
        <v>15334</v>
      </c>
    </row>
    <row r="5" spans="1:4" ht="15.75" customHeight="1" x14ac:dyDescent="0.35">
      <c r="A5" s="23" t="s">
        <v>453</v>
      </c>
      <c r="B5" s="24">
        <f>COUNTIF('CONSOLIDADO PRECIOS'!$A$5:$A$646,A5)</f>
        <v>2</v>
      </c>
      <c r="C5" s="25">
        <f>IFERROR(AVERAGEIF('CONSOLIDADO PRECIOS'!$A$5:$A$646,A5,'CONSOLIDADO PRECIOS'!$U$5:$U$646),0)</f>
        <v>9824.8333333333339</v>
      </c>
      <c r="D5" s="26">
        <f>SUMIF('CONSOLIDADO PRECIOS'!$A$5:$A$646,A5,'CONSOLIDADO PRECIOS'!$U$5:$U$646)</f>
        <v>9824.8333333333339</v>
      </c>
    </row>
    <row r="6" spans="1:4" ht="15.75" customHeight="1" x14ac:dyDescent="0.35">
      <c r="A6" s="27" t="s">
        <v>455</v>
      </c>
      <c r="B6" s="28">
        <f>COUNTIF('CONSOLIDADO PRECIOS'!$A$5:$A$646,A6)</f>
        <v>35</v>
      </c>
      <c r="C6" s="29">
        <f>IFERROR(AVERAGEIF('CONSOLIDADO PRECIOS'!$A$5:$A$646,A6,'CONSOLIDADO PRECIOS'!$U$5:$U$646),0)</f>
        <v>2572.2529411764708</v>
      </c>
      <c r="D6" s="30">
        <f>SUMIF('CONSOLIDADO PRECIOS'!$A$5:$A$646,A6,'CONSOLIDADO PRECIOS'!$U$5:$U$646)</f>
        <v>87456.6</v>
      </c>
    </row>
    <row r="7" spans="1:4" ht="15.75" customHeight="1" x14ac:dyDescent="0.35">
      <c r="A7" s="23" t="s">
        <v>490</v>
      </c>
      <c r="B7" s="24">
        <f>COUNTIF('CONSOLIDADO PRECIOS'!$A$5:$A$646,A7)</f>
        <v>2</v>
      </c>
      <c r="C7" s="25">
        <f>IFERROR(AVERAGEIF('CONSOLIDADO PRECIOS'!$A$5:$A$646,A7,'CONSOLIDADO PRECIOS'!$U$5:$U$646),0)</f>
        <v>3575.3666666666672</v>
      </c>
      <c r="D7" s="26">
        <f>SUMIF('CONSOLIDADO PRECIOS'!$A$5:$A$646,A7,'CONSOLIDADO PRECIOS'!$U$5:$U$646)</f>
        <v>3575.3666666666672</v>
      </c>
    </row>
    <row r="8" spans="1:4" ht="15.75" customHeight="1" x14ac:dyDescent="0.35">
      <c r="A8" s="27" t="s">
        <v>492</v>
      </c>
      <c r="B8" s="28">
        <f>COUNTIF('CONSOLIDADO PRECIOS'!$A$5:$A$646,A8)</f>
        <v>2</v>
      </c>
      <c r="C8" s="29">
        <f>IFERROR(AVERAGEIF('CONSOLIDADO PRECIOS'!$A$5:$A$646,A8,'CONSOLIDADO PRECIOS'!$U$5:$U$646),0)</f>
        <v>24334.566666666666</v>
      </c>
      <c r="D8" s="30">
        <f>SUMIF('CONSOLIDADO PRECIOS'!$A$5:$A$646,A8,'CONSOLIDADO PRECIOS'!$U$5:$U$646)</f>
        <v>24334.566666666666</v>
      </c>
    </row>
    <row r="9" spans="1:4" ht="15.75" customHeight="1" x14ac:dyDescent="0.35">
      <c r="A9" s="23" t="s">
        <v>493</v>
      </c>
      <c r="B9" s="24">
        <f>COUNTIF('CONSOLIDADO PRECIOS'!$A$5:$A$646,A9)</f>
        <v>22</v>
      </c>
      <c r="C9" s="25">
        <f>IFERROR(AVERAGEIF('CONSOLIDADO PRECIOS'!$A$5:$A$646,A9,'CONSOLIDADO PRECIOS'!$U$5:$U$646),0)</f>
        <v>14539.904761904765</v>
      </c>
      <c r="D9" s="26">
        <f>SUMIF('CONSOLIDADO PRECIOS'!$A$5:$A$646,A9,'CONSOLIDADO PRECIOS'!$U$5:$U$646)</f>
        <v>305338.00000000006</v>
      </c>
    </row>
    <row r="10" spans="1:4" ht="15.75" customHeight="1" x14ac:dyDescent="0.35">
      <c r="A10" s="27" t="s">
        <v>515</v>
      </c>
      <c r="B10" s="28">
        <f>COUNTIF('CONSOLIDADO PRECIOS'!$A$5:$A$646,A10)</f>
        <v>2</v>
      </c>
      <c r="C10" s="29">
        <f>IFERROR(AVERAGEIF('CONSOLIDADO PRECIOS'!$A$5:$A$646,A10,'CONSOLIDADO PRECIOS'!$U$5:$U$646),0)</f>
        <v>5725.5000000000009</v>
      </c>
      <c r="D10" s="30">
        <f>SUMIF('CONSOLIDADO PRECIOS'!$A$5:$A$646,A10,'CONSOLIDADO PRECIOS'!$U$5:$U$646)</f>
        <v>5725.5000000000009</v>
      </c>
    </row>
    <row r="11" spans="1:4" ht="15.75" customHeight="1" x14ac:dyDescent="0.35">
      <c r="A11" s="23" t="s">
        <v>170</v>
      </c>
      <c r="B11" s="24">
        <f>COUNTIF('CONSOLIDADO PRECIOS'!$A$5:$A$646,A11)</f>
        <v>22</v>
      </c>
      <c r="C11" s="25">
        <f>IFERROR(AVERAGEIF('CONSOLIDADO PRECIOS'!$A$5:$A$646,A11,'CONSOLIDADO PRECIOS'!$U$5:$U$646),0)</f>
        <v>17098.417460317462</v>
      </c>
      <c r="D11" s="26">
        <f>SUMIF('CONSOLIDADO PRECIOS'!$A$5:$A$646,A11,'CONSOLIDADO PRECIOS'!$U$5:$U$646)</f>
        <v>359066.76666666672</v>
      </c>
    </row>
    <row r="12" spans="1:4" ht="15.75" customHeight="1" x14ac:dyDescent="0.35">
      <c r="A12" s="27" t="s">
        <v>538</v>
      </c>
      <c r="B12" s="28">
        <f>COUNTIF('CONSOLIDADO PRECIOS'!$A$5:$A$646,A12)</f>
        <v>14</v>
      </c>
      <c r="C12" s="29">
        <f>IFERROR(AVERAGEIF('CONSOLIDADO PRECIOS'!$A$5:$A$646,A12,'CONSOLIDADO PRECIOS'!$U$5:$U$646),0)</f>
        <v>19172.689743589748</v>
      </c>
      <c r="D12" s="30">
        <f>SUMIF('CONSOLIDADO PRECIOS'!$A$5:$A$646,A12,'CONSOLIDADO PRECIOS'!$U$5:$U$646)</f>
        <v>249244.9666666667</v>
      </c>
    </row>
    <row r="13" spans="1:4" ht="15.75" customHeight="1" x14ac:dyDescent="0.35">
      <c r="A13" s="23" t="s">
        <v>552</v>
      </c>
      <c r="B13" s="24">
        <f>COUNTIF('CONSOLIDADO PRECIOS'!$A$5:$A$646,A13)</f>
        <v>14</v>
      </c>
      <c r="C13" s="25">
        <f>IFERROR(AVERAGEIF('CONSOLIDADO PRECIOS'!$A$5:$A$646,A13,'CONSOLIDADO PRECIOS'!$U$5:$U$646),0)</f>
        <v>5833.173076923078</v>
      </c>
      <c r="D13" s="26">
        <f>SUMIF('CONSOLIDADO PRECIOS'!$A$5:$A$646,A13,'CONSOLIDADO PRECIOS'!$U$5:$U$646)</f>
        <v>75831.250000000015</v>
      </c>
    </row>
    <row r="14" spans="1:4" ht="15.75" customHeight="1" x14ac:dyDescent="0.35">
      <c r="A14" s="27" t="s">
        <v>566</v>
      </c>
      <c r="B14" s="28">
        <f>COUNTIF('CONSOLIDADO PRECIOS'!$A$5:$A$646,A14)</f>
        <v>5</v>
      </c>
      <c r="C14" s="29">
        <f>IFERROR(AVERAGEIF('CONSOLIDADO PRECIOS'!$A$5:$A$646,A14,'CONSOLIDADO PRECIOS'!$U$5:$U$646),0)</f>
        <v>5490.5583333333343</v>
      </c>
      <c r="D14" s="30">
        <f>SUMIF('CONSOLIDADO PRECIOS'!$A$5:$A$646,A14,'CONSOLIDADO PRECIOS'!$U$5:$U$646)</f>
        <v>21962.233333333337</v>
      </c>
    </row>
    <row r="15" spans="1:4" ht="15.75" customHeight="1" x14ac:dyDescent="0.35">
      <c r="A15" s="23" t="s">
        <v>571</v>
      </c>
      <c r="B15" s="24">
        <f>COUNTIF('CONSOLIDADO PRECIOS'!$A$5:$A$646,A15)</f>
        <v>4</v>
      </c>
      <c r="C15" s="25">
        <f>IFERROR(AVERAGEIF('CONSOLIDADO PRECIOS'!$A$5:$A$646,A15,'CONSOLIDADO PRECIOS'!$U$5:$U$646),0)</f>
        <v>5583.4166666666679</v>
      </c>
      <c r="D15" s="26">
        <f>SUMIF('CONSOLIDADO PRECIOS'!$A$5:$A$646,A15,'CONSOLIDADO PRECIOS'!$U$5:$U$646)</f>
        <v>16750.250000000004</v>
      </c>
    </row>
    <row r="16" spans="1:4" ht="15.75" customHeight="1" x14ac:dyDescent="0.35">
      <c r="A16" s="27" t="s">
        <v>575</v>
      </c>
      <c r="B16" s="28">
        <f>COUNTIF('CONSOLIDADO PRECIOS'!$A$5:$A$646,A16)</f>
        <v>2</v>
      </c>
      <c r="C16" s="29">
        <f>IFERROR(AVERAGEIF('CONSOLIDADO PRECIOS'!$A$5:$A$646,A16,'CONSOLIDADO PRECIOS'!$U$5:$U$646),0)</f>
        <v>4590.3</v>
      </c>
      <c r="D16" s="30">
        <f>SUMIF('CONSOLIDADO PRECIOS'!$A$5:$A$646,A16,'CONSOLIDADO PRECIOS'!$U$5:$U$646)</f>
        <v>4590.3</v>
      </c>
    </row>
    <row r="17" spans="1:4" ht="15.75" customHeight="1" x14ac:dyDescent="0.35">
      <c r="A17" s="23" t="s">
        <v>577</v>
      </c>
      <c r="B17" s="24">
        <f>COUNTIF('CONSOLIDADO PRECIOS'!$A$5:$A$646,A17)</f>
        <v>4</v>
      </c>
      <c r="C17" s="25">
        <f>IFERROR(AVERAGEIF('CONSOLIDADO PRECIOS'!$A$5:$A$646,A17,'CONSOLIDADO PRECIOS'!$U$5:$U$646),0)</f>
        <v>17196.544444444447</v>
      </c>
      <c r="D17" s="26">
        <f>SUMIF('CONSOLIDADO PRECIOS'!$A$5:$A$646,A17,'CONSOLIDADO PRECIOS'!$U$5:$U$646)</f>
        <v>51589.633333333339</v>
      </c>
    </row>
    <row r="18" spans="1:4" ht="15.75" customHeight="1" x14ac:dyDescent="0.35">
      <c r="A18" s="27" t="s">
        <v>144</v>
      </c>
      <c r="B18" s="28">
        <f>COUNTIF('CONSOLIDADO PRECIOS'!$A$5:$A$646,A18)</f>
        <v>3</v>
      </c>
      <c r="C18" s="29">
        <f>IFERROR(AVERAGEIF('CONSOLIDADO PRECIOS'!$A$5:$A$646,A18,'CONSOLIDADO PRECIOS'!$U$5:$U$646),0)</f>
        <v>42782.483333333337</v>
      </c>
      <c r="D18" s="30">
        <f>SUMIF('CONSOLIDADO PRECIOS'!$A$5:$A$646,A18,'CONSOLIDADO PRECIOS'!$U$5:$U$646)</f>
        <v>85564.966666666674</v>
      </c>
    </row>
    <row r="19" spans="1:4" ht="15.75" customHeight="1" x14ac:dyDescent="0.35">
      <c r="A19" s="23" t="s">
        <v>583</v>
      </c>
      <c r="B19" s="24">
        <f>COUNTIF('CONSOLIDADO PRECIOS'!$A$5:$A$646,A19)</f>
        <v>105</v>
      </c>
      <c r="C19" s="25">
        <f>IFERROR(AVERAGEIF('CONSOLIDADO PRECIOS'!$A$5:$A$646,A19,'CONSOLIDADO PRECIOS'!$U$5:$U$646),0)</f>
        <v>7372.7570512820512</v>
      </c>
      <c r="D19" s="26">
        <f>SUMIF('CONSOLIDADO PRECIOS'!$A$5:$A$646,A19,'CONSOLIDADO PRECIOS'!$U$5:$U$646)</f>
        <v>766766.73333333328</v>
      </c>
    </row>
    <row r="20" spans="1:4" ht="15.75" customHeight="1" x14ac:dyDescent="0.35">
      <c r="A20" s="27" t="s">
        <v>687</v>
      </c>
      <c r="B20" s="28">
        <f>COUNTIF('CONSOLIDADO PRECIOS'!$A$5:$A$646,A20)</f>
        <v>4</v>
      </c>
      <c r="C20" s="29">
        <f>IFERROR(AVERAGEIF('CONSOLIDADO PRECIOS'!$A$5:$A$646,A20,'CONSOLIDADO PRECIOS'!$U$5:$U$646),0)</f>
        <v>29770.033333333336</v>
      </c>
      <c r="D20" s="30">
        <f>SUMIF('CONSOLIDADO PRECIOS'!$A$5:$A$646,A20,'CONSOLIDADO PRECIOS'!$U$5:$U$646)</f>
        <v>89310.1</v>
      </c>
    </row>
    <row r="21" spans="1:4" ht="15.75" customHeight="1" x14ac:dyDescent="0.35">
      <c r="A21" s="23" t="s">
        <v>691</v>
      </c>
      <c r="B21" s="24">
        <f>COUNTIF('CONSOLIDADO PRECIOS'!$A$5:$A$646,A21)</f>
        <v>3</v>
      </c>
      <c r="C21" s="25">
        <f>IFERROR(AVERAGEIF('CONSOLIDADO PRECIOS'!$A$5:$A$646,A21,'CONSOLIDADO PRECIOS'!$U$5:$U$646),0)</f>
        <v>196.07500000000002</v>
      </c>
      <c r="D21" s="26">
        <f>SUMIF('CONSOLIDADO PRECIOS'!$A$5:$A$646,A21,'CONSOLIDADO PRECIOS'!$U$5:$U$646)</f>
        <v>392.15000000000003</v>
      </c>
    </row>
    <row r="22" spans="1:4" ht="15.75" customHeight="1" x14ac:dyDescent="0.35">
      <c r="A22" s="27" t="s">
        <v>694</v>
      </c>
      <c r="B22" s="28">
        <f>COUNTIF('CONSOLIDADO PRECIOS'!$A$5:$A$646,A22)</f>
        <v>3</v>
      </c>
      <c r="C22" s="29">
        <f>IFERROR(AVERAGEIF('CONSOLIDADO PRECIOS'!$A$5:$A$646,A22,'CONSOLIDADO PRECIOS'!$U$5:$U$646),0)</f>
        <v>17128.100000000002</v>
      </c>
      <c r="D22" s="30">
        <f>SUMIF('CONSOLIDADO PRECIOS'!$A$5:$A$646,A22,'CONSOLIDADO PRECIOS'!$U$5:$U$646)</f>
        <v>34256.200000000004</v>
      </c>
    </row>
    <row r="23" spans="1:4" ht="15.75" customHeight="1" x14ac:dyDescent="0.35">
      <c r="A23" s="23" t="s">
        <v>697</v>
      </c>
      <c r="B23" s="24">
        <f>COUNTIF('CONSOLIDADO PRECIOS'!$A$5:$A$646,A23)</f>
        <v>3</v>
      </c>
      <c r="C23" s="25">
        <f>IFERROR(AVERAGEIF('CONSOLIDADO PRECIOS'!$A$5:$A$646,A23,'CONSOLIDADO PRECIOS'!$U$5:$U$646),0)</f>
        <v>5429.2333333333336</v>
      </c>
      <c r="D23" s="26">
        <f>SUMIF('CONSOLIDADO PRECIOS'!$A$5:$A$646,A23,'CONSOLIDADO PRECIOS'!$U$5:$U$646)</f>
        <v>10858.466666666667</v>
      </c>
    </row>
    <row r="24" spans="1:4" ht="15.75" customHeight="1" x14ac:dyDescent="0.35">
      <c r="A24" s="27" t="s">
        <v>700</v>
      </c>
      <c r="B24" s="28">
        <f>COUNTIF('CONSOLIDADO PRECIOS'!$A$5:$A$646,A24)</f>
        <v>36</v>
      </c>
      <c r="C24" s="29">
        <f>IFERROR(AVERAGEIF('CONSOLIDADO PRECIOS'!$A$5:$A$646,A24,'CONSOLIDADO PRECIOS'!$U$5:$U$646),0)</f>
        <v>11543.525714285717</v>
      </c>
      <c r="D24" s="30">
        <f>SUMIF('CONSOLIDADO PRECIOS'!$A$5:$A$646,A24,'CONSOLIDADO PRECIOS'!$U$5:$U$646)</f>
        <v>404023.40000000008</v>
      </c>
    </row>
    <row r="25" spans="1:4" ht="15.75" customHeight="1" x14ac:dyDescent="0.35">
      <c r="A25" s="23" t="s">
        <v>736</v>
      </c>
      <c r="B25" s="24">
        <f>COUNTIF('CONSOLIDADO PRECIOS'!$A$5:$A$646,A25)</f>
        <v>3</v>
      </c>
      <c r="C25" s="25">
        <f>IFERROR(AVERAGEIF('CONSOLIDADO PRECIOS'!$A$5:$A$646,A25,'CONSOLIDADO PRECIOS'!$U$5:$U$646),0)</f>
        <v>2352.9</v>
      </c>
      <c r="D25" s="26">
        <f>SUMIF('CONSOLIDADO PRECIOS'!$A$5:$A$646,A25,'CONSOLIDADO PRECIOS'!$U$5:$U$646)</f>
        <v>4705.8</v>
      </c>
    </row>
    <row r="26" spans="1:4" ht="15.75" customHeight="1" x14ac:dyDescent="0.35">
      <c r="A26" s="27" t="s">
        <v>739</v>
      </c>
      <c r="B26" s="28">
        <f>COUNTIF('CONSOLIDADO PRECIOS'!$A$5:$A$646,A26)</f>
        <v>14</v>
      </c>
      <c r="C26" s="29">
        <f>IFERROR(AVERAGEIF('CONSOLIDADO PRECIOS'!$A$5:$A$646,A26,'CONSOLIDADO PRECIOS'!$U$5:$U$646),0)</f>
        <v>13675.256410256414</v>
      </c>
      <c r="D26" s="30">
        <f>SUMIF('CONSOLIDADO PRECIOS'!$A$5:$A$646,A26,'CONSOLIDADO PRECIOS'!$U$5:$U$646)</f>
        <v>177778.33333333337</v>
      </c>
    </row>
    <row r="27" spans="1:4" ht="15.75" customHeight="1" x14ac:dyDescent="0.35">
      <c r="A27" s="23" t="s">
        <v>753</v>
      </c>
      <c r="B27" s="24">
        <f>COUNTIF('CONSOLIDADO PRECIOS'!$A$5:$A$646,A27)</f>
        <v>3</v>
      </c>
      <c r="C27" s="25">
        <f>IFERROR(AVERAGEIF('CONSOLIDADO PRECIOS'!$A$5:$A$646,A27,'CONSOLIDADO PRECIOS'!$U$5:$U$646),0)</f>
        <v>7651.6</v>
      </c>
      <c r="D27" s="26">
        <f>SUMIF('CONSOLIDADO PRECIOS'!$A$5:$A$646,A27,'CONSOLIDADO PRECIOS'!$U$5:$U$646)</f>
        <v>15303.2</v>
      </c>
    </row>
    <row r="28" spans="1:4" ht="15.75" customHeight="1" x14ac:dyDescent="0.35">
      <c r="A28" s="27" t="s">
        <v>134</v>
      </c>
      <c r="B28" s="28">
        <f>COUNTIF('CONSOLIDADO PRECIOS'!$A$5:$A$646,A28)</f>
        <v>2</v>
      </c>
      <c r="C28" s="29">
        <f>IFERROR(AVERAGEIF('CONSOLIDADO PRECIOS'!$A$5:$A$646,A28,'CONSOLIDADO PRECIOS'!$U$5:$U$646),0)</f>
        <v>3654.2000000000003</v>
      </c>
      <c r="D28" s="30">
        <f>SUMIF('CONSOLIDADO PRECIOS'!$A$5:$A$646,A28,'CONSOLIDADO PRECIOS'!$U$5:$U$646)</f>
        <v>3654.2000000000003</v>
      </c>
    </row>
    <row r="29" spans="1:4" ht="15.75" customHeight="1" x14ac:dyDescent="0.35">
      <c r="A29" s="23" t="s">
        <v>757</v>
      </c>
      <c r="B29" s="24">
        <f>COUNTIF('CONSOLIDADO PRECIOS'!$A$5:$A$646,A29)</f>
        <v>9</v>
      </c>
      <c r="C29" s="25">
        <f>IFERROR(AVERAGEIF('CONSOLIDADO PRECIOS'!$A$5:$A$646,A29,'CONSOLIDADO PRECIOS'!$U$5:$U$646),0)</f>
        <v>555.63750000000005</v>
      </c>
      <c r="D29" s="26">
        <f>SUMIF('CONSOLIDADO PRECIOS'!$A$5:$A$646,A29,'CONSOLIDADO PRECIOS'!$U$5:$U$646)</f>
        <v>4445.1000000000004</v>
      </c>
    </row>
    <row r="30" spans="1:4" ht="15.75" customHeight="1" x14ac:dyDescent="0.35">
      <c r="A30" s="27" t="s">
        <v>766</v>
      </c>
      <c r="B30" s="28">
        <f>COUNTIF('CONSOLIDADO PRECIOS'!$A$5:$A$646,A30)</f>
        <v>2</v>
      </c>
      <c r="C30" s="29">
        <f>IFERROR(AVERAGEIF('CONSOLIDADO PRECIOS'!$A$5:$A$646,A30,'CONSOLIDADO PRECIOS'!$U$5:$U$646),0)</f>
        <v>46598.933333333334</v>
      </c>
      <c r="D30" s="30">
        <f>SUMIF('CONSOLIDADO PRECIOS'!$A$5:$A$646,A30,'CONSOLIDADO PRECIOS'!$U$5:$U$646)</f>
        <v>46598.933333333334</v>
      </c>
    </row>
    <row r="31" spans="1:4" ht="15.75" customHeight="1" x14ac:dyDescent="0.35">
      <c r="A31" s="23" t="s">
        <v>768</v>
      </c>
      <c r="B31" s="24">
        <f>COUNTIF('CONSOLIDADO PRECIOS'!$A$5:$A$646,A31)</f>
        <v>30</v>
      </c>
      <c r="C31" s="25">
        <f>IFERROR(AVERAGEIF('CONSOLIDADO PRECIOS'!$A$5:$A$646,A31,'CONSOLIDADO PRECIOS'!$U$5:$U$646),0)</f>
        <v>17141.767816091957</v>
      </c>
      <c r="D31" s="26">
        <f>SUMIF('CONSOLIDADO PRECIOS'!$A$5:$A$646,A31,'CONSOLIDADO PRECIOS'!$U$5:$U$646)</f>
        <v>497111.26666666672</v>
      </c>
    </row>
    <row r="32" spans="1:4" ht="15.75" customHeight="1" x14ac:dyDescent="0.35">
      <c r="A32" s="27" t="s">
        <v>798</v>
      </c>
      <c r="B32" s="28">
        <f>COUNTIF('CONSOLIDADO PRECIOS'!$A$5:$A$646,A32)</f>
        <v>9</v>
      </c>
      <c r="C32" s="29">
        <f>IFERROR(AVERAGEIF('CONSOLIDADO PRECIOS'!$A$5:$A$646,A32,'CONSOLIDADO PRECIOS'!$U$5:$U$646),0)</f>
        <v>4555.9937500000005</v>
      </c>
      <c r="D32" s="30">
        <f>SUMIF('CONSOLIDADO PRECIOS'!$A$5:$A$646,A32,'CONSOLIDADO PRECIOS'!$U$5:$U$646)</f>
        <v>36447.950000000004</v>
      </c>
    </row>
    <row r="33" spans="1:4" ht="15.75" customHeight="1" x14ac:dyDescent="0.35">
      <c r="A33" s="23" t="s">
        <v>807</v>
      </c>
      <c r="B33" s="24">
        <f>COUNTIF('CONSOLIDADO PRECIOS'!$A$5:$A$646,A33)</f>
        <v>5</v>
      </c>
      <c r="C33" s="25">
        <f>IFERROR(AVERAGEIF('CONSOLIDADO PRECIOS'!$A$5:$A$646,A33,'CONSOLIDADO PRECIOS'!$U$5:$U$646),0)</f>
        <v>25478.016666666674</v>
      </c>
      <c r="D33" s="26">
        <f>SUMIF('CONSOLIDADO PRECIOS'!$A$5:$A$646,A33,'CONSOLIDADO PRECIOS'!$U$5:$U$646)</f>
        <v>101912.06666666669</v>
      </c>
    </row>
    <row r="34" spans="1:4" ht="15.75" customHeight="1" x14ac:dyDescent="0.35">
      <c r="A34" s="27" t="s">
        <v>812</v>
      </c>
      <c r="B34" s="28">
        <f>COUNTIF('CONSOLIDADO PRECIOS'!$A$5:$A$646,A34)</f>
        <v>24</v>
      </c>
      <c r="C34" s="29">
        <f>IFERROR(AVERAGEIF('CONSOLIDADO PRECIOS'!$A$5:$A$646,A34,'CONSOLIDADO PRECIOS'!$U$5:$U$646),0)</f>
        <v>16989.571739130435</v>
      </c>
      <c r="D34" s="30">
        <f>SUMIF('CONSOLIDADO PRECIOS'!$A$5:$A$646,A34,'CONSOLIDADO PRECIOS'!$U$5:$U$646)</f>
        <v>390760.15</v>
      </c>
    </row>
    <row r="35" spans="1:4" ht="15.75" customHeight="1" x14ac:dyDescent="0.35">
      <c r="A35" s="23" t="s">
        <v>836</v>
      </c>
      <c r="B35" s="24">
        <f>COUNTIF('CONSOLIDADO PRECIOS'!$A$5:$A$646,A35)</f>
        <v>7</v>
      </c>
      <c r="C35" s="25">
        <f>IFERROR(AVERAGEIF('CONSOLIDADO PRECIOS'!$A$5:$A$646,A35,'CONSOLIDADO PRECIOS'!$U$5:$U$646),0)</f>
        <v>4672.9833333333327</v>
      </c>
      <c r="D35" s="26">
        <f>SUMIF('CONSOLIDADO PRECIOS'!$A$5:$A$646,A35,'CONSOLIDADO PRECIOS'!$U$5:$U$646)</f>
        <v>28037.899999999998</v>
      </c>
    </row>
    <row r="36" spans="1:4" ht="15.75" customHeight="1" x14ac:dyDescent="0.35">
      <c r="A36" s="27" t="s">
        <v>843</v>
      </c>
      <c r="B36" s="28">
        <f>COUNTIF('CONSOLIDADO PRECIOS'!$A$5:$A$646,A36)</f>
        <v>4</v>
      </c>
      <c r="C36" s="29">
        <f>IFERROR(AVERAGEIF('CONSOLIDADO PRECIOS'!$A$5:$A$646,A36,'CONSOLIDADO PRECIOS'!$U$5:$U$646),0)</f>
        <v>3064.8444444444449</v>
      </c>
      <c r="D36" s="30">
        <f>SUMIF('CONSOLIDADO PRECIOS'!$A$5:$A$646,A36,'CONSOLIDADO PRECIOS'!$U$5:$U$646)</f>
        <v>9194.5333333333347</v>
      </c>
    </row>
    <row r="37" spans="1:4" ht="18" customHeight="1" x14ac:dyDescent="0.35">
      <c r="A37" s="31" t="s">
        <v>10</v>
      </c>
      <c r="B37" s="32">
        <f>SUM(B3:B36)</f>
        <v>642</v>
      </c>
      <c r="C37" s="33"/>
      <c r="D37" s="26">
        <f>SUM(D3:D36)</f>
        <v>8279311.1500000004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DASHBOARD</vt:lpstr>
      <vt:lpstr>PROVEEDORES</vt:lpstr>
      <vt:lpstr>CONSOLIDADO PRECIOS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Lucas Sánchez Carreño</dc:creator>
  <dc:description/>
  <cp:lastModifiedBy>Lucas Sánchez Carreño</cp:lastModifiedBy>
  <cp:revision>1</cp:revision>
  <dcterms:created xsi:type="dcterms:W3CDTF">2026-06-02T18:59:19Z</dcterms:created>
  <dcterms:modified xsi:type="dcterms:W3CDTF">2026-06-02T19:07:20Z</dcterms:modified>
  <dc:language>en-US</dc:language>
</cp:coreProperties>
</file>